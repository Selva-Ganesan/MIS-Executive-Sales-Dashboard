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C:\Users\ganes\OneDrive\Documents\IMPORTANT\EXCEL\PRACTISE\"/>
    </mc:Choice>
  </mc:AlternateContent>
  <xr:revisionPtr revIDLastSave="0" documentId="13_ncr:1_{FC33B6E0-9FD9-436B-8026-8C069D989511}" xr6:coauthVersionLast="47" xr6:coauthVersionMax="47" xr10:uidLastSave="{00000000-0000-0000-0000-000000000000}"/>
  <bookViews>
    <workbookView xWindow="-108" yWindow="-108" windowWidth="23256" windowHeight="12456" tabRatio="663" activeTab="1" xr2:uid="{00000000-000D-0000-FFFF-FFFF00000000}"/>
  </bookViews>
  <sheets>
    <sheet name="MIS_Dashboard" sheetId="22" r:id="rId1"/>
    <sheet name="MIS_Insights" sheetId="24" r:id="rId2"/>
    <sheet name="fact_Sales_Clean" sheetId="23" r:id="rId3"/>
    <sheet name="Raw_Sales" sheetId="2" r:id="rId4"/>
    <sheet name="Employee_Master" sheetId="3" r:id="rId5"/>
    <sheet name="MIS_Summary" sheetId="21" r:id="rId6"/>
    <sheet name="Product_Master" sheetId="4" r:id="rId7"/>
    <sheet name="Sales_Targets" sheetId="5" r:id="rId8"/>
    <sheet name="Returns" sheetId="6" r:id="rId9"/>
    <sheet name="Data_Dictionary" sheetId="7" r:id="rId10"/>
  </sheets>
  <definedNames>
    <definedName name="_xlnm._FilterDatabase" localSheetId="9" hidden="1">Data_Dictionary!$A$1:$B$17</definedName>
    <definedName name="_xlnm._FilterDatabase" localSheetId="4" hidden="1">Employee_Master!$A$1:$E$16</definedName>
    <definedName name="_xlnm._FilterDatabase" localSheetId="6" hidden="1">Product_Master!$A$1:$E$13</definedName>
    <definedName name="_xlnm._FilterDatabase" localSheetId="3" hidden="1">Raw_Sales!$A$1:$M$1221</definedName>
    <definedName name="_xlnm._FilterDatabase" localSheetId="8" hidden="1">Returns!$A$1:$F$66</definedName>
    <definedName name="_xlnm._FilterDatabase" localSheetId="7" hidden="1">Sales_Targets!$A$1:$D$91</definedName>
    <definedName name="ExternalData_7" localSheetId="2" hidden="1">fact_Sales_Clean!$A$1:$Y$1198</definedName>
    <definedName name="Slicer_Category">#N/A</definedName>
    <definedName name="Slicer_Region">#N/A</definedName>
  </definedNames>
  <calcPr calcId="191029"/>
  <pivotCaches>
    <pivotCache cacheId="64"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2" i="21" l="1"/>
  <c r="B40" i="21"/>
  <c r="B39" i="21"/>
  <c r="B37" i="21"/>
  <c r="B36" i="21"/>
  <c r="A45" i="21"/>
  <c r="B41" i="21" s="1"/>
  <c r="B38" i="2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BDEB80-05D5-45C5-A841-FBC02B7ECF27}" keepAlive="1" name="Query - agg_Returns_By_Order" description="Connection to the 'agg_Returns_By_Order' query in the workbook." type="5" refreshedVersion="8" background="1" saveData="1">
    <dbPr connection="Provider=Microsoft.Mashup.OleDb.1;Data Source=$Workbook$;Location=agg_Returns_By_Order;Extended Properties=&quot;&quot;" command="SELECT * FROM [agg_Returns_By_Order]"/>
  </connection>
  <connection id="2" xr16:uid="{C9A81520-D092-41BD-91F3-812E35F753ED}" keepAlive="1" name="Query - dq_Unmatched_Employees" description="Connection to the 'dq_Unmatched_Employees' query in the workbook." type="5" refreshedVersion="0" background="1" saveData="1">
    <dbPr connection="Provider=Microsoft.Mashup.OleDb.1;Data Source=$Workbook$;Location=dq_Unmatched_Employees;Extended Properties=&quot;&quot;" command="SELECT * FROM [dq_Unmatched_Employees]"/>
  </connection>
  <connection id="3" xr16:uid="{72D9984A-1365-47D7-86B7-B2198A39F19D}" keepAlive="1" name="Query - dq_Unmatched_Employees1" description="Connection to the 'dq_Unmatched_Employees' query in the workbook." type="5" refreshedVersion="8" background="1" saveData="1">
    <dbPr connection="Provider=Microsoft.Mashup.OleDb.1;Data Source=$Workbook$;Location=dq_Unmatched_Employees;Extended Properties=&quot;&quot;" command="SELECT * FROM [dq_Unmatched_Employees]"/>
  </connection>
  <connection id="4" xr16:uid="{1838EACC-A19F-470C-AE25-DEFC179D97B2}" keepAlive="1" name="Query - dq_Unmatched_Products" description="Connection to the 'dq_Unmatched_Products' query in the workbook." type="5" refreshedVersion="0" background="1" saveData="1">
    <dbPr connection="Provider=Microsoft.Mashup.OleDb.1;Data Source=$Workbook$;Location=dq_Unmatched_Products;Extended Properties=&quot;&quot;" command="SELECT * FROM [dq_Unmatched_Products]"/>
  </connection>
  <connection id="5" xr16:uid="{5AB15C3C-2B15-45CA-B797-777E7CA52E71}" keepAlive="1" name="Query - dq_Unmatched_Products1" description="Connection to the 'dq_Unmatched_Products' query in the workbook." type="5" refreshedVersion="8" background="1" saveData="1">
    <dbPr connection="Provider=Microsoft.Mashup.OleDb.1;Data Source=$Workbook$;Location=dq_Unmatched_Products;Extended Properties=&quot;&quot;" command="SELECT * FROM [dq_Unmatched_Products]"/>
  </connection>
  <connection id="6" xr16:uid="{4B89AF55-8433-4614-9722-6099D8C9F221}" keepAlive="1" name="Query - fact_Sales_Clean" description="Connection to the 'fact_Sales_Clean' query in the workbook." type="5" refreshedVersion="0" background="1" saveData="1">
    <dbPr connection="Provider=Microsoft.Mashup.OleDb.1;Data Source=$Workbook$;Location=fact_Sales_Clean;Extended Properties=&quot;&quot;" command="SELECT * FROM [fact_Sales_Clean]"/>
  </connection>
  <connection id="7" xr16:uid="{601E4CAD-7A97-49BE-8AD3-E32D98440568}" keepAlive="1" name="Query - fact_Sales_Clean (2)" description="Connection to the 'fact_Sales_Clean (2)' query in the workbook." type="5" refreshedVersion="8" background="1" saveData="1">
    <dbPr connection="Provider=Microsoft.Mashup.OleDb.1;Data Source=$Workbook$;Location=&quot;fact_Sales_Clean (2)&quot;;Extended Properties=&quot;&quot;" command="SELECT * FROM [fact_Sales_Clean (2)]"/>
  </connection>
  <connection id="8" xr16:uid="{5213138E-2371-4032-B1AB-B92E370CBF8B}" keepAlive="1" name="Query - fact_Sales_Clean1" description="Connection to the 'fact_Sales_Clean' query in the workbook." type="5" refreshedVersion="8" background="1" saveData="1">
    <dbPr connection="Provider=Microsoft.Mashup.OleDb.1;Data Source=$Workbook$;Location=fact_Sales_Clean;Extended Properties=&quot;&quot;" command="SELECT * FROM [fact_Sales_Clean]"/>
  </connection>
  <connection id="9" xr16:uid="{FE2AA4E2-F11D-4945-84C0-B2E62359684E}" keepAlive="1" name="Query - Sales_With_Returns" description="Connection to the 'Sales_With_Returns' query in the workbook." type="5" refreshedVersion="8" background="1" saveData="1">
    <dbPr connection="Provider=Microsoft.Mashup.OleDb.1;Data Source=$Workbook$;Location=Sales_With_Returns;Extended Properties=&quot;&quot;" command="SELECT * FROM [Sales_With_Returns]"/>
  </connection>
  <connection id="10" xr16:uid="{C31B9C0F-7D6E-45A3-9C9E-857A239524AA}" keepAlive="1" name="Query - stg_Employees_Raw" description="Connection to the 'stg_Employees_Raw' query in the workbook." type="5" refreshedVersion="8" background="1" saveData="1">
    <dbPr connection="Provider=Microsoft.Mashup.OleDb.1;Data Source=$Workbook$;Location=stg_Employees_Raw;Extended Properties=&quot;&quot;" command="SELECT * FROM [stg_Employees_Raw]"/>
  </connection>
  <connection id="11" xr16:uid="{0AA706C4-30CD-4FCD-90AD-5045D729D7F5}" keepAlive="1" name="Query - stg_Products_Raw" description="Connection to the 'stg_Products_Raw' query in the workbook." type="5" refreshedVersion="8" background="1" saveData="1">
    <dbPr connection="Provider=Microsoft.Mashup.OleDb.1;Data Source=$Workbook$;Location=stg_Products_Raw;Extended Properties=&quot;&quot;" command="SELECT * FROM [stg_Products_Raw]"/>
  </connection>
  <connection id="12" xr16:uid="{DB317F40-8EEC-410B-AE26-8C473D36EDA0}" keepAlive="1" name="Query - stg_Returns_Raw" description="Connection to the 'stg_Returns_Raw' query in the workbook." type="5" refreshedVersion="8" background="1" saveData="1">
    <dbPr connection="Provider=Microsoft.Mashup.OleDb.1;Data Source=$Workbook$;Location=stg_Returns_Raw;Extended Properties=&quot;&quot;" command="SELECT * FROM [stg_Returns_Raw]"/>
  </connection>
  <connection id="13" xr16:uid="{BD585E8F-2D80-4027-8A4F-4EAA89DFFA43}" keepAlive="1" name="Query - stg_Sales_Raw" description="Connection to the 'stg_Sales_Raw' query in the workbook." type="5" refreshedVersion="8" background="1" saveData="1">
    <dbPr connection="Provider=Microsoft.Mashup.OleDb.1;Data Source=$Workbook$;Location=stg_Sales_Raw;Extended Properties=&quot;&quot;" command="SELECT * FROM [stg_Sales_Raw]"/>
  </connection>
  <connection id="14" xr16:uid="{C87624BB-B09E-4C0A-B5FA-6A67DF84BB08}" keepAlive="1" name="Query - stg_Targets_Raw" description="Connection to the 'stg_Targets_Raw' query in the workbook." type="5" refreshedVersion="8" background="1" saveData="1">
    <dbPr connection="Provider=Microsoft.Mashup.OleDb.1;Data Source=$Workbook$;Location=stg_Targets_Raw;Extended Properties=&quot;&quot;" command="SELECT * FROM [stg_Targets_Raw]"/>
  </connection>
</connections>
</file>

<file path=xl/sharedStrings.xml><?xml version="1.0" encoding="utf-8"?>
<sst xmlns="http://schemas.openxmlformats.org/spreadsheetml/2006/main" count="28434" uniqueCount="1766">
  <si>
    <t>Order_ID</t>
  </si>
  <si>
    <t>Order_Date</t>
  </si>
  <si>
    <t>Customer_ID</t>
  </si>
  <si>
    <t>Employee_ID</t>
  </si>
  <si>
    <t>Product_ID</t>
  </si>
  <si>
    <t>Quantity</t>
  </si>
  <si>
    <t>Unit_Price_INR</t>
  </si>
  <si>
    <t>Discount_Rate</t>
  </si>
  <si>
    <t>Order_Status</t>
  </si>
  <si>
    <t>Sales_Channel</t>
  </si>
  <si>
    <t>Payment_Mode</t>
  </si>
  <si>
    <t>Recorded_Net_Sales_INR</t>
  </si>
  <si>
    <t>Ship_City</t>
  </si>
  <si>
    <t>ORD26060001</t>
  </si>
  <si>
    <t>C0045</t>
  </si>
  <si>
    <t>E002</t>
  </si>
  <si>
    <t>P001</t>
  </si>
  <si>
    <t>Completed</t>
  </si>
  <si>
    <t>Phone</t>
  </si>
  <si>
    <t>UPI</t>
  </si>
  <si>
    <t>Chennai</t>
  </si>
  <si>
    <t>ORD26010002</t>
  </si>
  <si>
    <t>C0113</t>
  </si>
  <si>
    <t>E004</t>
  </si>
  <si>
    <t>P004</t>
  </si>
  <si>
    <t>Credit</t>
  </si>
  <si>
    <t>Hyderabad</t>
  </si>
  <si>
    <t>ORD26010003</t>
  </si>
  <si>
    <t>C0173</t>
  </si>
  <si>
    <t>E013</t>
  </si>
  <si>
    <t>P003</t>
  </si>
  <si>
    <t>Direct</t>
  </si>
  <si>
    <t>Pune</t>
  </si>
  <si>
    <t>ORD26010004</t>
  </si>
  <si>
    <t>C0194</t>
  </si>
  <si>
    <t>E006</t>
  </si>
  <si>
    <t>P006</t>
  </si>
  <si>
    <t xml:space="preserve">Pending </t>
  </si>
  <si>
    <t>ORD26060005</t>
  </si>
  <si>
    <t>C0149</t>
  </si>
  <si>
    <t>E010</t>
  </si>
  <si>
    <t>Card</t>
  </si>
  <si>
    <t>Mumbai</t>
  </si>
  <si>
    <t>ORD26040006</t>
  </si>
  <si>
    <t>C0108</t>
  </si>
  <si>
    <t>E005</t>
  </si>
  <si>
    <t>P008</t>
  </si>
  <si>
    <t>Marketplace</t>
  </si>
  <si>
    <t>Indore</t>
  </si>
  <si>
    <t>ORD26060007</t>
  </si>
  <si>
    <t>E003</t>
  </si>
  <si>
    <t>P009</t>
  </si>
  <si>
    <t>Bengaluru</t>
  </si>
  <si>
    <t>ORD26010008</t>
  </si>
  <si>
    <t>C0109</t>
  </si>
  <si>
    <t>Cash</t>
  </si>
  <si>
    <t>Kochi</t>
  </si>
  <si>
    <t>ORD26020009</t>
  </si>
  <si>
    <t>C0205</t>
  </si>
  <si>
    <t>Delhi</t>
  </si>
  <si>
    <t>ORD26050010</t>
  </si>
  <si>
    <t>C0217</t>
  </si>
  <si>
    <t>E008</t>
  </si>
  <si>
    <t>P002</t>
  </si>
  <si>
    <t>ORD26060011</t>
  </si>
  <si>
    <t>C0059</t>
  </si>
  <si>
    <t>Pending</t>
  </si>
  <si>
    <t>Bank Transfer</t>
  </si>
  <si>
    <t>ORD26030012</t>
  </si>
  <si>
    <t>C0257</t>
  </si>
  <si>
    <t>E007</t>
  </si>
  <si>
    <t>Website</t>
  </si>
  <si>
    <t>ORD26060013</t>
  </si>
  <si>
    <t>C0001</t>
  </si>
  <si>
    <t>P011</t>
  </si>
  <si>
    <t>ORD26010014</t>
  </si>
  <si>
    <t>C0041</t>
  </si>
  <si>
    <t>E015</t>
  </si>
  <si>
    <t>ORD26050015</t>
  </si>
  <si>
    <t>C0136</t>
  </si>
  <si>
    <t>Cancelled</t>
  </si>
  <si>
    <t xml:space="preserve"> Card </t>
  </si>
  <si>
    <t>Jaipur</t>
  </si>
  <si>
    <t>ORD26060016</t>
  </si>
  <si>
    <t>C0232</t>
  </si>
  <si>
    <t>P012</t>
  </si>
  <si>
    <t>ORD26010017</t>
  </si>
  <si>
    <t>C0037</t>
  </si>
  <si>
    <t>ORD26010018</t>
  </si>
  <si>
    <t>C0110</t>
  </si>
  <si>
    <t>E014</t>
  </si>
  <si>
    <t>ORD26050019</t>
  </si>
  <si>
    <t>C0182</t>
  </si>
  <si>
    <t>ORD26010020</t>
  </si>
  <si>
    <t>C0056</t>
  </si>
  <si>
    <t>E011</t>
  </si>
  <si>
    <t>ORD26050021</t>
  </si>
  <si>
    <t>C0227</t>
  </si>
  <si>
    <t>ORD26010022</t>
  </si>
  <si>
    <t>C0031</t>
  </si>
  <si>
    <t>ORD26040023</t>
  </si>
  <si>
    <t>C0080</t>
  </si>
  <si>
    <t>ORD26010024</t>
  </si>
  <si>
    <t>C0245</t>
  </si>
  <si>
    <t xml:space="preserve"> website</t>
  </si>
  <si>
    <t>ORD26010025</t>
  </si>
  <si>
    <t>C0207</t>
  </si>
  <si>
    <t>ORD26050026</t>
  </si>
  <si>
    <t>C0134</t>
  </si>
  <si>
    <t xml:space="preserve">Marketplace </t>
  </si>
  <si>
    <t>ORD26030027</t>
  </si>
  <si>
    <t>C0005</t>
  </si>
  <si>
    <t>ORD26010028</t>
  </si>
  <si>
    <t>C0036</t>
  </si>
  <si>
    <t>ORD26020029</t>
  </si>
  <si>
    <t>C0154</t>
  </si>
  <si>
    <t>Returned</t>
  </si>
  <si>
    <t>ORD26010030</t>
  </si>
  <si>
    <t>C0176</t>
  </si>
  <si>
    <t>ORD26050031</t>
  </si>
  <si>
    <t>C0002</t>
  </si>
  <si>
    <t>ORD26020032</t>
  </si>
  <si>
    <t>C0039</t>
  </si>
  <si>
    <t>E012</t>
  </si>
  <si>
    <t>ORD26040033</t>
  </si>
  <si>
    <t>C0021</t>
  </si>
  <si>
    <t>ORD26060034</t>
  </si>
  <si>
    <t>C0122</t>
  </si>
  <si>
    <t>ORD26010035</t>
  </si>
  <si>
    <t>C0137</t>
  </si>
  <si>
    <t>ORD26010036</t>
  </si>
  <si>
    <t>ORD26030037</t>
  </si>
  <si>
    <t>C0170</t>
  </si>
  <si>
    <t>ORD26020038</t>
  </si>
  <si>
    <t>C0224</t>
  </si>
  <si>
    <t>P005</t>
  </si>
  <si>
    <t>ORD26020039</t>
  </si>
  <si>
    <t>C0187</t>
  </si>
  <si>
    <t>Kolkata</t>
  </si>
  <si>
    <t>ORD26060040</t>
  </si>
  <si>
    <t>C0210</t>
  </si>
  <si>
    <t>ORD26050041</t>
  </si>
  <si>
    <t>C0155</t>
  </si>
  <si>
    <t>ORD26030042</t>
  </si>
  <si>
    <t>C0239</t>
  </si>
  <si>
    <t>ORD26050043</t>
  </si>
  <si>
    <t>C0048</t>
  </si>
  <si>
    <t>ORD26020044</t>
  </si>
  <si>
    <t>C0234</t>
  </si>
  <si>
    <t>ORD26060045</t>
  </si>
  <si>
    <t>C0055</t>
  </si>
  <si>
    <t>ORD26060046</t>
  </si>
  <si>
    <t>E009</t>
  </si>
  <si>
    <t>ORD26050047</t>
  </si>
  <si>
    <t>C0229</t>
  </si>
  <si>
    <t>ORD26030048</t>
  </si>
  <si>
    <t>C0123</t>
  </si>
  <si>
    <t>ORD26030049</t>
  </si>
  <si>
    <t>C0119</t>
  </si>
  <si>
    <t>ORD26010050</t>
  </si>
  <si>
    <t>C0216</t>
  </si>
  <si>
    <t>P007</t>
  </si>
  <si>
    <t>ORD26050051</t>
  </si>
  <si>
    <t>C0215</t>
  </si>
  <si>
    <t>ORD26030052</t>
  </si>
  <si>
    <t>C0085</t>
  </si>
  <si>
    <t>ORD26050053</t>
  </si>
  <si>
    <t>C0070</t>
  </si>
  <si>
    <t>E001</t>
  </si>
  <si>
    <t>ORD26030054</t>
  </si>
  <si>
    <t>C0143</t>
  </si>
  <si>
    <t>ORD26050055</t>
  </si>
  <si>
    <t>ORD26010056</t>
  </si>
  <si>
    <t>COMPLETED</t>
  </si>
  <si>
    <t>ORD26060057</t>
  </si>
  <si>
    <t>C0014</t>
  </si>
  <si>
    <t>ORD26040058</t>
  </si>
  <si>
    <t>C0053</t>
  </si>
  <si>
    <t>ORD26050059</t>
  </si>
  <si>
    <t>C0260</t>
  </si>
  <si>
    <t>ORD26050060</t>
  </si>
  <si>
    <t>C0079</t>
  </si>
  <si>
    <t>ORD26060061</t>
  </si>
  <si>
    <t>P010</t>
  </si>
  <si>
    <t>ORD26010062</t>
  </si>
  <si>
    <t>ORD26020063</t>
  </si>
  <si>
    <t>C0006</t>
  </si>
  <si>
    <t>ORD26040064</t>
  </si>
  <si>
    <t>C0230</t>
  </si>
  <si>
    <t>ORD26020065</t>
  </si>
  <si>
    <t>C0177</t>
  </si>
  <si>
    <t>ORD26040066</t>
  </si>
  <si>
    <t>C0162</t>
  </si>
  <si>
    <t>ORD26020067</t>
  </si>
  <si>
    <t>C0052</t>
  </si>
  <si>
    <t>ORD26040068</t>
  </si>
  <si>
    <t>C0028</t>
  </si>
  <si>
    <t>ORD26010069</t>
  </si>
  <si>
    <t>C0095</t>
  </si>
  <si>
    <t>ORD26010070</t>
  </si>
  <si>
    <t>C0078</t>
  </si>
  <si>
    <t>ORD26010071</t>
  </si>
  <si>
    <t>C0195</t>
  </si>
  <si>
    <t>ORD26050072</t>
  </si>
  <si>
    <t>C0107</t>
  </si>
  <si>
    <t>ORD26020073</t>
  </si>
  <si>
    <t>ORD26030074</t>
  </si>
  <si>
    <t>ORD26050075</t>
  </si>
  <si>
    <t>ORD26050076</t>
  </si>
  <si>
    <t>C0140</t>
  </si>
  <si>
    <t>ORD26060077</t>
  </si>
  <si>
    <t>C0118</t>
  </si>
  <si>
    <t>ORD26010078</t>
  </si>
  <si>
    <t>C0093</t>
  </si>
  <si>
    <t>ORD26050079</t>
  </si>
  <si>
    <t>C0169</t>
  </si>
  <si>
    <t>ORD26060080</t>
  </si>
  <si>
    <t>C0060</t>
  </si>
  <si>
    <t>ORD26060081</t>
  </si>
  <si>
    <t>C0256</t>
  </si>
  <si>
    <t>ORD26030082</t>
  </si>
  <si>
    <t>C0063</t>
  </si>
  <si>
    <t>upi</t>
  </si>
  <si>
    <t>ORD26020083</t>
  </si>
  <si>
    <t>C0237</t>
  </si>
  <si>
    <t>ORD26030084</t>
  </si>
  <si>
    <t>ORD26060085</t>
  </si>
  <si>
    <t>C0175</t>
  </si>
  <si>
    <t>ORD26030086</t>
  </si>
  <si>
    <t>ORD26050087</t>
  </si>
  <si>
    <t>C0197</t>
  </si>
  <si>
    <t>ORD26030088</t>
  </si>
  <si>
    <t>C0254</t>
  </si>
  <si>
    <t>ORD26060089</t>
  </si>
  <si>
    <t>C0008</t>
  </si>
  <si>
    <t>ORD26010090</t>
  </si>
  <si>
    <t>ORD26050091</t>
  </si>
  <si>
    <t>C0117</t>
  </si>
  <si>
    <t>ORD26060092</t>
  </si>
  <si>
    <t>C0024</t>
  </si>
  <si>
    <t>ORD26040093</t>
  </si>
  <si>
    <t>C0088</t>
  </si>
  <si>
    <t>ORD26040094</t>
  </si>
  <si>
    <t>C0131</t>
  </si>
  <si>
    <t>ORD26040095</t>
  </si>
  <si>
    <t>ORD26030096</t>
  </si>
  <si>
    <t>C0152</t>
  </si>
  <si>
    <t>ORD26030097</t>
  </si>
  <si>
    <t>C0147</t>
  </si>
  <si>
    <t>ORD26020098</t>
  </si>
  <si>
    <t>C0050</t>
  </si>
  <si>
    <t>ORD26010099</t>
  </si>
  <si>
    <t>C0213</t>
  </si>
  <si>
    <t>ORD26050100</t>
  </si>
  <si>
    <t>C0247</t>
  </si>
  <si>
    <t>ORD26040101</t>
  </si>
  <si>
    <t>C0188</t>
  </si>
  <si>
    <t>ORD26030102</t>
  </si>
  <si>
    <t>C0196</t>
  </si>
  <si>
    <t>ORD26050103</t>
  </si>
  <si>
    <t>C0033</t>
  </si>
  <si>
    <t>ORD26010104</t>
  </si>
  <si>
    <t>ORD26040105</t>
  </si>
  <si>
    <t>ORD26060106</t>
  </si>
  <si>
    <t>C0121</t>
  </si>
  <si>
    <t>ORD26050107</t>
  </si>
  <si>
    <t>C0233</t>
  </si>
  <si>
    <t>ORD26010108</t>
  </si>
  <si>
    <t>ORD26030109</t>
  </si>
  <si>
    <t>C0067</t>
  </si>
  <si>
    <t>ORD26060110</t>
  </si>
  <si>
    <t>C0166</t>
  </si>
  <si>
    <t>ORD26010111</t>
  </si>
  <si>
    <t>ORD26010112</t>
  </si>
  <si>
    <t>C0235</t>
  </si>
  <si>
    <t>ORD26040113</t>
  </si>
  <si>
    <t>C0042</t>
  </si>
  <si>
    <t>ORD26010114</t>
  </si>
  <si>
    <t>ORD26060115</t>
  </si>
  <si>
    <t>C0221</t>
  </si>
  <si>
    <t>ORD26030116</t>
  </si>
  <si>
    <t>C0161</t>
  </si>
  <si>
    <t>ORD26060117</t>
  </si>
  <si>
    <t>C0191</t>
  </si>
  <si>
    <t>ORD26050118</t>
  </si>
  <si>
    <t>C0027</t>
  </si>
  <si>
    <t>ORD26040119</t>
  </si>
  <si>
    <t>ORD26010120</t>
  </si>
  <si>
    <t>ORD26060121</t>
  </si>
  <si>
    <t>C0206</t>
  </si>
  <si>
    <t>ORD26010122</t>
  </si>
  <si>
    <t>C0190</t>
  </si>
  <si>
    <t>ORD26060123</t>
  </si>
  <si>
    <t>ORD26060124</t>
  </si>
  <si>
    <t>C0057</t>
  </si>
  <si>
    <t>ORD26050125</t>
  </si>
  <si>
    <t>C0004</t>
  </si>
  <si>
    <t>ORD26020126</t>
  </si>
  <si>
    <t>C0090</t>
  </si>
  <si>
    <t>ORD26060127</t>
  </si>
  <si>
    <t>C0204</t>
  </si>
  <si>
    <t>ORD26040128</t>
  </si>
  <si>
    <t>C0214</t>
  </si>
  <si>
    <t>ORD26010129</t>
  </si>
  <si>
    <t>C0046</t>
  </si>
  <si>
    <t>ORD26040130</t>
  </si>
  <si>
    <t>C0114</t>
  </si>
  <si>
    <t>ORD26050131</t>
  </si>
  <si>
    <t>C0180</t>
  </si>
  <si>
    <t>ORD26020132</t>
  </si>
  <si>
    <t>C0091</t>
  </si>
  <si>
    <t>ORD26050133</t>
  </si>
  <si>
    <t>ORD26050134</t>
  </si>
  <si>
    <t>ORD26040135</t>
  </si>
  <si>
    <t>ORD26050136</t>
  </si>
  <si>
    <t>C0165</t>
  </si>
  <si>
    <t>ORD26010137</t>
  </si>
  <si>
    <t>C0259</t>
  </si>
  <si>
    <t>ORD26040138</t>
  </si>
  <si>
    <t>C0199</t>
  </si>
  <si>
    <t>ORD26010139</t>
  </si>
  <si>
    <t>C0146</t>
  </si>
  <si>
    <t>ORD26030140</t>
  </si>
  <si>
    <t>ORD26040141</t>
  </si>
  <si>
    <t>ORD26030142</t>
  </si>
  <si>
    <t>ORD26050143</t>
  </si>
  <si>
    <t>C0068</t>
  </si>
  <si>
    <t>ORD26020144</t>
  </si>
  <si>
    <t>C0211</t>
  </si>
  <si>
    <t>ORD26060145</t>
  </si>
  <si>
    <t>C0241</t>
  </si>
  <si>
    <t>ORD26040146</t>
  </si>
  <si>
    <t>C0103</t>
  </si>
  <si>
    <t>ORD26060147</t>
  </si>
  <si>
    <t xml:space="preserve"> completed </t>
  </si>
  <si>
    <t>ORD26040148</t>
  </si>
  <si>
    <t>C0231</t>
  </si>
  <si>
    <t>ORD26010149</t>
  </si>
  <si>
    <t>C0115</t>
  </si>
  <si>
    <t>ORD26060150</t>
  </si>
  <si>
    <t>C0072</t>
  </si>
  <si>
    <t>ORD26010151</t>
  </si>
  <si>
    <t>ORD26020152</t>
  </si>
  <si>
    <t>ORD26030153</t>
  </si>
  <si>
    <t>ORD26040154</t>
  </si>
  <si>
    <t>ORD26030155</t>
  </si>
  <si>
    <t>C0171</t>
  </si>
  <si>
    <t>ORD26050156</t>
  </si>
  <si>
    <t>C0094</t>
  </si>
  <si>
    <t>ORD26010157</t>
  </si>
  <si>
    <t>C0159</t>
  </si>
  <si>
    <t>ORD26030158</t>
  </si>
  <si>
    <t>ORD26040159</t>
  </si>
  <si>
    <t>C0255</t>
  </si>
  <si>
    <t>ORD26030160</t>
  </si>
  <si>
    <t>C0151</t>
  </si>
  <si>
    <t>ORD26030161</t>
  </si>
  <si>
    <t>C0228</t>
  </si>
  <si>
    <t>ORD26040162</t>
  </si>
  <si>
    <t>ORD26060163</t>
  </si>
  <si>
    <t xml:space="preserve"> </t>
  </si>
  <si>
    <t>C0186</t>
  </si>
  <si>
    <t>ORD26060164</t>
  </si>
  <si>
    <t>C0071</t>
  </si>
  <si>
    <t>ORD26060165</t>
  </si>
  <si>
    <t>ORD26060166</t>
  </si>
  <si>
    <t>ORD26040167</t>
  </si>
  <si>
    <t>C0178</t>
  </si>
  <si>
    <t>ORD26030168</t>
  </si>
  <si>
    <t>ORD26020169</t>
  </si>
  <si>
    <t>ORD26040170</t>
  </si>
  <si>
    <t>C0065</t>
  </si>
  <si>
    <t>direct</t>
  </si>
  <si>
    <t>ORD26040171</t>
  </si>
  <si>
    <t>ORD26020172</t>
  </si>
  <si>
    <t>ORD26020173</t>
  </si>
  <si>
    <t>C0258</t>
  </si>
  <si>
    <t>ORD26020174</t>
  </si>
  <si>
    <t>C0015</t>
  </si>
  <si>
    <t>ORD26030175</t>
  </si>
  <si>
    <t>ORD26030176</t>
  </si>
  <si>
    <t>C0081</t>
  </si>
  <si>
    <t>ORD26040177</t>
  </si>
  <si>
    <t>ORD26050178</t>
  </si>
  <si>
    <t>C0127</t>
  </si>
  <si>
    <t>ORD26030179</t>
  </si>
  <si>
    <t>C0098</t>
  </si>
  <si>
    <t>ORD26040180</t>
  </si>
  <si>
    <t>C0124</t>
  </si>
  <si>
    <t>ORD26010181</t>
  </si>
  <si>
    <t>ORD26030182</t>
  </si>
  <si>
    <t>C0100</t>
  </si>
  <si>
    <t>ORD26010183</t>
  </si>
  <si>
    <t>C0066</t>
  </si>
  <si>
    <t>ORD26030184</t>
  </si>
  <si>
    <t>ORD26020185</t>
  </si>
  <si>
    <t>C0168</t>
  </si>
  <si>
    <t>ORD26060186</t>
  </si>
  <si>
    <t>ORD26030187</t>
  </si>
  <si>
    <t>C0243</t>
  </si>
  <si>
    <t>ORD26020188</t>
  </si>
  <si>
    <t>C0076</t>
  </si>
  <si>
    <t>ORD26060189</t>
  </si>
  <si>
    <t>C0105</t>
  </si>
  <si>
    <t>ORD26050190</t>
  </si>
  <si>
    <t>C0167</t>
  </si>
  <si>
    <t>ORD26030191</t>
  </si>
  <si>
    <t>C0248</t>
  </si>
  <si>
    <t>ORD26050192</t>
  </si>
  <si>
    <t>C0251</t>
  </si>
  <si>
    <t>ORD26050193</t>
  </si>
  <si>
    <t>C0203</t>
  </si>
  <si>
    <t>ORD26010194</t>
  </si>
  <si>
    <t>ORD26050195</t>
  </si>
  <si>
    <t>C0125</t>
  </si>
  <si>
    <t>ORD26060196</t>
  </si>
  <si>
    <t>ORD26040197</t>
  </si>
  <si>
    <t>ORD26060198</t>
  </si>
  <si>
    <t>ORD26040199</t>
  </si>
  <si>
    <t>C0020</t>
  </si>
  <si>
    <t>ORD26060200</t>
  </si>
  <si>
    <t>C0069</t>
  </si>
  <si>
    <t>ORD26010201</t>
  </si>
  <si>
    <t>ORD26060202</t>
  </si>
  <si>
    <t>ORD26020203</t>
  </si>
  <si>
    <t>ORD26030204</t>
  </si>
  <si>
    <t>C0032</t>
  </si>
  <si>
    <t>ORD26020205</t>
  </si>
  <si>
    <t>ORD26020206</t>
  </si>
  <si>
    <t>ORD26030207</t>
  </si>
  <si>
    <t>C0040</t>
  </si>
  <si>
    <t>ORD26050208</t>
  </si>
  <si>
    <t>ORD26010209</t>
  </si>
  <si>
    <t>ORD26060210</t>
  </si>
  <si>
    <t>C0112</t>
  </si>
  <si>
    <t>ORD26030211</t>
  </si>
  <si>
    <t>C0242</t>
  </si>
  <si>
    <t>ORD26020212</t>
  </si>
  <si>
    <t>C0192</t>
  </si>
  <si>
    <t>ORD26040213</t>
  </si>
  <si>
    <t>C0061</t>
  </si>
  <si>
    <t>ORD26050214</t>
  </si>
  <si>
    <t>C0238</t>
  </si>
  <si>
    <t>ORD26020215</t>
  </si>
  <si>
    <t>C0017</t>
  </si>
  <si>
    <t>ORD26030216</t>
  </si>
  <si>
    <t>C0126</t>
  </si>
  <si>
    <t>ORD26030217</t>
  </si>
  <si>
    <t>C0120</t>
  </si>
  <si>
    <t>ORD26060218</t>
  </si>
  <si>
    <t>C0212</t>
  </si>
  <si>
    <t>ORD26050219</t>
  </si>
  <si>
    <t>C0025</t>
  </si>
  <si>
    <t>ORD26030220</t>
  </si>
  <si>
    <t>ORD26040221</t>
  </si>
  <si>
    <t>ORD26030222</t>
  </si>
  <si>
    <t>ORD26060223</t>
  </si>
  <si>
    <t>C0246</t>
  </si>
  <si>
    <t>ORD26010224</t>
  </si>
  <si>
    <t>ORD26050225</t>
  </si>
  <si>
    <t>ORD26040226</t>
  </si>
  <si>
    <t>ORD26020227</t>
  </si>
  <si>
    <t>ORD26020228</t>
  </si>
  <si>
    <t>C0132</t>
  </si>
  <si>
    <t>ORD26020229</t>
  </si>
  <si>
    <t>ORD26010230</t>
  </si>
  <si>
    <t>ORD26040231</t>
  </si>
  <si>
    <t>C0009</t>
  </si>
  <si>
    <t>ORD26040232</t>
  </si>
  <si>
    <t>ORD26010233</t>
  </si>
  <si>
    <t>ORD26040234</t>
  </si>
  <si>
    <t>ORD26040235</t>
  </si>
  <si>
    <t>ORD26010236</t>
  </si>
  <si>
    <t>C0139</t>
  </si>
  <si>
    <t>ORD26050237</t>
  </si>
  <si>
    <t>C0074</t>
  </si>
  <si>
    <t>ORD26020238</t>
  </si>
  <si>
    <t>ORD26030239</t>
  </si>
  <si>
    <t>02-25-2026</t>
  </si>
  <si>
    <t>ORD26050240</t>
  </si>
  <si>
    <t>C0044</t>
  </si>
  <si>
    <t>ORD26010241</t>
  </si>
  <si>
    <t>C0163</t>
  </si>
  <si>
    <t>ORD26010242</t>
  </si>
  <si>
    <t>C0096</t>
  </si>
  <si>
    <t>ORD26050243</t>
  </si>
  <si>
    <t>ORD26040244</t>
  </si>
  <si>
    <t>C0087</t>
  </si>
  <si>
    <t>ORD26030245</t>
  </si>
  <si>
    <t>ORD26040246</t>
  </si>
  <si>
    <t>ORD26010247</t>
  </si>
  <si>
    <t>C0226</t>
  </si>
  <si>
    <t>ORD26020248</t>
  </si>
  <si>
    <t>ORD26060249</t>
  </si>
  <si>
    <t>C0202</t>
  </si>
  <si>
    <t>BANK TRANSFER</t>
  </si>
  <si>
    <t>ORD26020250</t>
  </si>
  <si>
    <t>ORD26040251</t>
  </si>
  <si>
    <t>ORD26060252</t>
  </si>
  <si>
    <t>C0019</t>
  </si>
  <si>
    <t>ORD26060253</t>
  </si>
  <si>
    <t>C0086</t>
  </si>
  <si>
    <t>ORD26030254</t>
  </si>
  <si>
    <t>ORD26060255</t>
  </si>
  <si>
    <t>C0054</t>
  </si>
  <si>
    <t>ORD26010256</t>
  </si>
  <si>
    <t>ORD26040257</t>
  </si>
  <si>
    <t>C0012</t>
  </si>
  <si>
    <t>ORD26030258</t>
  </si>
  <si>
    <t>ORD26060259</t>
  </si>
  <si>
    <t>ORD26060260</t>
  </si>
  <si>
    <t>ORD26020261</t>
  </si>
  <si>
    <t>ORD26030262</t>
  </si>
  <si>
    <t>ORD26030263</t>
  </si>
  <si>
    <t>ORD26040264</t>
  </si>
  <si>
    <t>ORD26020265</t>
  </si>
  <si>
    <t>ORD26050266</t>
  </si>
  <si>
    <t>ORD26010267</t>
  </si>
  <si>
    <t>ORD26050268</t>
  </si>
  <si>
    <t>C0022</t>
  </si>
  <si>
    <t>ORD26040269</t>
  </si>
  <si>
    <t>ORD26040270</t>
  </si>
  <si>
    <t>C0220</t>
  </si>
  <si>
    <t>ORD26020271</t>
  </si>
  <si>
    <t>ORD26050272</t>
  </si>
  <si>
    <t>ORD26060273</t>
  </si>
  <si>
    <t>ORD26060274</t>
  </si>
  <si>
    <t>ORD26050275</t>
  </si>
  <si>
    <t>C0184</t>
  </si>
  <si>
    <t>ORD26020276</t>
  </si>
  <si>
    <t>ORD26010277</t>
  </si>
  <si>
    <t>ORD26020278</t>
  </si>
  <si>
    <t>ORD26040279</t>
  </si>
  <si>
    <t>ORD26020280</t>
  </si>
  <si>
    <t>ORD26040281</t>
  </si>
  <si>
    <t>ORD26020282</t>
  </si>
  <si>
    <t>ORD26060283</t>
  </si>
  <si>
    <t>ORD26050284</t>
  </si>
  <si>
    <t>ORD26050285</t>
  </si>
  <si>
    <t>ORD26050286</t>
  </si>
  <si>
    <t>ORD26050287</t>
  </si>
  <si>
    <t>ORD26040288</t>
  </si>
  <si>
    <t>ORD26020289</t>
  </si>
  <si>
    <t>ORD26050290</t>
  </si>
  <si>
    <t>ORD26060291</t>
  </si>
  <si>
    <t>ORD26040292</t>
  </si>
  <si>
    <t>C0062</t>
  </si>
  <si>
    <t>ORD26020293</t>
  </si>
  <si>
    <t>ORD26030294</t>
  </si>
  <si>
    <t>ORD26010295</t>
  </si>
  <si>
    <t>ORD26010296</t>
  </si>
  <si>
    <t>C0092</t>
  </si>
  <si>
    <t>ORD26020297</t>
  </si>
  <si>
    <t>ORD26020298</t>
  </si>
  <si>
    <t>C0145</t>
  </si>
  <si>
    <t>ORD26050299</t>
  </si>
  <si>
    <t>ORD26050300</t>
  </si>
  <si>
    <t>ORD26030301</t>
  </si>
  <si>
    <t>ORD26020302</t>
  </si>
  <si>
    <t>C0144</t>
  </si>
  <si>
    <t>ORD26050303</t>
  </si>
  <si>
    <t>C0049</t>
  </si>
  <si>
    <t>ORD26060304</t>
  </si>
  <si>
    <t>ORD26040305</t>
  </si>
  <si>
    <t>ORD26040306</t>
  </si>
  <si>
    <t>ORD26010307</t>
  </si>
  <si>
    <t>C0111</t>
  </si>
  <si>
    <t>ORD26030308</t>
  </si>
  <si>
    <t>C0016</t>
  </si>
  <si>
    <t>ORD26050309</t>
  </si>
  <si>
    <t>ORD26040310</t>
  </si>
  <si>
    <t>ORD26060311</t>
  </si>
  <si>
    <t>C0026</t>
  </si>
  <si>
    <t>ORD26040312</t>
  </si>
  <si>
    <t>ORD26020313</t>
  </si>
  <si>
    <t>ORD26030314</t>
  </si>
  <si>
    <t>C0010</t>
  </si>
  <si>
    <t>ORD26050315</t>
  </si>
  <si>
    <t>ORD26060316</t>
  </si>
  <si>
    <t>ORD26030317</t>
  </si>
  <si>
    <t>ORD26030318</t>
  </si>
  <si>
    <t>C0181</t>
  </si>
  <si>
    <t>ORD26050319</t>
  </si>
  <si>
    <t>ORD26010320</t>
  </si>
  <si>
    <t>ORD26050321</t>
  </si>
  <si>
    <t>ORD26030322</t>
  </si>
  <si>
    <t>C0250</t>
  </si>
  <si>
    <t>ORD26060323</t>
  </si>
  <si>
    <t>ORD26020324</t>
  </si>
  <si>
    <t>ORD26060325</t>
  </si>
  <si>
    <t>ORD26060326</t>
  </si>
  <si>
    <t>ORD26030327</t>
  </si>
  <si>
    <t>C0198</t>
  </si>
  <si>
    <t>ORD26040328</t>
  </si>
  <si>
    <t>C0116</t>
  </si>
  <si>
    <t>ORD26010329</t>
  </si>
  <si>
    <t>C0193</t>
  </si>
  <si>
    <t>ORD26010330</t>
  </si>
  <si>
    <t>ORD26010331</t>
  </si>
  <si>
    <t>ORD26010332</t>
  </si>
  <si>
    <t>ORD26060333</t>
  </si>
  <si>
    <t>C0150</t>
  </si>
  <si>
    <t>ORD26030334</t>
  </si>
  <si>
    <t>ORD26020335</t>
  </si>
  <si>
    <t>ORD26060336</t>
  </si>
  <si>
    <t>ORD26050337</t>
  </si>
  <si>
    <t>ORD26020338</t>
  </si>
  <si>
    <t>C0223</t>
  </si>
  <si>
    <t>ORD26030339</t>
  </si>
  <si>
    <t>ORD26010340</t>
  </si>
  <si>
    <t>ORD26050341</t>
  </si>
  <si>
    <t>ORD26060342</t>
  </si>
  <si>
    <t>ORD26030343</t>
  </si>
  <si>
    <t>C0011</t>
  </si>
  <si>
    <t>ORD26030344</t>
  </si>
  <si>
    <t>ORD26030345</t>
  </si>
  <si>
    <t>C0209</t>
  </si>
  <si>
    <t>ORD26010346</t>
  </si>
  <si>
    <t>ORD26010347</t>
  </si>
  <si>
    <t>C0189</t>
  </si>
  <si>
    <t>ORD26060348</t>
  </si>
  <si>
    <t>ORD26030349</t>
  </si>
  <si>
    <t>ORD26020350</t>
  </si>
  <si>
    <t>C0106</t>
  </si>
  <si>
    <t>ORD26010351</t>
  </si>
  <si>
    <t>ORD26060352</t>
  </si>
  <si>
    <t>ORD26040353</t>
  </si>
  <si>
    <t>ORD26010354</t>
  </si>
  <si>
    <t>C0097</t>
  </si>
  <si>
    <t>ORD26010355</t>
  </si>
  <si>
    <t>ORD26040356</t>
  </si>
  <si>
    <t>ORD26060357</t>
  </si>
  <si>
    <t>ORD26030358</t>
  </si>
  <si>
    <t>ORD26030359</t>
  </si>
  <si>
    <t>ORD26060360</t>
  </si>
  <si>
    <t>C0153</t>
  </si>
  <si>
    <t>ORD26020361</t>
  </si>
  <si>
    <t>ORD26050362</t>
  </si>
  <si>
    <t>ORD26050363</t>
  </si>
  <si>
    <t>ORD26040364</t>
  </si>
  <si>
    <t>ORD26060365</t>
  </si>
  <si>
    <t>ORD26010366</t>
  </si>
  <si>
    <t>ORD26040367</t>
  </si>
  <si>
    <t>ORD26050368</t>
  </si>
  <si>
    <t>ORD26060369</t>
  </si>
  <si>
    <t>ORD26030370</t>
  </si>
  <si>
    <t>ORD26030371</t>
  </si>
  <si>
    <t>ORD26050372</t>
  </si>
  <si>
    <t>ORD26010373</t>
  </si>
  <si>
    <t>ORD26010374</t>
  </si>
  <si>
    <t>ORD26030375</t>
  </si>
  <si>
    <t>C0185</t>
  </si>
  <si>
    <t>ORD26010376</t>
  </si>
  <si>
    <t>ORD26030377</t>
  </si>
  <si>
    <t>ORD26060378</t>
  </si>
  <si>
    <t>C0058</t>
  </si>
  <si>
    <t>ORD26010379</t>
  </si>
  <si>
    <t>ORD26060380</t>
  </si>
  <si>
    <t>ORD26010381</t>
  </si>
  <si>
    <t>C0174</t>
  </si>
  <si>
    <t>ORD26050382</t>
  </si>
  <si>
    <t>ORD26050383</t>
  </si>
  <si>
    <t>ORD26050384</t>
  </si>
  <si>
    <t>ORD26030385</t>
  </si>
  <si>
    <t>ORD26060386</t>
  </si>
  <si>
    <t>ORD26040387</t>
  </si>
  <si>
    <t>ORD26010388</t>
  </si>
  <si>
    <t>ORD26020389</t>
  </si>
  <si>
    <t>ORD26040390</t>
  </si>
  <si>
    <t>C0064</t>
  </si>
  <si>
    <t>ORD26050391</t>
  </si>
  <si>
    <t>ORD26020392</t>
  </si>
  <si>
    <t>ORD26030393</t>
  </si>
  <si>
    <t>12/03/2026</t>
  </si>
  <si>
    <t>ORD26060394</t>
  </si>
  <si>
    <t>ORD26050395</t>
  </si>
  <si>
    <t>ORD26010396</t>
  </si>
  <si>
    <t>ORD26060397</t>
  </si>
  <si>
    <t>ORD26030398</t>
  </si>
  <si>
    <t>ORD26010399</t>
  </si>
  <si>
    <t>ORD26060400</t>
  </si>
  <si>
    <t>ORD26040401</t>
  </si>
  <si>
    <t>C0003</t>
  </si>
  <si>
    <t>ORD26010402</t>
  </si>
  <si>
    <t>C0252</t>
  </si>
  <si>
    <t>ORD26050403</t>
  </si>
  <si>
    <t>ORD26060404</t>
  </si>
  <si>
    <t>ORD26030405</t>
  </si>
  <si>
    <t>ORD26030406</t>
  </si>
  <si>
    <t>ORD26060407</t>
  </si>
  <si>
    <t>C0034</t>
  </si>
  <si>
    <t>ORD26010408</t>
  </si>
  <si>
    <t>ORD26010409</t>
  </si>
  <si>
    <t>C0133</t>
  </si>
  <si>
    <t>ORD26060410</t>
  </si>
  <si>
    <t>ORD26050411</t>
  </si>
  <si>
    <t>C0225</t>
  </si>
  <si>
    <t>ORD26050412</t>
  </si>
  <si>
    <t>ORD26050413</t>
  </si>
  <si>
    <t>ORD26020414</t>
  </si>
  <si>
    <t>C0130</t>
  </si>
  <si>
    <t>ORD26060415</t>
  </si>
  <si>
    <t>ORD26020416</t>
  </si>
  <si>
    <t>ORD26020417</t>
  </si>
  <si>
    <t>ORD26010418</t>
  </si>
  <si>
    <t>C0142</t>
  </si>
  <si>
    <t>ORD26050419</t>
  </si>
  <si>
    <t>ORD26050420</t>
  </si>
  <si>
    <t>ORD26040421</t>
  </si>
  <si>
    <t>C0077</t>
  </si>
  <si>
    <t>ORD26050422</t>
  </si>
  <si>
    <t>ORD26060423</t>
  </si>
  <si>
    <t>ORD26050424</t>
  </si>
  <si>
    <t>ORD26010425</t>
  </si>
  <si>
    <t>C0135</t>
  </si>
  <si>
    <t>ORD26040426</t>
  </si>
  <si>
    <t>ORD26050427</t>
  </si>
  <si>
    <t>ORD26050428</t>
  </si>
  <si>
    <t>ORD26050429</t>
  </si>
  <si>
    <t>ORD26050430</t>
  </si>
  <si>
    <t>C0029</t>
  </si>
  <si>
    <t>ORD26050431</t>
  </si>
  <si>
    <t>ORD26050432</t>
  </si>
  <si>
    <t>ORD26060433</t>
  </si>
  <si>
    <t>C0104</t>
  </si>
  <si>
    <t>ORD26010434</t>
  </si>
  <si>
    <t>ORD26050435</t>
  </si>
  <si>
    <t>ORD26020436</t>
  </si>
  <si>
    <t>C0218</t>
  </si>
  <si>
    <t>ORD26030437</t>
  </si>
  <si>
    <t>ORD26010438</t>
  </si>
  <si>
    <t>ORD26040439</t>
  </si>
  <si>
    <t>ORD26050440</t>
  </si>
  <si>
    <t>ORD26060441</t>
  </si>
  <si>
    <t>ORD26050442</t>
  </si>
  <si>
    <t>C0083</t>
  </si>
  <si>
    <t>ORD26020443</t>
  </si>
  <si>
    <t>ORD26060444</t>
  </si>
  <si>
    <t>ORD26060445</t>
  </si>
  <si>
    <t>ORD26060446</t>
  </si>
  <si>
    <t>ORD26050447</t>
  </si>
  <si>
    <t>ORD26020448</t>
  </si>
  <si>
    <t>C0038</t>
  </si>
  <si>
    <t>ORD26050449</t>
  </si>
  <si>
    <t>ORD26040450</t>
  </si>
  <si>
    <t>C0035</t>
  </si>
  <si>
    <t>ORD26030451</t>
  </si>
  <si>
    <t>C0128</t>
  </si>
  <si>
    <t>ORD26060452</t>
  </si>
  <si>
    <t>ORD26050453</t>
  </si>
  <si>
    <t>ORD26040454</t>
  </si>
  <si>
    <t>ORD26060455</t>
  </si>
  <si>
    <t>cancelled</t>
  </si>
  <si>
    <t>ORD26050456</t>
  </si>
  <si>
    <t>ORD26040457</t>
  </si>
  <si>
    <t>ORD26030458</t>
  </si>
  <si>
    <t>C0138</t>
  </si>
  <si>
    <t>ORD26040459</t>
  </si>
  <si>
    <t>ORD26020460</t>
  </si>
  <si>
    <t>ORD26040461</t>
  </si>
  <si>
    <t>ORD26060462</t>
  </si>
  <si>
    <t>ORD26020463</t>
  </si>
  <si>
    <t>ORD26050464</t>
  </si>
  <si>
    <t>ORD26060465</t>
  </si>
  <si>
    <t>ORD26060466</t>
  </si>
  <si>
    <t>ORD26030467</t>
  </si>
  <si>
    <t>ORD26050468</t>
  </si>
  <si>
    <t>C0129</t>
  </si>
  <si>
    <t>ORD26040469</t>
  </si>
  <si>
    <t>ORD26060470</t>
  </si>
  <si>
    <t>ORD26050471</t>
  </si>
  <si>
    <t>C0244</t>
  </si>
  <si>
    <t>ORD26050472</t>
  </si>
  <si>
    <t>ORD26050473</t>
  </si>
  <si>
    <t>C0156</t>
  </si>
  <si>
    <t>ORD26020474</t>
  </si>
  <si>
    <t>ORD26030475</t>
  </si>
  <si>
    <t>ORD26060476</t>
  </si>
  <si>
    <t>ORD26040477</t>
  </si>
  <si>
    <t>ORD26020478</t>
  </si>
  <si>
    <t>ORD26010479</t>
  </si>
  <si>
    <t>C0160</t>
  </si>
  <si>
    <t>ORD26060480</t>
  </si>
  <si>
    <t>ORD26030481</t>
  </si>
  <si>
    <t>ORD26020482</t>
  </si>
  <si>
    <t>ORD26020483</t>
  </si>
  <si>
    <t>ORD26010484</t>
  </si>
  <si>
    <t>ORD26050485</t>
  </si>
  <si>
    <t>ORD26020486</t>
  </si>
  <si>
    <t>ORD26010487</t>
  </si>
  <si>
    <t>ORD26040488</t>
  </si>
  <si>
    <t>ORD26020489</t>
  </si>
  <si>
    <t>ORD26030490</t>
  </si>
  <si>
    <t>ORD26030491</t>
  </si>
  <si>
    <t>ORD26030492</t>
  </si>
  <si>
    <t>C0023</t>
  </si>
  <si>
    <t>ORD26020493</t>
  </si>
  <si>
    <t>ORD26020494</t>
  </si>
  <si>
    <t>C0240</t>
  </si>
  <si>
    <t>ORD26040495</t>
  </si>
  <si>
    <t>ORD26020496</t>
  </si>
  <si>
    <t>C0099</t>
  </si>
  <si>
    <t>ORD26050497</t>
  </si>
  <si>
    <t>ORD26020498</t>
  </si>
  <si>
    <t>ORD26040499</t>
  </si>
  <si>
    <t>ORD26040500</t>
  </si>
  <si>
    <t>ORD26030501</t>
  </si>
  <si>
    <t>ORD26040502</t>
  </si>
  <si>
    <t>ORD26050503</t>
  </si>
  <si>
    <t>C0089</t>
  </si>
  <si>
    <t>ORD26060504</t>
  </si>
  <si>
    <t>C0172</t>
  </si>
  <si>
    <t>ORD26010505</t>
  </si>
  <si>
    <t>ORD26030506</t>
  </si>
  <si>
    <t>ORD26050507</t>
  </si>
  <si>
    <t>ORD26050508</t>
  </si>
  <si>
    <t>ORD26020509</t>
  </si>
  <si>
    <t>ORD26030510</t>
  </si>
  <si>
    <t>C0179</t>
  </si>
  <si>
    <t>ORD26060511</t>
  </si>
  <si>
    <t>C0075</t>
  </si>
  <si>
    <t>ORD26020512</t>
  </si>
  <si>
    <t>ORD26030513</t>
  </si>
  <si>
    <t>ORD26020514</t>
  </si>
  <si>
    <t>ORD26010515</t>
  </si>
  <si>
    <t>ORD26040516</t>
  </si>
  <si>
    <t>ORD26040517</t>
  </si>
  <si>
    <t>ORD26050518</t>
  </si>
  <si>
    <t>ORD26010519</t>
  </si>
  <si>
    <t>ORD26050520</t>
  </si>
  <si>
    <t>ORD26050521</t>
  </si>
  <si>
    <t>ORD26060522</t>
  </si>
  <si>
    <t>ORD26030523</t>
  </si>
  <si>
    <t>ORD26040524</t>
  </si>
  <si>
    <t>ORD26020525</t>
  </si>
  <si>
    <t>ORD26010526</t>
  </si>
  <si>
    <t>ORD26020527</t>
  </si>
  <si>
    <t>ORD26020528</t>
  </si>
  <si>
    <t>ORD26040529</t>
  </si>
  <si>
    <t>ORD26010530</t>
  </si>
  <si>
    <t>ORD26040531</t>
  </si>
  <si>
    <t>ORD26040532</t>
  </si>
  <si>
    <t>ORD26040533</t>
  </si>
  <si>
    <t>C0047</t>
  </si>
  <si>
    <t>ORD26020534</t>
  </si>
  <si>
    <t>C0082</t>
  </si>
  <si>
    <t>ORD26010535</t>
  </si>
  <si>
    <t>06-04-2026</t>
  </si>
  <si>
    <t>C0084</t>
  </si>
  <si>
    <t>ORD26040536</t>
  </si>
  <si>
    <t>ORD26060537</t>
  </si>
  <si>
    <t>C0253</t>
  </si>
  <si>
    <t>ORD26060538</t>
  </si>
  <si>
    <t>ORD26020539</t>
  </si>
  <si>
    <t>ORD26010540</t>
  </si>
  <si>
    <t>ORD26030541</t>
  </si>
  <si>
    <t>ORD26060542</t>
  </si>
  <si>
    <t>C0030</t>
  </si>
  <si>
    <t>ORD26010543</t>
  </si>
  <si>
    <t>ORD26050544</t>
  </si>
  <si>
    <t>ORD26010545</t>
  </si>
  <si>
    <t>ORD26030546</t>
  </si>
  <si>
    <t>ORD26050547</t>
  </si>
  <si>
    <t>ORD26030548</t>
  </si>
  <si>
    <t>ORD26050549</t>
  </si>
  <si>
    <t>ORD26010550</t>
  </si>
  <si>
    <t>ORD26060551</t>
  </si>
  <si>
    <t>C0158</t>
  </si>
  <si>
    <t>ORD26040552</t>
  </si>
  <si>
    <t>ORD26040553</t>
  </si>
  <si>
    <t>ORD26050554</t>
  </si>
  <si>
    <t>ORD26040555</t>
  </si>
  <si>
    <t>ORD26050556</t>
  </si>
  <si>
    <t>ORD26030557</t>
  </si>
  <si>
    <t>ORD26010558</t>
  </si>
  <si>
    <t>ORD26030559</t>
  </si>
  <si>
    <t>ORD26010560</t>
  </si>
  <si>
    <t>C0183</t>
  </si>
  <si>
    <t>ORD26060561</t>
  </si>
  <si>
    <t>ORD26060562</t>
  </si>
  <si>
    <t>ORD26020563</t>
  </si>
  <si>
    <t>ORD26050564</t>
  </si>
  <si>
    <t>ORD26050565</t>
  </si>
  <si>
    <t>ORD26050566</t>
  </si>
  <si>
    <t>ORD26050567</t>
  </si>
  <si>
    <t>ORD26010568</t>
  </si>
  <si>
    <t>ORD26020569</t>
  </si>
  <si>
    <t>ORD26040570</t>
  </si>
  <si>
    <t>ORD26010571</t>
  </si>
  <si>
    <t>ORD26010572</t>
  </si>
  <si>
    <t>ORD26040573</t>
  </si>
  <si>
    <t>ORD26050574</t>
  </si>
  <si>
    <t>ORD26020575</t>
  </si>
  <si>
    <t>ORD26040576</t>
  </si>
  <si>
    <t>ORD26050577</t>
  </si>
  <si>
    <t>C0018</t>
  </si>
  <si>
    <t>ORD26060578</t>
  </si>
  <si>
    <t>ORD26010579</t>
  </si>
  <si>
    <t>ORD26010580</t>
  </si>
  <si>
    <t>ORD26020581</t>
  </si>
  <si>
    <t>ORD26050582</t>
  </si>
  <si>
    <t>C0249</t>
  </si>
  <si>
    <t>ORD26010583</t>
  </si>
  <si>
    <t>ORD26060584</t>
  </si>
  <si>
    <t>ORD26010585</t>
  </si>
  <si>
    <t>ORD26060586</t>
  </si>
  <si>
    <t>ORD26020587</t>
  </si>
  <si>
    <t>ORD26020588</t>
  </si>
  <si>
    <t>ORD26040589</t>
  </si>
  <si>
    <t>ORD26060590</t>
  </si>
  <si>
    <t>ORD26010591</t>
  </si>
  <si>
    <t>ORD26010592</t>
  </si>
  <si>
    <t>ORD26020593</t>
  </si>
  <si>
    <t>ORD26040594</t>
  </si>
  <si>
    <t>ORD26010595</t>
  </si>
  <si>
    <t>ORD26020596</t>
  </si>
  <si>
    <t>ORD26010597</t>
  </si>
  <si>
    <t>ORD26010598</t>
  </si>
  <si>
    <t>ORD26040599</t>
  </si>
  <si>
    <t>ORD26050600</t>
  </si>
  <si>
    <t>ORD26030601</t>
  </si>
  <si>
    <t>ORD26050602</t>
  </si>
  <si>
    <t>C0013</t>
  </si>
  <si>
    <t>ORD26010603</t>
  </si>
  <si>
    <t>ORD26030604</t>
  </si>
  <si>
    <t>ORD26020605</t>
  </si>
  <si>
    <t>ORD26010606</t>
  </si>
  <si>
    <t>ORD26020607</t>
  </si>
  <si>
    <t>ORD26010608</t>
  </si>
  <si>
    <t>ORD26040609</t>
  </si>
  <si>
    <t>ORD26010610</t>
  </si>
  <si>
    <t>ORD26020611</t>
  </si>
  <si>
    <t>ORD26010612</t>
  </si>
  <si>
    <t>ORD26050613</t>
  </si>
  <si>
    <t>ORD26060614</t>
  </si>
  <si>
    <t>ORD26040615</t>
  </si>
  <si>
    <t>ORD26050616</t>
  </si>
  <si>
    <t>ORD26010617</t>
  </si>
  <si>
    <t>ORD26050618</t>
  </si>
  <si>
    <t>ORD26040619</t>
  </si>
  <si>
    <t>ORD26010620</t>
  </si>
  <si>
    <t>ORD26050621</t>
  </si>
  <si>
    <t>06-23-2026</t>
  </si>
  <si>
    <t>ORD26040622</t>
  </si>
  <si>
    <t>ORD26050623</t>
  </si>
  <si>
    <t>ORD26050624</t>
  </si>
  <si>
    <t>ORD26010625</t>
  </si>
  <si>
    <t>ORD26020626</t>
  </si>
  <si>
    <t>ORD26030627</t>
  </si>
  <si>
    <t>ORD26060628</t>
  </si>
  <si>
    <t>ORD26060629</t>
  </si>
  <si>
    <t>ORD26060630</t>
  </si>
  <si>
    <t>ORD26010631</t>
  </si>
  <si>
    <t>ORD26040632</t>
  </si>
  <si>
    <t>ORD26030633</t>
  </si>
  <si>
    <t>ORD26030634</t>
  </si>
  <si>
    <t>ORD26010635</t>
  </si>
  <si>
    <t>ORD26060636</t>
  </si>
  <si>
    <t>C0157</t>
  </si>
  <si>
    <t>ORD26050637</t>
  </si>
  <si>
    <t>ORD26050638</t>
  </si>
  <si>
    <t>ORD26030639</t>
  </si>
  <si>
    <t>ORD26040640</t>
  </si>
  <si>
    <t>ORD26020641</t>
  </si>
  <si>
    <t>ORD26050642</t>
  </si>
  <si>
    <t>ORD26040643</t>
  </si>
  <si>
    <t>ORD26010644</t>
  </si>
  <si>
    <t>ORD26060645</t>
  </si>
  <si>
    <t>ORD26030646</t>
  </si>
  <si>
    <t>ORD26030647</t>
  </si>
  <si>
    <t>ORD26030648</t>
  </si>
  <si>
    <t>ORD26040649</t>
  </si>
  <si>
    <t>ORD26050650</t>
  </si>
  <si>
    <t>ORD26010651</t>
  </si>
  <si>
    <t>ORD26050652</t>
  </si>
  <si>
    <t>ORD26050653</t>
  </si>
  <si>
    <t>ORD26010654</t>
  </si>
  <si>
    <t>ORD26030655</t>
  </si>
  <si>
    <t>ORD26060656</t>
  </si>
  <si>
    <t>ORD26050657</t>
  </si>
  <si>
    <t>ORD26020658</t>
  </si>
  <si>
    <t>ORD26020659</t>
  </si>
  <si>
    <t>ORD26010660</t>
  </si>
  <si>
    <t>ORD26010661</t>
  </si>
  <si>
    <t>ORD26010662</t>
  </si>
  <si>
    <t>ORD26010663</t>
  </si>
  <si>
    <t>ORD26020664</t>
  </si>
  <si>
    <t>ORD26010665</t>
  </si>
  <si>
    <t>ORD26010666</t>
  </si>
  <si>
    <t>ORD26040667</t>
  </si>
  <si>
    <t>ORD26020668</t>
  </si>
  <si>
    <t>ORD26030669</t>
  </si>
  <si>
    <t>ORD26020670</t>
  </si>
  <si>
    <t>ORD26040671</t>
  </si>
  <si>
    <t>ORD26040672</t>
  </si>
  <si>
    <t>ORD26030673</t>
  </si>
  <si>
    <t>ORD26010674</t>
  </si>
  <si>
    <t>ORD26050675</t>
  </si>
  <si>
    <t>ORD26010676</t>
  </si>
  <si>
    <t>ORD26050677</t>
  </si>
  <si>
    <t>ORD26030678</t>
  </si>
  <si>
    <t>ORD26030679</t>
  </si>
  <si>
    <t>ORD26050680</t>
  </si>
  <si>
    <t>ORD26060681</t>
  </si>
  <si>
    <t>ORD26030682</t>
  </si>
  <si>
    <t>ORD26010683</t>
  </si>
  <si>
    <t>ORD26050684</t>
  </si>
  <si>
    <t>ORD26050685</t>
  </si>
  <si>
    <t>ORD26020686</t>
  </si>
  <si>
    <t>ORD26030687</t>
  </si>
  <si>
    <t>ORD26040688</t>
  </si>
  <si>
    <t>ORD26050689</t>
  </si>
  <si>
    <t>ORD26040690</t>
  </si>
  <si>
    <t>ORD26060691</t>
  </si>
  <si>
    <t>ORD26020692</t>
  </si>
  <si>
    <t>ORD26030693</t>
  </si>
  <si>
    <t>ORD26010694</t>
  </si>
  <si>
    <t>ORD26030695</t>
  </si>
  <si>
    <t>ORD26020696</t>
  </si>
  <si>
    <t>ORD26020697</t>
  </si>
  <si>
    <t>ORD26050698</t>
  </si>
  <si>
    <t>ORD26010699</t>
  </si>
  <si>
    <t>ORD26030700</t>
  </si>
  <si>
    <t>ORD26030701</t>
  </si>
  <si>
    <t>ORD26030702</t>
  </si>
  <si>
    <t>ORD26060703</t>
  </si>
  <si>
    <t>ORD26060704</t>
  </si>
  <si>
    <t>ORD26030705</t>
  </si>
  <si>
    <t>C0164</t>
  </si>
  <si>
    <t>ORD26030706</t>
  </si>
  <si>
    <t>ORD26040707</t>
  </si>
  <si>
    <t>ORD26030708</t>
  </si>
  <si>
    <t>ORD26050709</t>
  </si>
  <si>
    <t>ORD26020710</t>
  </si>
  <si>
    <t>ORD26040711</t>
  </si>
  <si>
    <t>ORD26050712</t>
  </si>
  <si>
    <t>ORD26060713</t>
  </si>
  <si>
    <t>ORD26010714</t>
  </si>
  <si>
    <t>ORD26050715</t>
  </si>
  <si>
    <t>ORD26040716</t>
  </si>
  <si>
    <t>ORD26030717</t>
  </si>
  <si>
    <t>ORD26010718</t>
  </si>
  <si>
    <t>ORD26050719</t>
  </si>
  <si>
    <t>ORD26030720</t>
  </si>
  <si>
    <t>ORD26020721</t>
  </si>
  <si>
    <t>ORD26040722</t>
  </si>
  <si>
    <t>ORD26060723</t>
  </si>
  <si>
    <t>ORD26060724</t>
  </si>
  <si>
    <t>ORD26030725</t>
  </si>
  <si>
    <t>ORD26050726</t>
  </si>
  <si>
    <t>ORD26020727</t>
  </si>
  <si>
    <t>ORD26020728</t>
  </si>
  <si>
    <t>ORD26060729</t>
  </si>
  <si>
    <t>ORD26030730</t>
  </si>
  <si>
    <t>ORD26040731</t>
  </si>
  <si>
    <t>ORD26020732</t>
  </si>
  <si>
    <t>ORD26030733</t>
  </si>
  <si>
    <t>ORD26010734</t>
  </si>
  <si>
    <t>ORD26040735</t>
  </si>
  <si>
    <t>ORD26020736</t>
  </si>
  <si>
    <t>ORD26060737</t>
  </si>
  <si>
    <t>ORD26020738</t>
  </si>
  <si>
    <t>ORD26020739</t>
  </si>
  <si>
    <t>ORD26050740</t>
  </si>
  <si>
    <t>ORD26050741</t>
  </si>
  <si>
    <t>ORD26060742</t>
  </si>
  <si>
    <t>ORD26050743</t>
  </si>
  <si>
    <t>ORD26060744</t>
  </si>
  <si>
    <t>ORD26020745</t>
  </si>
  <si>
    <t>ORD26050746</t>
  </si>
  <si>
    <t>ORD26040747</t>
  </si>
  <si>
    <t>ORD26030748</t>
  </si>
  <si>
    <t>ORD26010749</t>
  </si>
  <si>
    <t>ORD26020750</t>
  </si>
  <si>
    <t>C0051</t>
  </si>
  <si>
    <t>ORD26020751</t>
  </si>
  <si>
    <t>ORD26050752</t>
  </si>
  <si>
    <t>ORD26020753</t>
  </si>
  <si>
    <t>ORD26050754</t>
  </si>
  <si>
    <t>ORD26060755</t>
  </si>
  <si>
    <t>ORD26030756</t>
  </si>
  <si>
    <t>ORD26060757</t>
  </si>
  <si>
    <t>C0102</t>
  </si>
  <si>
    <t>ORD26050758</t>
  </si>
  <si>
    <t>ORD26030759</t>
  </si>
  <si>
    <t>ORD26010760</t>
  </si>
  <si>
    <t>ORD26030761</t>
  </si>
  <si>
    <t>ORD26060762</t>
  </si>
  <si>
    <t>ORD26020763</t>
  </si>
  <si>
    <t>ORD26010764</t>
  </si>
  <si>
    <t>ORD26060765</t>
  </si>
  <si>
    <t>ORD26020766</t>
  </si>
  <si>
    <t>ORD26040767</t>
  </si>
  <si>
    <t>ORD26010768</t>
  </si>
  <si>
    <t>ORD26010769</t>
  </si>
  <si>
    <t>ORD26010770</t>
  </si>
  <si>
    <t>ORD26020771</t>
  </si>
  <si>
    <t>ORD26060772</t>
  </si>
  <si>
    <t>ORD26010773</t>
  </si>
  <si>
    <t>ORD26050774</t>
  </si>
  <si>
    <t>ORD26020775</t>
  </si>
  <si>
    <t>ORD26010776</t>
  </si>
  <si>
    <t>ORD26010777</t>
  </si>
  <si>
    <t>ORD26010778</t>
  </si>
  <si>
    <t>ORD26030779</t>
  </si>
  <si>
    <t>ORD26040780</t>
  </si>
  <si>
    <t>ORD26010781</t>
  </si>
  <si>
    <t>ORD26060782</t>
  </si>
  <si>
    <t>ORD26010783</t>
  </si>
  <si>
    <t>ORD26060784</t>
  </si>
  <si>
    <t>ORD26050785</t>
  </si>
  <si>
    <t>ORD26050786</t>
  </si>
  <si>
    <t>ORD26020787</t>
  </si>
  <si>
    <t>ORD26040788</t>
  </si>
  <si>
    <t>ORD26040789</t>
  </si>
  <si>
    <t>ORD26040790</t>
  </si>
  <si>
    <t>ORD26020791</t>
  </si>
  <si>
    <t>ORD26030792</t>
  </si>
  <si>
    <t>ORD26030793</t>
  </si>
  <si>
    <t>ORD26030794</t>
  </si>
  <si>
    <t>ORD26020795</t>
  </si>
  <si>
    <t>ORD26050796</t>
  </si>
  <si>
    <t>ORD26020797</t>
  </si>
  <si>
    <t>ORD26060798</t>
  </si>
  <si>
    <t>ORD26030799</t>
  </si>
  <si>
    <t>ORD26030800</t>
  </si>
  <si>
    <t>ORD26010801</t>
  </si>
  <si>
    <t>ORD26030802</t>
  </si>
  <si>
    <t>ORD26010803</t>
  </si>
  <si>
    <t>ORD26060804</t>
  </si>
  <si>
    <t>ORD26060805</t>
  </si>
  <si>
    <t>ORD26050806</t>
  </si>
  <si>
    <t>ORD26060807</t>
  </si>
  <si>
    <t>ORD26060808</t>
  </si>
  <si>
    <t>ORD26030809</t>
  </si>
  <si>
    <t>ORD26060810</t>
  </si>
  <si>
    <t>ORD26010811</t>
  </si>
  <si>
    <t>ORD26040812</t>
  </si>
  <si>
    <t>ORD26020813</t>
  </si>
  <si>
    <t>ORD26020814</t>
  </si>
  <si>
    <t>ORD26020815</t>
  </si>
  <si>
    <t>ORD26020816</t>
  </si>
  <si>
    <t>ORD26050817</t>
  </si>
  <si>
    <t>ORD26050818</t>
  </si>
  <si>
    <t>ORD26040819</t>
  </si>
  <si>
    <t>ORD26030820</t>
  </si>
  <si>
    <t>ORD26050821</t>
  </si>
  <si>
    <t>C0219</t>
  </si>
  <si>
    <t>ORD26040822</t>
  </si>
  <si>
    <t>ORD26010823</t>
  </si>
  <si>
    <t>ORD26040824</t>
  </si>
  <si>
    <t>ORD26020825</t>
  </si>
  <si>
    <t>ORD26050826</t>
  </si>
  <si>
    <t>ORD26050827</t>
  </si>
  <si>
    <t>ORD26040828</t>
  </si>
  <si>
    <t>ORD26030829</t>
  </si>
  <si>
    <t>ORD26060830</t>
  </si>
  <si>
    <t>ORD26060831</t>
  </si>
  <si>
    <t>ORD26040832</t>
  </si>
  <si>
    <t>ORD26020833</t>
  </si>
  <si>
    <t>ORD26030834</t>
  </si>
  <si>
    <t>ORD26020835</t>
  </si>
  <si>
    <t>ORD26040836</t>
  </si>
  <si>
    <t>ORD26010837</t>
  </si>
  <si>
    <t>ORD26050838</t>
  </si>
  <si>
    <t>ORD26020839</t>
  </si>
  <si>
    <t>ORD26040840</t>
  </si>
  <si>
    <t>ORD26050841</t>
  </si>
  <si>
    <t>ORD26020842</t>
  </si>
  <si>
    <t>ORD26040843</t>
  </si>
  <si>
    <t>ORD26010844</t>
  </si>
  <si>
    <t>ORD26010845</t>
  </si>
  <si>
    <t>ORD26040846</t>
  </si>
  <si>
    <t>ORD26040847</t>
  </si>
  <si>
    <t>ORD26010848</t>
  </si>
  <si>
    <t>ORD26010849</t>
  </si>
  <si>
    <t>ORD26030850</t>
  </si>
  <si>
    <t>C0007</t>
  </si>
  <si>
    <t>ORD26020851</t>
  </si>
  <si>
    <t>ORD26060852</t>
  </si>
  <si>
    <t>ORD26020853</t>
  </si>
  <si>
    <t>ORD26060854</t>
  </si>
  <si>
    <t>ORD26040855</t>
  </si>
  <si>
    <t>ORD26020856</t>
  </si>
  <si>
    <t>ORD26060857</t>
  </si>
  <si>
    <t>ORD26030858</t>
  </si>
  <si>
    <t>ORD26060859</t>
  </si>
  <si>
    <t>C0073</t>
  </si>
  <si>
    <t>ORD26020860</t>
  </si>
  <si>
    <t>ORD26020861</t>
  </si>
  <si>
    <t>ORD26040862</t>
  </si>
  <si>
    <t>ORD26040863</t>
  </si>
  <si>
    <t>ORD26030864</t>
  </si>
  <si>
    <t>ORD26020865</t>
  </si>
  <si>
    <t>C0208</t>
  </si>
  <si>
    <t>ORD26040866</t>
  </si>
  <si>
    <t>ORD26020867</t>
  </si>
  <si>
    <t>ORD26030868</t>
  </si>
  <si>
    <t>ORD26060869</t>
  </si>
  <si>
    <t>ORD26040870</t>
  </si>
  <si>
    <t>ORD26060871</t>
  </si>
  <si>
    <t>ORD26030872</t>
  </si>
  <si>
    <t>ORD26010873</t>
  </si>
  <si>
    <t>ORD26020874</t>
  </si>
  <si>
    <t>ORD26010875</t>
  </si>
  <si>
    <t>ORD26030876</t>
  </si>
  <si>
    <t>ORD26010877</t>
  </si>
  <si>
    <t>ORD26030878</t>
  </si>
  <si>
    <t>ORD26060879</t>
  </si>
  <si>
    <t>ORD26050880</t>
  </si>
  <si>
    <t>ORD26010881</t>
  </si>
  <si>
    <t>ORD26010882</t>
  </si>
  <si>
    <t>ORD26020883</t>
  </si>
  <si>
    <t>ORD26040884</t>
  </si>
  <si>
    <t>ORD26010885</t>
  </si>
  <si>
    <t>ORD26060886</t>
  </si>
  <si>
    <t>ORD26040887</t>
  </si>
  <si>
    <t>ORD26010888</t>
  </si>
  <si>
    <t>ORD26050889</t>
  </si>
  <si>
    <t>ORD26050890</t>
  </si>
  <si>
    <t>ORD26050891</t>
  </si>
  <si>
    <t>ORD26030892</t>
  </si>
  <si>
    <t>ORD26020893</t>
  </si>
  <si>
    <t>ORD26030894</t>
  </si>
  <si>
    <t>ORD26040895</t>
  </si>
  <si>
    <t>ORD26050896</t>
  </si>
  <si>
    <t>ORD26020897</t>
  </si>
  <si>
    <t>ORD26040898</t>
  </si>
  <si>
    <t>ORD26060899</t>
  </si>
  <si>
    <t>ORD26040900</t>
  </si>
  <si>
    <t>ORD26060901</t>
  </si>
  <si>
    <t>ORD26050902</t>
  </si>
  <si>
    <t>ORD26050903</t>
  </si>
  <si>
    <t>ORD26050904</t>
  </si>
  <si>
    <t>ORD26060905</t>
  </si>
  <si>
    <t>ORD26030906</t>
  </si>
  <si>
    <t>ORD26030907</t>
  </si>
  <si>
    <t>ORD26040908</t>
  </si>
  <si>
    <t>ORD26030909</t>
  </si>
  <si>
    <t>ORD26010910</t>
  </si>
  <si>
    <t>ORD26060911</t>
  </si>
  <si>
    <t>ORD26030912</t>
  </si>
  <si>
    <t>ORD26010913</t>
  </si>
  <si>
    <t>ORD26040914</t>
  </si>
  <si>
    <t>ORD26060915</t>
  </si>
  <si>
    <t>ORD26030916</t>
  </si>
  <si>
    <t>ORD26060917</t>
  </si>
  <si>
    <t>ORD26040918</t>
  </si>
  <si>
    <t>ORD26030919</t>
  </si>
  <si>
    <t>ORD26020920</t>
  </si>
  <si>
    <t>ORD26050921</t>
  </si>
  <si>
    <t>ORD26010922</t>
  </si>
  <si>
    <t>ORD26020923</t>
  </si>
  <si>
    <t>ORD26040924</t>
  </si>
  <si>
    <t>ORD26030925</t>
  </si>
  <si>
    <t>ORD26010926</t>
  </si>
  <si>
    <t>ORD26040927</t>
  </si>
  <si>
    <t>ORD26020928</t>
  </si>
  <si>
    <t>ORD26030929</t>
  </si>
  <si>
    <t>ORD26010930</t>
  </si>
  <si>
    <t>ORD26060931</t>
  </si>
  <si>
    <t>ORD26020932</t>
  </si>
  <si>
    <t>ORD26060933</t>
  </si>
  <si>
    <t>ORD26050934</t>
  </si>
  <si>
    <t>ORD26060935</t>
  </si>
  <si>
    <t>ORD26010936</t>
  </si>
  <si>
    <t>ORD26050937</t>
  </si>
  <si>
    <t>ORD26060938</t>
  </si>
  <si>
    <t>ORD26020939</t>
  </si>
  <si>
    <t>ORD26040940</t>
  </si>
  <si>
    <t>ORD26030941</t>
  </si>
  <si>
    <t>ORD26040942</t>
  </si>
  <si>
    <t>ORD26010943</t>
  </si>
  <si>
    <t>ORD26040944</t>
  </si>
  <si>
    <t>ORD26050945</t>
  </si>
  <si>
    <t>C0141</t>
  </si>
  <si>
    <t>ORD26050946</t>
  </si>
  <si>
    <t>ORD26050947</t>
  </si>
  <si>
    <t>ORD26050948</t>
  </si>
  <si>
    <t>ORD26020949</t>
  </si>
  <si>
    <t>ORD26060950</t>
  </si>
  <si>
    <t>ORD26020951</t>
  </si>
  <si>
    <t>ORD26030952</t>
  </si>
  <si>
    <t>ORD26030953</t>
  </si>
  <si>
    <t>ORD26010954</t>
  </si>
  <si>
    <t>ORD26020955</t>
  </si>
  <si>
    <t>ORD26040956</t>
  </si>
  <si>
    <t>ORD26010957</t>
  </si>
  <si>
    <t>ORD26060958</t>
  </si>
  <si>
    <t>ORD26050959</t>
  </si>
  <si>
    <t>ORD26060960</t>
  </si>
  <si>
    <t>ORD26020961</t>
  </si>
  <si>
    <t>ORD26050962</t>
  </si>
  <si>
    <t>ORD26060963</t>
  </si>
  <si>
    <t>ORD26030964</t>
  </si>
  <si>
    <t>ORD26030965</t>
  </si>
  <si>
    <t>ORD26030966</t>
  </si>
  <si>
    <t>ORD26020967</t>
  </si>
  <si>
    <t>ORD26050968</t>
  </si>
  <si>
    <t>ORD26020969</t>
  </si>
  <si>
    <t>ORD26030970</t>
  </si>
  <si>
    <t>ORD26020971</t>
  </si>
  <si>
    <t>ORD26010972</t>
  </si>
  <si>
    <t>ORD26050973</t>
  </si>
  <si>
    <t>ORD26040974</t>
  </si>
  <si>
    <t>ORD26010975</t>
  </si>
  <si>
    <t>ORD26020976</t>
  </si>
  <si>
    <t>ORD26050977</t>
  </si>
  <si>
    <t>ORD26060978</t>
  </si>
  <si>
    <t>ORD26050979</t>
  </si>
  <si>
    <t>ORD26030980</t>
  </si>
  <si>
    <t>ORD26030981</t>
  </si>
  <si>
    <t>C0201</t>
  </si>
  <si>
    <t>ORD26030982</t>
  </si>
  <si>
    <t>ORD26010983</t>
  </si>
  <si>
    <t>ORD26050984</t>
  </si>
  <si>
    <t>ORD26040985</t>
  </si>
  <si>
    <t>ORD26010986</t>
  </si>
  <si>
    <t>ORD26050987</t>
  </si>
  <si>
    <t>ORD26020988</t>
  </si>
  <si>
    <t>ORD26010989</t>
  </si>
  <si>
    <t>ORD26030990</t>
  </si>
  <si>
    <t>ORD26020991</t>
  </si>
  <si>
    <t>ORD26030992</t>
  </si>
  <si>
    <t>ORD26040993</t>
  </si>
  <si>
    <t>ORD26050994</t>
  </si>
  <si>
    <t>ORD26050995</t>
  </si>
  <si>
    <t>ORD26020996</t>
  </si>
  <si>
    <t>ORD26010997</t>
  </si>
  <si>
    <t>ORD26060998</t>
  </si>
  <si>
    <t>ORD26060999</t>
  </si>
  <si>
    <t>ORD26051000</t>
  </si>
  <si>
    <t>ORD26011001</t>
  </si>
  <si>
    <t>ORD26021002</t>
  </si>
  <si>
    <t>ORD26061003</t>
  </si>
  <si>
    <t>ORD26041004</t>
  </si>
  <si>
    <t>ORD26061005</t>
  </si>
  <si>
    <t>ORD26051006</t>
  </si>
  <si>
    <t>ORD26051007</t>
  </si>
  <si>
    <t>ORD26041008</t>
  </si>
  <si>
    <t>ORD26041009</t>
  </si>
  <si>
    <t>ORD26031010</t>
  </si>
  <si>
    <t>ORD26041011</t>
  </si>
  <si>
    <t>ORD26061012</t>
  </si>
  <si>
    <t>ORD26011013</t>
  </si>
  <si>
    <t>ORD26061014</t>
  </si>
  <si>
    <t>ORD26061015</t>
  </si>
  <si>
    <t>ORD26011016</t>
  </si>
  <si>
    <t>ORD26051017</t>
  </si>
  <si>
    <t>ORD26061018</t>
  </si>
  <si>
    <t>ORD26051019</t>
  </si>
  <si>
    <t>ORD26051020</t>
  </si>
  <si>
    <t>ORD26021021</t>
  </si>
  <si>
    <t>ORD26061022</t>
  </si>
  <si>
    <t>ORD26061023</t>
  </si>
  <si>
    <t>ORD26041024</t>
  </si>
  <si>
    <t>ORD26041025</t>
  </si>
  <si>
    <t>ORD26061026</t>
  </si>
  <si>
    <t>ORD26011027</t>
  </si>
  <si>
    <t>ORD26021028</t>
  </si>
  <si>
    <t>ORD26011029</t>
  </si>
  <si>
    <t>ORD26021030</t>
  </si>
  <si>
    <t>ORD26061031</t>
  </si>
  <si>
    <t>ORD26011032</t>
  </si>
  <si>
    <t>ORD26031033</t>
  </si>
  <si>
    <t>ORD26061034</t>
  </si>
  <si>
    <t>ORD26021035</t>
  </si>
  <si>
    <t>ORD26011036</t>
  </si>
  <si>
    <t>ORD26031037</t>
  </si>
  <si>
    <t>ORD26031038</t>
  </si>
  <si>
    <t>ORD26031039</t>
  </si>
  <si>
    <t>C0043</t>
  </si>
  <si>
    <t>WEBSITE</t>
  </si>
  <si>
    <t>ORD26061040</t>
  </si>
  <si>
    <t>ORD26041041</t>
  </si>
  <si>
    <t>ORD26011042</t>
  </si>
  <si>
    <t>ORD26031043</t>
  </si>
  <si>
    <t>ORD26011044</t>
  </si>
  <si>
    <t>ORD26011045</t>
  </si>
  <si>
    <t>ORD26011046</t>
  </si>
  <si>
    <t>ORD26051047</t>
  </si>
  <si>
    <t>ORD26011048</t>
  </si>
  <si>
    <t>ORD26021049</t>
  </si>
  <si>
    <t>ORD26011050</t>
  </si>
  <si>
    <t>ORD26021051</t>
  </si>
  <si>
    <t>ORD26031052</t>
  </si>
  <si>
    <t>ORD26011053</t>
  </si>
  <si>
    <t>01-02-2026</t>
  </si>
  <si>
    <t>ORD26031054</t>
  </si>
  <si>
    <t>ORD26041055</t>
  </si>
  <si>
    <t>ORD26021056</t>
  </si>
  <si>
    <t>ORD26011057</t>
  </si>
  <si>
    <t>ORD26041058</t>
  </si>
  <si>
    <t>ORD26051059</t>
  </si>
  <si>
    <t>ORD26061060</t>
  </si>
  <si>
    <t>ORD26031061</t>
  </si>
  <si>
    <t>ORD26021062</t>
  </si>
  <si>
    <t>ORD26041063</t>
  </si>
  <si>
    <t>ORD26011064</t>
  </si>
  <si>
    <t>ORD26021065</t>
  </si>
  <si>
    <t>ORD26021066</t>
  </si>
  <si>
    <t>ORD26041067</t>
  </si>
  <si>
    <t>ORD26031068</t>
  </si>
  <si>
    <t>ORD26061069</t>
  </si>
  <si>
    <t>ORD26031070</t>
  </si>
  <si>
    <t>ORD26011071</t>
  </si>
  <si>
    <t>ORD26061072</t>
  </si>
  <si>
    <t>ORD26061073</t>
  </si>
  <si>
    <t>ORD26021074</t>
  </si>
  <si>
    <t>ORD26061075</t>
  </si>
  <si>
    <t>ORD26031076</t>
  </si>
  <si>
    <t>ORD26041077</t>
  </si>
  <si>
    <t>ORD26041078</t>
  </si>
  <si>
    <t>ORD26051079</t>
  </si>
  <si>
    <t>ORD26031080</t>
  </si>
  <si>
    <t>ORD26051081</t>
  </si>
  <si>
    <t>ORD26031082</t>
  </si>
  <si>
    <t>ORD26061083</t>
  </si>
  <si>
    <t>ORD26011084</t>
  </si>
  <si>
    <t>ORD26061085</t>
  </si>
  <si>
    <t>C0101</t>
  </si>
  <si>
    <t>ORD26061086</t>
  </si>
  <si>
    <t>ORD26011087</t>
  </si>
  <si>
    <t>ORD26021088</t>
  </si>
  <si>
    <t>ORD26061089</t>
  </si>
  <si>
    <t>ORD26011090</t>
  </si>
  <si>
    <t>ORD26021091</t>
  </si>
  <si>
    <t>ORD26051092</t>
  </si>
  <si>
    <t>ORD26021093</t>
  </si>
  <si>
    <t>ORD26061094</t>
  </si>
  <si>
    <t>ORD26011095</t>
  </si>
  <si>
    <t>ORD26011096</t>
  </si>
  <si>
    <t>ORD26061097</t>
  </si>
  <si>
    <t>ORD26031098</t>
  </si>
  <si>
    <t>ORD26011099</t>
  </si>
  <si>
    <t>ORD26061100</t>
  </si>
  <si>
    <t>ORD26041101</t>
  </si>
  <si>
    <t>ORD26011102</t>
  </si>
  <si>
    <t>ORD26051103</t>
  </si>
  <si>
    <t>ORD26011104</t>
  </si>
  <si>
    <t>ORD26061105</t>
  </si>
  <si>
    <t>ORD26061106</t>
  </si>
  <si>
    <t>ORD26021107</t>
  </si>
  <si>
    <t>ORD26061108</t>
  </si>
  <si>
    <t>ORD26021109</t>
  </si>
  <si>
    <t>ORD26041110</t>
  </si>
  <si>
    <t>ORD26031111</t>
  </si>
  <si>
    <t>ORD26021112</t>
  </si>
  <si>
    <t>ORD26031113</t>
  </si>
  <si>
    <t>ORD26061114</t>
  </si>
  <si>
    <t>ORD26061115</t>
  </si>
  <si>
    <t>ORD26011116</t>
  </si>
  <si>
    <t>ORD26011117</t>
  </si>
  <si>
    <t>ORD26021118</t>
  </si>
  <si>
    <t>ORD26051119</t>
  </si>
  <si>
    <t>ORD26021120</t>
  </si>
  <si>
    <t>ORD26061121</t>
  </si>
  <si>
    <t>ORD26031122</t>
  </si>
  <si>
    <t>ORD26051123</t>
  </si>
  <si>
    <t>ORD26021124</t>
  </si>
  <si>
    <t>ORD26011125</t>
  </si>
  <si>
    <t>ORD26011126</t>
  </si>
  <si>
    <t>ORD26061127</t>
  </si>
  <si>
    <t>ORD26031128</t>
  </si>
  <si>
    <t>ORD26041129</t>
  </si>
  <si>
    <t>ORD26011130</t>
  </si>
  <si>
    <t>ORD26051131</t>
  </si>
  <si>
    <t>ORD26051132</t>
  </si>
  <si>
    <t>ORD26021133</t>
  </si>
  <si>
    <t>ORD26031134</t>
  </si>
  <si>
    <t>ORD26011135</t>
  </si>
  <si>
    <t>ORD26041136</t>
  </si>
  <si>
    <t>ORD26061137</t>
  </si>
  <si>
    <t>ORD26011138</t>
  </si>
  <si>
    <t>ORD26061139</t>
  </si>
  <si>
    <t>ORD26021140</t>
  </si>
  <si>
    <t>ORD26051141</t>
  </si>
  <si>
    <t>ORD26051142</t>
  </si>
  <si>
    <t>ORD26051143</t>
  </si>
  <si>
    <t>ORD26051144</t>
  </si>
  <si>
    <t>ORD26061145</t>
  </si>
  <si>
    <t>ORD26061146</t>
  </si>
  <si>
    <t>ORD26031147</t>
  </si>
  <si>
    <t>ORD26031148</t>
  </si>
  <si>
    <t>ORD26031149</t>
  </si>
  <si>
    <t>ORD26011150</t>
  </si>
  <si>
    <t>ORD26041151</t>
  </si>
  <si>
    <t>ORD26051152</t>
  </si>
  <si>
    <t>ORD26041153</t>
  </si>
  <si>
    <t>ORD26011154</t>
  </si>
  <si>
    <t>ORD26031155</t>
  </si>
  <si>
    <t>ORD26041156</t>
  </si>
  <si>
    <t>ORD26051157</t>
  </si>
  <si>
    <t>ORD26041158</t>
  </si>
  <si>
    <t>ORD26021159</t>
  </si>
  <si>
    <t>ORD26041160</t>
  </si>
  <si>
    <t>ORD26051161</t>
  </si>
  <si>
    <t>ORD26061162</t>
  </si>
  <si>
    <t>ORD26011163</t>
  </si>
  <si>
    <t>ORD26031164</t>
  </si>
  <si>
    <t>ORD26021165</t>
  </si>
  <si>
    <t>ORD26031166</t>
  </si>
  <si>
    <t>ORD26021167</t>
  </si>
  <si>
    <t>ORD26031168</t>
  </si>
  <si>
    <t>ORD26031169</t>
  </si>
  <si>
    <t>ORD26021170</t>
  </si>
  <si>
    <t>ORD26061171</t>
  </si>
  <si>
    <t>ORD26021172</t>
  </si>
  <si>
    <t>ORD26051173</t>
  </si>
  <si>
    <t>ORD26061174</t>
  </si>
  <si>
    <t>ORD26041175</t>
  </si>
  <si>
    <t>ORD26041176</t>
  </si>
  <si>
    <t>ORD26021177</t>
  </si>
  <si>
    <t>ORD26011178</t>
  </si>
  <si>
    <t>ORD26051179</t>
  </si>
  <si>
    <t>ORD26011180</t>
  </si>
  <si>
    <t>ORD26011181</t>
  </si>
  <si>
    <t>ORD26021182</t>
  </si>
  <si>
    <t>ORD26051183</t>
  </si>
  <si>
    <t>ORD26031184</t>
  </si>
  <si>
    <t>ORD26021185</t>
  </si>
  <si>
    <t>ORD26041186</t>
  </si>
  <si>
    <t>ORD26061187</t>
  </si>
  <si>
    <t>ORD26031188</t>
  </si>
  <si>
    <t>ORD26051189</t>
  </si>
  <si>
    <t>ORD26061190</t>
  </si>
  <si>
    <t>ORD26011191</t>
  </si>
  <si>
    <t>ORD26041192</t>
  </si>
  <si>
    <t>ORD26031193</t>
  </si>
  <si>
    <t>ORD26011194</t>
  </si>
  <si>
    <t>ORD26061195</t>
  </si>
  <si>
    <t>ORD26031196</t>
  </si>
  <si>
    <t>ORD26011197</t>
  </si>
  <si>
    <t>ORD26061198</t>
  </si>
  <si>
    <t>ORD26031199</t>
  </si>
  <si>
    <t>ORD26061200</t>
  </si>
  <si>
    <t>Employee_Name</t>
  </si>
  <si>
    <t>Region</t>
  </si>
  <si>
    <t>Base_City</t>
  </si>
  <si>
    <t>Role</t>
  </si>
  <si>
    <t>Arun Kumar</t>
  </si>
  <si>
    <t>South</t>
  </si>
  <si>
    <t>Sales Executive</t>
  </si>
  <si>
    <t>Priya S</t>
  </si>
  <si>
    <t>Rahul M</t>
  </si>
  <si>
    <t>Divya R</t>
  </si>
  <si>
    <t>Coimbatore</t>
  </si>
  <si>
    <t>Karthik V</t>
  </si>
  <si>
    <t>Sneha P</t>
  </si>
  <si>
    <t>West</t>
  </si>
  <si>
    <t>Vikram J</t>
  </si>
  <si>
    <t>Neha A</t>
  </si>
  <si>
    <t>Ahmedabad</t>
  </si>
  <si>
    <t>Amit K</t>
  </si>
  <si>
    <t>North</t>
  </si>
  <si>
    <t>Pooja T</t>
  </si>
  <si>
    <t>Rohit S</t>
  </si>
  <si>
    <t>Lucknow</t>
  </si>
  <si>
    <t>Isha D</t>
  </si>
  <si>
    <t>East</t>
  </si>
  <si>
    <t>Sanjay B</t>
  </si>
  <si>
    <t>Bhubaneswar</t>
  </si>
  <si>
    <t>Meera N</t>
  </si>
  <si>
    <t>Central</t>
  </si>
  <si>
    <t>Aditya G</t>
  </si>
  <si>
    <t>Bhopal</t>
  </si>
  <si>
    <t>Product_Name</t>
  </si>
  <si>
    <t>Category</t>
  </si>
  <si>
    <t>List_Price_INR</t>
  </si>
  <si>
    <t>Unit_Cost_INR</t>
  </si>
  <si>
    <t>Wireless Mouse</t>
  </si>
  <si>
    <t>Accessories</t>
  </si>
  <si>
    <t>Mechanical Keyboard</t>
  </si>
  <si>
    <t>USB-C Hub</t>
  </si>
  <si>
    <t>24-inch Monitor</t>
  </si>
  <si>
    <t>Displays</t>
  </si>
  <si>
    <t>27-inch Monitor</t>
  </si>
  <si>
    <t>Laptop Stand</t>
  </si>
  <si>
    <t>Webcam HD</t>
  </si>
  <si>
    <t>Office Chair</t>
  </si>
  <si>
    <t>Furniture</t>
  </si>
  <si>
    <t>Standing Desk</t>
  </si>
  <si>
    <t>Headset</t>
  </si>
  <si>
    <t>Audio</t>
  </si>
  <si>
    <t>Bluetooth Speaker</t>
  </si>
  <si>
    <t>Laptop 14-inch</t>
  </si>
  <si>
    <t>Computers</t>
  </si>
  <si>
    <t>Target_Month</t>
  </si>
  <si>
    <t>Monthly_Sales_Target_INR</t>
  </si>
  <si>
    <t>Monthly_Orders_Target</t>
  </si>
  <si>
    <t>2026-01</t>
  </si>
  <si>
    <t>2026-02</t>
  </si>
  <si>
    <t>2026-03</t>
  </si>
  <si>
    <t>2026-04</t>
  </si>
  <si>
    <t>2026-05</t>
  </si>
  <si>
    <t>2026-06</t>
  </si>
  <si>
    <t>Return_ID</t>
  </si>
  <si>
    <t>Return_Date</t>
  </si>
  <si>
    <t>Return_Quantity</t>
  </si>
  <si>
    <t>Return_Reason</t>
  </si>
  <si>
    <t>Return_Status</t>
  </si>
  <si>
    <t>RET0001</t>
  </si>
  <si>
    <t>Wrong item</t>
  </si>
  <si>
    <t>Approved</t>
  </si>
  <si>
    <t>RET0002</t>
  </si>
  <si>
    <t>RET0003</t>
  </si>
  <si>
    <t>Other</t>
  </si>
  <si>
    <t>Rejected</t>
  </si>
  <si>
    <t>RET0004</t>
  </si>
  <si>
    <t>RET0005</t>
  </si>
  <si>
    <t>Late delivery</t>
  </si>
  <si>
    <t>RET0006</t>
  </si>
  <si>
    <t>Customer changed mind</t>
  </si>
  <si>
    <t>RET0007</t>
  </si>
  <si>
    <t>RET0008</t>
  </si>
  <si>
    <t>RET0009</t>
  </si>
  <si>
    <t>RET0010</t>
  </si>
  <si>
    <t>RET0011</t>
  </si>
  <si>
    <t>RET0012</t>
  </si>
  <si>
    <t>RET0013</t>
  </si>
  <si>
    <t>Damaged</t>
  </si>
  <si>
    <t>RET0014</t>
  </si>
  <si>
    <t>RET0015</t>
  </si>
  <si>
    <t>RET0016</t>
  </si>
  <si>
    <t>RET0017</t>
  </si>
  <si>
    <t>RET0018</t>
  </si>
  <si>
    <t>RET0019</t>
  </si>
  <si>
    <t>RET0020</t>
  </si>
  <si>
    <t>RET0021</t>
  </si>
  <si>
    <t>RET0022</t>
  </si>
  <si>
    <t xml:space="preserve"> approved </t>
  </si>
  <si>
    <t>RET0023</t>
  </si>
  <si>
    <t>RET0024</t>
  </si>
  <si>
    <t>RET0025</t>
  </si>
  <si>
    <t>RET0026</t>
  </si>
  <si>
    <t>RET0027</t>
  </si>
  <si>
    <t>RET0028</t>
  </si>
  <si>
    <t>RET0029</t>
  </si>
  <si>
    <t>ORD_UNKNOWN</t>
  </si>
  <si>
    <t>RET0030</t>
  </si>
  <si>
    <t>RET0031</t>
  </si>
  <si>
    <t>RET0032</t>
  </si>
  <si>
    <t>RET0033</t>
  </si>
  <si>
    <t>RET0034</t>
  </si>
  <si>
    <t>RET0035</t>
  </si>
  <si>
    <t>RET0036</t>
  </si>
  <si>
    <t>RET0037</t>
  </si>
  <si>
    <t>RET0038</t>
  </si>
  <si>
    <t>RET0039</t>
  </si>
  <si>
    <t>RET0040</t>
  </si>
  <si>
    <t>RET0041</t>
  </si>
  <si>
    <t>RET0042</t>
  </si>
  <si>
    <t>RET0043</t>
  </si>
  <si>
    <t>RET0044</t>
  </si>
  <si>
    <t>RET0045</t>
  </si>
  <si>
    <t>RET0046</t>
  </si>
  <si>
    <t>RET0047</t>
  </si>
  <si>
    <t>RET0048</t>
  </si>
  <si>
    <t>RET0049</t>
  </si>
  <si>
    <t>PENDING</t>
  </si>
  <si>
    <t>RET0050</t>
  </si>
  <si>
    <t>RET0051</t>
  </si>
  <si>
    <t>RET0052</t>
  </si>
  <si>
    <t>RET0053</t>
  </si>
  <si>
    <t>RET0054</t>
  </si>
  <si>
    <t>RET0055</t>
  </si>
  <si>
    <t>RET0056</t>
  </si>
  <si>
    <t>RET0057</t>
  </si>
  <si>
    <t>RET0058</t>
  </si>
  <si>
    <t>RET0059</t>
  </si>
  <si>
    <t>RET0060</t>
  </si>
  <si>
    <t>RET0061</t>
  </si>
  <si>
    <t>RET0062</t>
  </si>
  <si>
    <t>rejected</t>
  </si>
  <si>
    <t>RET0063</t>
  </si>
  <si>
    <t>RET0064</t>
  </si>
  <si>
    <t>RET0065</t>
  </si>
  <si>
    <t>Field</t>
  </si>
  <si>
    <t>Definition / Handling Notes</t>
  </si>
  <si>
    <t>Unique order/transaction identifier; duplicates are intentionally present for investigation.</t>
  </si>
  <si>
    <t>Order date; some rows use text dates or blanks.</t>
  </si>
  <si>
    <t>Customer identifier; some values are missing.</t>
  </si>
  <si>
    <t>Salesperson identifier; should match Employee_Master.</t>
  </si>
  <si>
    <t>Product identifier; should match Product_Master.</t>
  </si>
  <si>
    <t>Units on the order; some values are missing.</t>
  </si>
  <si>
    <t>Recorded unit selling price before discount.</t>
  </si>
  <si>
    <t>Decimal rate (e.g. 0.10 = 10%); some invalid values are present.</t>
  </si>
  <si>
    <t>Order lifecycle status; values are intentionally inconsistent.</t>
  </si>
  <si>
    <t>Origin of order: Direct, Website, Marketplace, Phone.</t>
  </si>
  <si>
    <t>Payment type; text variants are intentionally inconsistent.</t>
  </si>
  <si>
    <t>Recorded line sales after discount; verify against recalculation.</t>
  </si>
  <si>
    <t>Destination city; some values are missing.</t>
  </si>
  <si>
    <t>Product_Master.Unit_Cost_INR</t>
  </si>
  <si>
    <t>Unit cost for estimated gross profit; assumes current cost applies to all rows.</t>
  </si>
  <si>
    <t>Sales_Targets.Monthly_Sales_Target_INR</t>
  </si>
  <si>
    <t>Monthly sales target for each employee.</t>
  </si>
  <si>
    <t>Returns.Return_Status</t>
  </si>
  <si>
    <t>Approval state; only approved returns should count as approved return quantities.</t>
  </si>
  <si>
    <t>Upi</t>
  </si>
  <si>
    <t>Calculated_Net_Sales_INR</t>
  </si>
  <si>
    <t>Sales_Reconciliation_Status</t>
  </si>
  <si>
    <t>Match</t>
  </si>
  <si>
    <t>Unknown</t>
  </si>
  <si>
    <t>Invalid Inputs</t>
  </si>
  <si>
    <t>Row Labels</t>
  </si>
  <si>
    <t>(blank)</t>
  </si>
  <si>
    <t>Grand Total</t>
  </si>
  <si>
    <t>Order Count</t>
  </si>
  <si>
    <t>Realized_Sales_INR</t>
  </si>
  <si>
    <t>Realized Sales</t>
  </si>
  <si>
    <t>Jan</t>
  </si>
  <si>
    <t>Feb</t>
  </si>
  <si>
    <t>Mar</t>
  </si>
  <si>
    <t>Apr</t>
  </si>
  <si>
    <t>May</t>
  </si>
  <si>
    <t>Jun</t>
  </si>
  <si>
    <t>2026</t>
  </si>
  <si>
    <t>SALES &amp; OPERATIONS MIS DASHBOARD</t>
  </si>
  <si>
    <t>Total Realized Sales</t>
  </si>
  <si>
    <t>Total Completed Orders</t>
  </si>
  <si>
    <t>Average Order Value</t>
  </si>
  <si>
    <t>Gross Profit Margin %</t>
  </si>
  <si>
    <t>Return Rate %</t>
  </si>
  <si>
    <t>Pending Orders</t>
  </si>
  <si>
    <t>Target Achievement %</t>
  </si>
  <si>
    <t>Gross_Profit_INR</t>
  </si>
  <si>
    <t>Sales Dashboard — Business Insights</t>
  </si>
  <si>
    <t>1. Overall Business Performance</t>
  </si>
  <si>
    <r>
      <t>Total Realized Sales:</t>
    </r>
    <r>
      <rPr>
        <sz val="11"/>
        <color theme="1"/>
        <rFont val="Calibri"/>
        <family val="2"/>
        <scheme val="minor"/>
      </rPr>
      <t xml:space="preserve"> ₹2,68,65,227.25</t>
    </r>
  </si>
  <si>
    <r>
      <t>Total Orders:</t>
    </r>
    <r>
      <rPr>
        <sz val="11"/>
        <color theme="1"/>
        <rFont val="Calibri"/>
        <family val="2"/>
        <scheme val="minor"/>
      </rPr>
      <t xml:space="preserve"> 1,208</t>
    </r>
  </si>
  <si>
    <r>
      <t>Average Order Value (AOV):</t>
    </r>
    <r>
      <rPr>
        <sz val="11"/>
        <color theme="1"/>
        <rFont val="Calibri"/>
        <family val="2"/>
        <scheme val="minor"/>
      </rPr>
      <t xml:space="preserve"> ₹22,239.43</t>
    </r>
  </si>
  <si>
    <r>
      <t>Target Achievement:</t>
    </r>
    <r>
      <rPr>
        <sz val="11"/>
        <color theme="1"/>
        <rFont val="Calibri"/>
        <family val="2"/>
        <scheme val="minor"/>
      </rPr>
      <t xml:space="preserve"> 56.18%</t>
    </r>
  </si>
  <si>
    <r>
      <t>Return Rate:</t>
    </r>
    <r>
      <rPr>
        <sz val="11"/>
        <color theme="1"/>
        <rFont val="Calibri"/>
        <family val="2"/>
        <scheme val="minor"/>
      </rPr>
      <t xml:space="preserve"> 5.30%</t>
    </r>
  </si>
  <si>
    <r>
      <t>Pending Orders:</t>
    </r>
    <r>
      <rPr>
        <sz val="11"/>
        <color theme="1"/>
        <rFont val="Calibri"/>
        <family val="2"/>
        <scheme val="minor"/>
      </rPr>
      <t xml:space="preserve"> 76</t>
    </r>
  </si>
  <si>
    <r>
      <t>Gross Profit Margin:</t>
    </r>
    <r>
      <rPr>
        <sz val="11"/>
        <color theme="1"/>
        <rFont val="Calibri"/>
        <family val="2"/>
        <scheme val="minor"/>
      </rPr>
      <t xml:space="preserve"> -0.46% (provisional; requires validation)</t>
    </r>
  </si>
  <si>
    <t>2. Target Achievement Analysis</t>
  </si>
  <si>
    <t>The reported target achievement is 56.18%, indicating that realized sales are below the combined sales target for the reporting period.</t>
  </si>
  <si>
    <r>
      <t>Business implication:</t>
    </r>
    <r>
      <rPr>
        <sz val="11"/>
        <color theme="1"/>
        <rFont val="Calibri"/>
        <family val="2"/>
        <scheme val="minor"/>
      </rPr>
      <t xml:space="preserve"> Management should investigate which regions and employees are contributing to the shortfall and identify the factors affecting sales performance.</t>
    </r>
  </si>
  <si>
    <t>3. Returns Analysis</t>
  </si>
  <si>
    <t>The reported return rate is 5.30%.</t>
  </si>
  <si>
    <r>
      <t>Business implication:</t>
    </r>
    <r>
      <rPr>
        <sz val="11"/>
        <color theme="1"/>
        <rFont val="Calibri"/>
        <family val="2"/>
        <scheme val="minor"/>
      </rPr>
      <t xml:space="preserve"> Management should investigate the main return reasons, identify products with higher return rates, and determine whether product quality, delivery issues, or customer expectations contribute to returns.</t>
    </r>
  </si>
  <si>
    <t>4. Pending Orders</t>
  </si>
  <si>
    <t>The dashboard reports 76 pending orders.</t>
  </si>
  <si>
    <r>
      <t>Business implication:</t>
    </r>
    <r>
      <rPr>
        <sz val="11"/>
        <color theme="1"/>
        <rFont val="Calibri"/>
        <family val="2"/>
        <scheme val="minor"/>
      </rPr>
      <t xml:space="preserve"> These orders should be monitored to identify delays, resolve operational bottlenecks, and improve order completion time.</t>
    </r>
  </si>
  <si>
    <t>5. Profitability Analysis</t>
  </si>
  <si>
    <t>The provisional gross profit margin is -0.46%.</t>
  </si>
  <si>
    <r>
      <t>Business implication:</t>
    </r>
    <r>
      <rPr>
        <sz val="11"/>
        <color theme="1"/>
        <rFont val="Calibri"/>
        <family val="2"/>
        <scheme val="minor"/>
      </rPr>
      <t xml:space="preserve"> If this figure is correct, the business may be selling products below their cost. However, the calculation must be validated before drawing this conclusion, particularly because the dataset includes different order statuses and potentially incomplete financial inputs.</t>
    </r>
  </si>
  <si>
    <t>6. Interactive Dashboard</t>
  </si>
  <si>
    <t>The dashboard includes Region and Category slicers, allowing management to filter the report and investigate performance across different business segments.</t>
  </si>
  <si>
    <t>These filters help users explore sales performance and identify areas requiring further investigation.</t>
  </si>
  <si>
    <t>7. Data Cleaning and Quality Checks</t>
  </si>
  <si>
    <t>During data preparation, the following issues were identified and addressed:</t>
  </si>
  <si>
    <t>Removed duplicate sales records.</t>
  </si>
  <si>
    <t>Corrected inconsistent date parsing.</t>
  </si>
  <si>
    <t>Identified missing values in important sales fields.</t>
  </si>
  <si>
    <t>Standardized missing identifiers and other text values.</t>
  </si>
  <si>
    <t>Handled invalid discount values.</t>
  </si>
  <si>
    <t>Compared sales records with employee and product master tables.</t>
  </si>
  <si>
    <t>Identified 6 unmatched employee records and 5 unmatched product records.</t>
  </si>
  <si>
    <t>Checked recorded sales against calculated net sales.</t>
  </si>
  <si>
    <t>Integrated return information with sales records for further analysis.</t>
  </si>
  <si>
    <t>These steps improved data consistency and helped prepare the dataset for reporting.</t>
  </si>
  <si>
    <t>Conclusion</t>
  </si>
  <si>
    <t>The project demonstrates practical MIS skills in Excel, Power Query, data cleaning, PivotTables, KPI reporting, and interactive dashboard development. The dashboard provides a foundation for monitoring sales, targets, order status, profitability, and returns.</t>
  </si>
  <si>
    <t>Before presenting the project as a finished business analysis, validate the profitability calculation, target achievement, and order-status figures to ensure the reported KPIs are consistent with the underlying dataset.</t>
  </si>
  <si>
    <t>ers: 1198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</si>
</sst>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5" formatCode="\₹#,##0.00"/>
    <numFmt numFmtId="166" formatCode="\₹#,##0"/>
  </numFmts>
  <fonts count="6" x14ac:knownFonts="1">
    <font>
      <sz val="11"/>
      <color theme="1"/>
      <name val="Calibri"/>
      <family val="2"/>
      <scheme val="minor"/>
    </font>
    <font>
      <b/>
      <sz val="11"/>
      <color rgb="FFFFFFFF"/>
      <name val="Calibri"/>
    </font>
    <font>
      <b/>
      <sz val="11"/>
      <color theme="1"/>
      <name val="Calibri"/>
      <family val="2"/>
      <scheme val="minor"/>
    </font>
    <font>
      <sz val="33"/>
      <color theme="0"/>
      <name val="Times New Roman"/>
      <family val="1"/>
    </font>
    <font>
      <b/>
      <sz val="24"/>
      <color theme="1"/>
      <name val="Calibri"/>
      <family val="2"/>
      <scheme val="minor"/>
    </font>
    <font>
      <b/>
      <sz val="18"/>
      <color theme="1"/>
      <name val="Calibri"/>
      <family val="2"/>
      <scheme val="minor"/>
    </font>
  </fonts>
  <fills count="5">
    <fill>
      <patternFill patternType="none"/>
    </fill>
    <fill>
      <patternFill patternType="gray125"/>
    </fill>
    <fill>
      <patternFill patternType="solid">
        <fgColor rgb="FF17365D"/>
      </patternFill>
    </fill>
    <fill>
      <patternFill patternType="solid">
        <fgColor rgb="FFF1F5F9"/>
        <bgColor indexed="64"/>
      </patternFill>
    </fill>
    <fill>
      <patternFill patternType="solid">
        <fgColor theme="4" tint="-0.249977111117893"/>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0">
    <xf numFmtId="0" fontId="0" fillId="0" borderId="0" xfId="0"/>
    <xf numFmtId="164" fontId="0" fillId="0" borderId="0" xfId="0" applyNumberFormat="1"/>
    <xf numFmtId="165" fontId="0" fillId="0" borderId="0" xfId="0" applyNumberFormat="1"/>
    <xf numFmtId="9" fontId="0" fillId="0" borderId="0" xfId="0" applyNumberFormat="1"/>
    <xf numFmtId="166" fontId="0" fillId="0" borderId="0" xfId="0" applyNumberFormat="1"/>
    <xf numFmtId="0" fontId="1" fillId="2" borderId="1" xfId="0" applyFont="1" applyFill="1" applyBorder="1" applyAlignment="1">
      <alignment vertical="center" wrapText="1"/>
    </xf>
    <xf numFmtId="0" fontId="0" fillId="0" borderId="0" xfId="0" pivotButton="1"/>
    <xf numFmtId="0" fontId="0" fillId="0" borderId="0" xfId="0" applyAlignment="1">
      <alignment horizontal="left"/>
    </xf>
    <xf numFmtId="0" fontId="0" fillId="0" borderId="0" xfId="0" applyNumberFormat="1"/>
    <xf numFmtId="0" fontId="2" fillId="0" borderId="0" xfId="0" applyFont="1"/>
    <xf numFmtId="0" fontId="0" fillId="0" borderId="0" xfId="0" applyAlignment="1">
      <alignment horizontal="left" indent="1"/>
    </xf>
    <xf numFmtId="2" fontId="0" fillId="0" borderId="0" xfId="0" applyNumberFormat="1"/>
    <xf numFmtId="1" fontId="0" fillId="0" borderId="0" xfId="0" applyNumberFormat="1"/>
    <xf numFmtId="0" fontId="0" fillId="3" borderId="0" xfId="0" applyFill="1"/>
    <xf numFmtId="22" fontId="0" fillId="0" borderId="0" xfId="0" applyNumberFormat="1"/>
    <xf numFmtId="0" fontId="3" fillId="4" borderId="0" xfId="0" applyFont="1" applyFill="1" applyAlignment="1">
      <alignment horizontal="center"/>
    </xf>
    <xf numFmtId="0" fontId="4" fillId="0" borderId="0" xfId="0" applyFont="1" applyAlignment="1">
      <alignment vertical="center"/>
    </xf>
    <xf numFmtId="0" fontId="5" fillId="0" borderId="0" xfId="0" applyFont="1" applyAlignment="1">
      <alignment vertical="center"/>
    </xf>
    <xf numFmtId="0" fontId="0" fillId="0" borderId="0" xfId="0" applyAlignment="1">
      <alignment horizontal="left" vertical="center" indent="1"/>
    </xf>
    <xf numFmtId="0" fontId="2" fillId="0" borderId="0" xfId="0" applyFont="1" applyAlignment="1">
      <alignment horizontal="left" vertical="center" indent="1"/>
    </xf>
  </cellXfs>
  <cellStyles count="1">
    <cellStyle name="Normal" xfId="0" builtinId="0"/>
  </cellStyles>
  <dxfs count="4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1" formatCode="0"/>
    </dxf>
    <dxf>
      <border outline="0">
        <top style="thin">
          <color auto="1"/>
        </top>
      </border>
    </dxf>
    <dxf>
      <border outline="0">
        <bottom style="thin">
          <color auto="1"/>
        </bottom>
      </border>
    </dxf>
    <dxf>
      <font>
        <b/>
        <i val="0"/>
        <strike val="0"/>
        <condense val="0"/>
        <extend val="0"/>
        <outline val="0"/>
        <shadow val="0"/>
        <u val="none"/>
        <vertAlign val="baseline"/>
        <sz val="11"/>
        <color rgb="FFFFFFFF"/>
        <name val="Calibri"/>
        <scheme val="none"/>
      </font>
      <fill>
        <patternFill patternType="solid">
          <fgColor indexed="64"/>
          <bgColor rgb="FF17365D"/>
        </patternFill>
      </fill>
      <alignment horizontal="general" vertical="center" textRotation="0" wrapText="1" indent="0" justifyLastLine="0" shrinkToFit="0" readingOrder="0"/>
      <border diagonalUp="0" diagonalDown="0" outline="0">
        <left style="thin">
          <color auto="1"/>
        </left>
        <right style="thin">
          <color auto="1"/>
        </right>
        <top/>
        <bottom/>
      </border>
    </dxf>
    <dxf>
      <numFmt numFmtId="164" formatCode="dd\-mmm\-yyyy"/>
    </dxf>
    <dxf>
      <border outline="0">
        <top style="thin">
          <color auto="1"/>
        </top>
      </border>
    </dxf>
    <dxf>
      <border outline="0">
        <bottom style="thin">
          <color auto="1"/>
        </bottom>
      </border>
    </dxf>
    <dxf>
      <font>
        <b/>
        <i val="0"/>
        <strike val="0"/>
        <condense val="0"/>
        <extend val="0"/>
        <outline val="0"/>
        <shadow val="0"/>
        <u val="none"/>
        <vertAlign val="baseline"/>
        <sz val="11"/>
        <color rgb="FFFFFFFF"/>
        <name val="Calibri"/>
        <scheme val="none"/>
      </font>
      <fill>
        <patternFill patternType="solid">
          <fgColor indexed="64"/>
          <bgColor rgb="FF17365D"/>
        </patternFill>
      </fill>
      <alignment horizontal="general" vertical="center" textRotation="0" wrapText="1"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rgb="FFFFFFFF"/>
        <name val="Calibri"/>
        <scheme val="none"/>
      </font>
      <fill>
        <patternFill patternType="solid">
          <fgColor indexed="64"/>
          <bgColor rgb="FF17365D"/>
        </patternFill>
      </fill>
      <alignment horizontal="general" vertical="center" textRotation="0" wrapText="1" indent="0" justifyLastLine="0" shrinkToFit="0" readingOrder="0"/>
      <border diagonalUp="0" diagonalDown="0" outline="0">
        <left style="thin">
          <color auto="1"/>
        </left>
        <right style="thin">
          <color auto="1"/>
        </right>
        <top/>
        <bottom/>
      </border>
    </dxf>
    <dxf>
      <numFmt numFmtId="166" formatCode="\₹#,##0"/>
    </dxf>
    <dxf>
      <numFmt numFmtId="166" formatCode="\₹#,##0"/>
    </dxf>
    <dxf>
      <border outline="0">
        <top style="thin">
          <color auto="1"/>
        </top>
      </border>
    </dxf>
    <dxf>
      <border outline="0">
        <bottom style="thin">
          <color auto="1"/>
        </bottom>
      </border>
    </dxf>
    <dxf>
      <font>
        <b/>
        <i val="0"/>
        <strike val="0"/>
        <condense val="0"/>
        <extend val="0"/>
        <outline val="0"/>
        <shadow val="0"/>
        <u val="none"/>
        <vertAlign val="baseline"/>
        <sz val="11"/>
        <color rgb="FFFFFFFF"/>
        <name val="Calibri"/>
        <scheme val="none"/>
      </font>
      <fill>
        <patternFill patternType="solid">
          <fgColor indexed="64"/>
          <bgColor rgb="FF17365D"/>
        </patternFill>
      </fill>
      <alignment horizontal="general" vertical="center" textRotation="0" wrapText="1"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rgb="FFFFFFFF"/>
        <name val="Calibri"/>
        <scheme val="none"/>
      </font>
      <fill>
        <patternFill patternType="solid">
          <fgColor indexed="64"/>
          <bgColor rgb="FF17365D"/>
        </patternFill>
      </fill>
      <alignment horizontal="general" vertical="center" textRotation="0" wrapText="1" indent="0" justifyLastLine="0" shrinkToFit="0" readingOrder="0"/>
      <border diagonalUp="0" diagonalDown="0" outline="0">
        <left style="thin">
          <color auto="1"/>
        </left>
        <right style="thin">
          <color auto="1"/>
        </right>
        <top/>
        <bottom/>
      </border>
    </dxf>
    <dxf>
      <numFmt numFmtId="165" formatCode="\₹#,##0.00"/>
    </dxf>
    <dxf>
      <numFmt numFmtId="13" formatCode="0%"/>
    </dxf>
    <dxf>
      <numFmt numFmtId="165" formatCode="\₹#,##0.00"/>
    </dxf>
    <dxf>
      <numFmt numFmtId="164" formatCode="dd\-mmm\-yyyy"/>
    </dxf>
    <dxf>
      <border outline="0">
        <top style="thin">
          <color auto="1"/>
        </top>
      </border>
    </dxf>
    <dxf>
      <border outline="0">
        <bottom style="thin">
          <color auto="1"/>
        </bottom>
      </border>
    </dxf>
    <dxf>
      <font>
        <b/>
        <i val="0"/>
        <strike val="0"/>
        <condense val="0"/>
        <extend val="0"/>
        <outline val="0"/>
        <shadow val="0"/>
        <u val="none"/>
        <vertAlign val="baseline"/>
        <sz val="11"/>
        <color rgb="FFFFFFFF"/>
        <name val="Calibri"/>
        <scheme val="none"/>
      </font>
      <fill>
        <patternFill patternType="solid">
          <fgColor indexed="64"/>
          <bgColor rgb="FF17365D"/>
        </patternFill>
      </fill>
      <alignment horizontal="general" vertical="center" textRotation="0" wrapText="1"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E8EEF5"/>
      <color rgb="FFF1F5F9"/>
      <color rgb="FF64748B"/>
      <color rgb="FF142D4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[MIS_Executive_Final_Project_Dataset.xlsx]MIS_Summary!PivotTable1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MIS_Summary!$B$3</c:f>
              <c:strCache>
                <c:ptCount val="1"/>
                <c:pt idx="0">
                  <c:v>Realized Sales</c:v>
                </c:pt>
              </c:strCache>
            </c:strRef>
          </c:tx>
          <c:spPr>
            <a:solidFill>
              <a:schemeClr val="accent1"/>
            </a:solidFill>
            <a:ln>
              <a:noFill/>
            </a:ln>
            <a:effectLst/>
          </c:spPr>
          <c:invertIfNegative val="0"/>
          <c:cat>
            <c:strRef>
              <c:f>MIS_Summary!$A$4:$A$10</c:f>
              <c:strCache>
                <c:ptCount val="6"/>
                <c:pt idx="0">
                  <c:v>Central</c:v>
                </c:pt>
                <c:pt idx="1">
                  <c:v>East</c:v>
                </c:pt>
                <c:pt idx="2">
                  <c:v>North</c:v>
                </c:pt>
                <c:pt idx="3">
                  <c:v>South</c:v>
                </c:pt>
                <c:pt idx="4">
                  <c:v>West</c:v>
                </c:pt>
                <c:pt idx="5">
                  <c:v>(blank)</c:v>
                </c:pt>
              </c:strCache>
            </c:strRef>
          </c:cat>
          <c:val>
            <c:numRef>
              <c:f>MIS_Summary!$B$4:$B$10</c:f>
              <c:numCache>
                <c:formatCode>General</c:formatCode>
                <c:ptCount val="6"/>
                <c:pt idx="0">
                  <c:v>4370241.75</c:v>
                </c:pt>
                <c:pt idx="1">
                  <c:v>2639017</c:v>
                </c:pt>
                <c:pt idx="2">
                  <c:v>4900214.25</c:v>
                </c:pt>
                <c:pt idx="3">
                  <c:v>10315707.125</c:v>
                </c:pt>
                <c:pt idx="4">
                  <c:v>4618642.625</c:v>
                </c:pt>
                <c:pt idx="5">
                  <c:v>21404.5</c:v>
                </c:pt>
              </c:numCache>
            </c:numRef>
          </c:val>
          <c:extLst>
            <c:ext xmlns:c16="http://schemas.microsoft.com/office/drawing/2014/chart" uri="{C3380CC4-5D6E-409C-BE32-E72D297353CC}">
              <c16:uniqueId val="{00000000-C74D-415E-8350-DD86306ABC56}"/>
            </c:ext>
          </c:extLst>
        </c:ser>
        <c:ser>
          <c:idx val="1"/>
          <c:order val="1"/>
          <c:tx>
            <c:strRef>
              <c:f>MIS_Summary!$C$3</c:f>
              <c:strCache>
                <c:ptCount val="1"/>
                <c:pt idx="0">
                  <c:v>Order Count</c:v>
                </c:pt>
              </c:strCache>
            </c:strRef>
          </c:tx>
          <c:spPr>
            <a:solidFill>
              <a:schemeClr val="accent2"/>
            </a:solidFill>
            <a:ln>
              <a:noFill/>
            </a:ln>
            <a:effectLst/>
          </c:spPr>
          <c:invertIfNegative val="0"/>
          <c:cat>
            <c:strRef>
              <c:f>MIS_Summary!$A$4:$A$10</c:f>
              <c:strCache>
                <c:ptCount val="6"/>
                <c:pt idx="0">
                  <c:v>Central</c:v>
                </c:pt>
                <c:pt idx="1">
                  <c:v>East</c:v>
                </c:pt>
                <c:pt idx="2">
                  <c:v>North</c:v>
                </c:pt>
                <c:pt idx="3">
                  <c:v>South</c:v>
                </c:pt>
                <c:pt idx="4">
                  <c:v>West</c:v>
                </c:pt>
                <c:pt idx="5">
                  <c:v>(blank)</c:v>
                </c:pt>
              </c:strCache>
            </c:strRef>
          </c:cat>
          <c:val>
            <c:numRef>
              <c:f>MIS_Summary!$C$4:$C$10</c:f>
              <c:numCache>
                <c:formatCode>General</c:formatCode>
                <c:ptCount val="6"/>
                <c:pt idx="0">
                  <c:v>151</c:v>
                </c:pt>
                <c:pt idx="1">
                  <c:v>172</c:v>
                </c:pt>
                <c:pt idx="2">
                  <c:v>232</c:v>
                </c:pt>
                <c:pt idx="3">
                  <c:v>387</c:v>
                </c:pt>
                <c:pt idx="4">
                  <c:v>260</c:v>
                </c:pt>
                <c:pt idx="5">
                  <c:v>6</c:v>
                </c:pt>
              </c:numCache>
            </c:numRef>
          </c:val>
          <c:extLst>
            <c:ext xmlns:c16="http://schemas.microsoft.com/office/drawing/2014/chart" uri="{C3380CC4-5D6E-409C-BE32-E72D297353CC}">
              <c16:uniqueId val="{00000001-C74D-415E-8350-DD86306ABC56}"/>
            </c:ext>
          </c:extLst>
        </c:ser>
        <c:dLbls>
          <c:showLegendKey val="0"/>
          <c:showVal val="0"/>
          <c:showCatName val="0"/>
          <c:showSerName val="0"/>
          <c:showPercent val="0"/>
          <c:showBubbleSize val="0"/>
        </c:dLbls>
        <c:gapWidth val="219"/>
        <c:overlap val="-27"/>
        <c:axId val="446544192"/>
        <c:axId val="447101232"/>
      </c:barChart>
      <c:catAx>
        <c:axId val="44654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101232"/>
        <c:crosses val="autoZero"/>
        <c:auto val="1"/>
        <c:lblAlgn val="ctr"/>
        <c:lblOffset val="100"/>
        <c:noMultiLvlLbl val="0"/>
      </c:catAx>
      <c:valAx>
        <c:axId val="447101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54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[MIS_Executive_Final_Project_Dataset.xlsx]MIS_Summary!PivotTable2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MIS_Summary!$I$3</c:f>
              <c:strCache>
                <c:ptCount val="1"/>
                <c:pt idx="0">
                  <c:v>Total</c:v>
                </c:pt>
              </c:strCache>
            </c:strRef>
          </c:tx>
          <c:spPr>
            <a:ln w="28575" cap="rnd">
              <a:solidFill>
                <a:schemeClr val="accent1"/>
              </a:solidFill>
              <a:round/>
            </a:ln>
            <a:effectLst/>
          </c:spPr>
          <c:marker>
            <c:symbol val="none"/>
          </c:marker>
          <c:cat>
            <c:multiLvlStrRef>
              <c:f>MIS_Summary!$H$4:$H$11</c:f>
              <c:multiLvlStrCache>
                <c:ptCount val="6"/>
                <c:lvl>
                  <c:pt idx="0">
                    <c:v>Jan</c:v>
                  </c:pt>
                  <c:pt idx="1">
                    <c:v>Feb</c:v>
                  </c:pt>
                  <c:pt idx="2">
                    <c:v>Mar</c:v>
                  </c:pt>
                  <c:pt idx="3">
                    <c:v>Apr</c:v>
                  </c:pt>
                  <c:pt idx="4">
                    <c:v>May</c:v>
                  </c:pt>
                  <c:pt idx="5">
                    <c:v>Jun</c:v>
                  </c:pt>
                </c:lvl>
                <c:lvl>
                  <c:pt idx="0">
                    <c:v>2026</c:v>
                  </c:pt>
                </c:lvl>
              </c:multiLvlStrCache>
            </c:multiLvlStrRef>
          </c:cat>
          <c:val>
            <c:numRef>
              <c:f>MIS_Summary!$I$4:$I$11</c:f>
              <c:numCache>
                <c:formatCode>General</c:formatCode>
                <c:ptCount val="6"/>
                <c:pt idx="0">
                  <c:v>4143422.5</c:v>
                </c:pt>
                <c:pt idx="1">
                  <c:v>4029896.625</c:v>
                </c:pt>
                <c:pt idx="2">
                  <c:v>4637574.25</c:v>
                </c:pt>
                <c:pt idx="3">
                  <c:v>3699690</c:v>
                </c:pt>
                <c:pt idx="4">
                  <c:v>4796024.75</c:v>
                </c:pt>
                <c:pt idx="5">
                  <c:v>5468224.125</c:v>
                </c:pt>
              </c:numCache>
            </c:numRef>
          </c:val>
          <c:smooth val="0"/>
          <c:extLst>
            <c:ext xmlns:c16="http://schemas.microsoft.com/office/drawing/2014/chart" uri="{C3380CC4-5D6E-409C-BE32-E72D297353CC}">
              <c16:uniqueId val="{00000000-36B7-4B50-8EC7-7D893B6D6D82}"/>
            </c:ext>
          </c:extLst>
        </c:ser>
        <c:dLbls>
          <c:showLegendKey val="0"/>
          <c:showVal val="0"/>
          <c:showCatName val="0"/>
          <c:showSerName val="0"/>
          <c:showPercent val="0"/>
          <c:showBubbleSize val="0"/>
        </c:dLbls>
        <c:smooth val="0"/>
        <c:axId val="446491296"/>
        <c:axId val="447039312"/>
      </c:lineChart>
      <c:catAx>
        <c:axId val="446491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039312"/>
        <c:crosses val="autoZero"/>
        <c:auto val="1"/>
        <c:lblAlgn val="ctr"/>
        <c:lblOffset val="100"/>
        <c:noMultiLvlLbl val="0"/>
      </c:catAx>
      <c:valAx>
        <c:axId val="447039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491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[MIS_Executive_Final_Project_Dataset.xlsx]MIS_Summary!PivotTable3</c:name>
    <c:fmtId val="4"/>
  </c:pivotSource>
  <c:chart>
    <c:title>
      <c:overlay val="0"/>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MIS_Summary!$P$3</c:f>
              <c:strCache>
                <c:ptCount val="1"/>
                <c:pt idx="0">
                  <c:v>Total</c:v>
                </c:pt>
              </c:strCache>
            </c:strRef>
          </c:tx>
          <c:spPr>
            <a:solidFill>
              <a:schemeClr val="accent1"/>
            </a:solidFill>
            <a:ln>
              <a:noFill/>
            </a:ln>
            <a:effectLst/>
          </c:spPr>
          <c:invertIfNegative val="0"/>
          <c:cat>
            <c:strRef>
              <c:f>MIS_Summary!$O$4:$O$10</c:f>
              <c:strCache>
                <c:ptCount val="6"/>
                <c:pt idx="0">
                  <c:v>Accessories</c:v>
                </c:pt>
                <c:pt idx="1">
                  <c:v>Audio</c:v>
                </c:pt>
                <c:pt idx="2">
                  <c:v>Computers</c:v>
                </c:pt>
                <c:pt idx="3">
                  <c:v>Displays</c:v>
                </c:pt>
                <c:pt idx="4">
                  <c:v>Furniture</c:v>
                </c:pt>
                <c:pt idx="5">
                  <c:v>(blank)</c:v>
                </c:pt>
              </c:strCache>
            </c:strRef>
          </c:cat>
          <c:val>
            <c:numRef>
              <c:f>MIS_Summary!$P$4:$P$10</c:f>
              <c:numCache>
                <c:formatCode>General</c:formatCode>
                <c:ptCount val="6"/>
                <c:pt idx="0">
                  <c:v>1859432.5</c:v>
                </c:pt>
                <c:pt idx="1">
                  <c:v>1219442</c:v>
                </c:pt>
                <c:pt idx="2">
                  <c:v>12349191.25</c:v>
                </c:pt>
                <c:pt idx="3">
                  <c:v>5542432</c:v>
                </c:pt>
                <c:pt idx="4">
                  <c:v>5794501</c:v>
                </c:pt>
                <c:pt idx="5">
                  <c:v>100228.5</c:v>
                </c:pt>
              </c:numCache>
            </c:numRef>
          </c:val>
          <c:extLst>
            <c:ext xmlns:c16="http://schemas.microsoft.com/office/drawing/2014/chart" uri="{C3380CC4-5D6E-409C-BE32-E72D297353CC}">
              <c16:uniqueId val="{00000002-56FB-4D9C-9A38-46DEED51BF7A}"/>
            </c:ext>
          </c:extLst>
        </c:ser>
        <c:dLbls>
          <c:showLegendKey val="0"/>
          <c:showVal val="0"/>
          <c:showCatName val="0"/>
          <c:showSerName val="0"/>
          <c:showPercent val="0"/>
          <c:showBubbleSize val="0"/>
        </c:dLbls>
        <c:gapWidth val="182"/>
        <c:axId val="446482480"/>
        <c:axId val="447006192"/>
      </c:barChart>
      <c:catAx>
        <c:axId val="446482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006192"/>
        <c:crosses val="autoZero"/>
        <c:auto val="1"/>
        <c:lblAlgn val="ctr"/>
        <c:lblOffset val="100"/>
        <c:noMultiLvlLbl val="0"/>
      </c:catAx>
      <c:valAx>
        <c:axId val="4470061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48248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[MIS_Executive_Final_Project_Dataset.xlsx]MIS_Summary!PivotTable5</c:name>
    <c:fmtId val="4"/>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doughnutChart>
        <c:varyColors val="1"/>
        <c:ser>
          <c:idx val="0"/>
          <c:order val="0"/>
          <c:tx>
            <c:strRef>
              <c:f>MIS_Summary!$AC$3</c:f>
              <c:strCache>
                <c:ptCount val="1"/>
                <c:pt idx="0">
                  <c:v>Realized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D55-43D7-A4B6-C0ED10200C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D55-43D7-A4B6-C0ED10200C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D55-43D7-A4B6-C0ED10200CA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D55-43D7-A4B6-C0ED10200CAA}"/>
              </c:ext>
            </c:extLst>
          </c:dPt>
          <c:cat>
            <c:strRef>
              <c:f>MIS_Summary!$AB$4:$AB$8</c:f>
              <c:strCache>
                <c:ptCount val="4"/>
                <c:pt idx="0">
                  <c:v>Cancelled</c:v>
                </c:pt>
                <c:pt idx="1">
                  <c:v>Completed</c:v>
                </c:pt>
                <c:pt idx="2">
                  <c:v>Pending</c:v>
                </c:pt>
                <c:pt idx="3">
                  <c:v>Returned</c:v>
                </c:pt>
              </c:strCache>
            </c:strRef>
          </c:cat>
          <c:val>
            <c:numRef>
              <c:f>MIS_Summary!$AC$4:$AC$8</c:f>
              <c:numCache>
                <c:formatCode>General</c:formatCode>
                <c:ptCount val="4"/>
                <c:pt idx="0">
                  <c:v>0</c:v>
                </c:pt>
                <c:pt idx="1">
                  <c:v>26865227.25</c:v>
                </c:pt>
                <c:pt idx="2">
                  <c:v>0</c:v>
                </c:pt>
                <c:pt idx="3">
                  <c:v>0</c:v>
                </c:pt>
              </c:numCache>
            </c:numRef>
          </c:val>
          <c:extLst>
            <c:ext xmlns:c16="http://schemas.microsoft.com/office/drawing/2014/chart" uri="{C3380CC4-5D6E-409C-BE32-E72D297353CC}">
              <c16:uniqueId val="{00000008-AD55-43D7-A4B6-C0ED10200CAA}"/>
            </c:ext>
          </c:extLst>
        </c:ser>
        <c:ser>
          <c:idx val="1"/>
          <c:order val="1"/>
          <c:tx>
            <c:strRef>
              <c:f>MIS_Summary!$AD$3</c:f>
              <c:strCache>
                <c:ptCount val="1"/>
                <c:pt idx="0">
                  <c:v>Order 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AD55-43D7-A4B6-C0ED10200C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AD55-43D7-A4B6-C0ED10200C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AD55-43D7-A4B6-C0ED10200CA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AD55-43D7-A4B6-C0ED10200CAA}"/>
              </c:ext>
            </c:extLst>
          </c:dPt>
          <c:cat>
            <c:strRef>
              <c:f>MIS_Summary!$AB$4:$AB$8</c:f>
              <c:strCache>
                <c:ptCount val="4"/>
                <c:pt idx="0">
                  <c:v>Cancelled</c:v>
                </c:pt>
                <c:pt idx="1">
                  <c:v>Completed</c:v>
                </c:pt>
                <c:pt idx="2">
                  <c:v>Pending</c:v>
                </c:pt>
                <c:pt idx="3">
                  <c:v>Returned</c:v>
                </c:pt>
              </c:strCache>
            </c:strRef>
          </c:cat>
          <c:val>
            <c:numRef>
              <c:f>MIS_Summary!$AD$4:$AD$8</c:f>
              <c:numCache>
                <c:formatCode>General</c:formatCode>
                <c:ptCount val="4"/>
                <c:pt idx="0">
                  <c:v>80</c:v>
                </c:pt>
                <c:pt idx="1">
                  <c:v>1003</c:v>
                </c:pt>
                <c:pt idx="2">
                  <c:v>76</c:v>
                </c:pt>
                <c:pt idx="3">
                  <c:v>49</c:v>
                </c:pt>
              </c:numCache>
            </c:numRef>
          </c:val>
          <c:extLst>
            <c:ext xmlns:c16="http://schemas.microsoft.com/office/drawing/2014/chart" uri="{C3380CC4-5D6E-409C-BE32-E72D297353CC}">
              <c16:uniqueId val="{00000011-AD55-43D7-A4B6-C0ED10200CA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[MIS_Executive_Final_Project_Dataset.xlsx]MIS_Summary!PivotTable3</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MIS_Summary!$P$3</c:f>
              <c:strCache>
                <c:ptCount val="1"/>
                <c:pt idx="0">
                  <c:v>Total</c:v>
                </c:pt>
              </c:strCache>
            </c:strRef>
          </c:tx>
          <c:spPr>
            <a:solidFill>
              <a:schemeClr val="accent1"/>
            </a:solidFill>
            <a:ln>
              <a:noFill/>
            </a:ln>
            <a:effectLst/>
          </c:spPr>
          <c:invertIfNegative val="0"/>
          <c:cat>
            <c:strRef>
              <c:f>MIS_Summary!$O$4:$O$10</c:f>
              <c:strCache>
                <c:ptCount val="6"/>
                <c:pt idx="0">
                  <c:v>Accessories</c:v>
                </c:pt>
                <c:pt idx="1">
                  <c:v>Audio</c:v>
                </c:pt>
                <c:pt idx="2">
                  <c:v>Computers</c:v>
                </c:pt>
                <c:pt idx="3">
                  <c:v>Displays</c:v>
                </c:pt>
                <c:pt idx="4">
                  <c:v>Furniture</c:v>
                </c:pt>
                <c:pt idx="5">
                  <c:v>(blank)</c:v>
                </c:pt>
              </c:strCache>
            </c:strRef>
          </c:cat>
          <c:val>
            <c:numRef>
              <c:f>MIS_Summary!$P$4:$P$10</c:f>
              <c:numCache>
                <c:formatCode>General</c:formatCode>
                <c:ptCount val="6"/>
                <c:pt idx="0">
                  <c:v>1859432.5</c:v>
                </c:pt>
                <c:pt idx="1">
                  <c:v>1219442</c:v>
                </c:pt>
                <c:pt idx="2">
                  <c:v>12349191.25</c:v>
                </c:pt>
                <c:pt idx="3">
                  <c:v>5542432</c:v>
                </c:pt>
                <c:pt idx="4">
                  <c:v>5794501</c:v>
                </c:pt>
                <c:pt idx="5">
                  <c:v>100228.5</c:v>
                </c:pt>
              </c:numCache>
            </c:numRef>
          </c:val>
          <c:extLst>
            <c:ext xmlns:c16="http://schemas.microsoft.com/office/drawing/2014/chart" uri="{C3380CC4-5D6E-409C-BE32-E72D297353CC}">
              <c16:uniqueId val="{00000000-2097-44CF-80A3-B993CABF82D3}"/>
            </c:ext>
          </c:extLst>
        </c:ser>
        <c:dLbls>
          <c:showLegendKey val="0"/>
          <c:showVal val="0"/>
          <c:showCatName val="0"/>
          <c:showSerName val="0"/>
          <c:showPercent val="0"/>
          <c:showBubbleSize val="0"/>
        </c:dLbls>
        <c:gapWidth val="219"/>
        <c:overlap val="-27"/>
        <c:axId val="1037605488"/>
        <c:axId val="1080279888"/>
      </c:barChart>
      <c:catAx>
        <c:axId val="103760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279888"/>
        <c:crosses val="autoZero"/>
        <c:auto val="1"/>
        <c:lblAlgn val="ctr"/>
        <c:lblOffset val="100"/>
        <c:noMultiLvlLbl val="0"/>
      </c:catAx>
      <c:valAx>
        <c:axId val="1080279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605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171824</xdr:rowOff>
    </xdr:from>
    <xdr:to>
      <xdr:col>3</xdr:col>
      <xdr:colOff>29883</xdr:colOff>
      <xdr:row>7</xdr:row>
      <xdr:rowOff>141941</xdr:rowOff>
    </xdr:to>
    <xdr:sp macro="" textlink="MIS_Summary!B36">
      <xdr:nvSpPr>
        <xdr:cNvPr id="2" name="Rectangle 1">
          <a:extLst>
            <a:ext uri="{FF2B5EF4-FFF2-40B4-BE49-F238E27FC236}">
              <a16:creationId xmlns:a16="http://schemas.microsoft.com/office/drawing/2014/main" id="{A56E274D-05E4-30B3-BE4E-25FAB99C8171}"/>
            </a:ext>
          </a:extLst>
        </xdr:cNvPr>
        <xdr:cNvSpPr/>
      </xdr:nvSpPr>
      <xdr:spPr>
        <a:xfrm>
          <a:off x="0" y="530412"/>
          <a:ext cx="1867648" cy="866588"/>
        </a:xfrm>
        <a:prstGeom prst="rect">
          <a:avLst/>
        </a:prstGeom>
        <a:solidFill>
          <a:schemeClr val="tx2">
            <a:lumMod val="20000"/>
            <a:lumOff val="80000"/>
          </a:schemeClr>
        </a:solidFill>
        <a:ln>
          <a:gradFill>
            <a:gsLst>
              <a:gs pos="0">
                <a:srgbClr val="64748B"/>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fld id="{3767022B-FDE0-476C-8CB4-7B36C3A4054D}" type="TxLink">
            <a:rPr lang="en-US" sz="2000" b="0" i="0" u="none" strike="noStrike">
              <a:solidFill>
                <a:srgbClr val="142D4E"/>
              </a:solidFill>
              <a:latin typeface="Calibri"/>
              <a:ea typeface="Calibri"/>
              <a:cs typeface="Calibri"/>
            </a:rPr>
            <a:pPr marL="0" indent="0" algn="ctr"/>
            <a:t>26743594.25</a:t>
          </a:fld>
          <a:endParaRPr lang="en-IN" sz="2000" b="0" i="0" u="none" strike="noStrike">
            <a:solidFill>
              <a:srgbClr val="142D4E"/>
            </a:solidFill>
            <a:latin typeface="Calibri"/>
            <a:ea typeface="Calibri"/>
            <a:cs typeface="Calibri"/>
          </a:endParaRPr>
        </a:p>
      </xdr:txBody>
    </xdr:sp>
    <xdr:clientData/>
  </xdr:twoCellAnchor>
  <xdr:twoCellAnchor>
    <xdr:from>
      <xdr:col>3</xdr:col>
      <xdr:colOff>38599</xdr:colOff>
      <xdr:row>2</xdr:row>
      <xdr:rowOff>167757</xdr:rowOff>
    </xdr:from>
    <xdr:to>
      <xdr:col>6</xdr:col>
      <xdr:colOff>225364</xdr:colOff>
      <xdr:row>7</xdr:row>
      <xdr:rowOff>150324</xdr:rowOff>
    </xdr:to>
    <xdr:sp macro="" textlink="MIS_Summary!B37">
      <xdr:nvSpPr>
        <xdr:cNvPr id="3" name="Rectangle 2">
          <a:extLst>
            <a:ext uri="{FF2B5EF4-FFF2-40B4-BE49-F238E27FC236}">
              <a16:creationId xmlns:a16="http://schemas.microsoft.com/office/drawing/2014/main" id="{3FC51440-C0E8-4B8A-9BDF-FCA2CAC4982E}"/>
            </a:ext>
          </a:extLst>
        </xdr:cNvPr>
        <xdr:cNvSpPr/>
      </xdr:nvSpPr>
      <xdr:spPr>
        <a:xfrm>
          <a:off x="1876364" y="526345"/>
          <a:ext cx="2024529" cy="879038"/>
        </a:xfrm>
        <a:prstGeom prst="rect">
          <a:avLst/>
        </a:prstGeom>
        <a:solidFill>
          <a:schemeClr val="tx2">
            <a:lumMod val="20000"/>
            <a:lumOff val="80000"/>
          </a:schemeClr>
        </a:solidFill>
        <a:ln>
          <a:gradFill>
            <a:gsLst>
              <a:gs pos="0">
                <a:srgbClr val="64748B"/>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DF4D085D-598D-42AB-87E2-6C4FD1243877}" type="TxLink">
            <a:rPr lang="en-US" sz="2000" b="0" i="0" u="none" strike="noStrike">
              <a:solidFill>
                <a:srgbClr val="142D4E"/>
              </a:solidFill>
              <a:latin typeface="Calibri"/>
              <a:ea typeface="Calibri"/>
              <a:cs typeface="Calibri"/>
            </a:rPr>
            <a:pPr marL="0" indent="0" algn="ctr"/>
            <a:t>1197</a:t>
          </a:fld>
          <a:endParaRPr lang="en-IN" sz="2000" b="0" i="0" u="none" strike="noStrike">
            <a:solidFill>
              <a:srgbClr val="142D4E"/>
            </a:solidFill>
            <a:latin typeface="Calibri"/>
            <a:ea typeface="Calibri"/>
            <a:cs typeface="Calibri"/>
          </a:endParaRPr>
        </a:p>
      </xdr:txBody>
    </xdr:sp>
    <xdr:clientData/>
  </xdr:twoCellAnchor>
  <xdr:twoCellAnchor>
    <xdr:from>
      <xdr:col>6</xdr:col>
      <xdr:colOff>234080</xdr:colOff>
      <xdr:row>2</xdr:row>
      <xdr:rowOff>164354</xdr:rowOff>
    </xdr:from>
    <xdr:to>
      <xdr:col>9</xdr:col>
      <xdr:colOff>413373</xdr:colOff>
      <xdr:row>7</xdr:row>
      <xdr:rowOff>156881</xdr:rowOff>
    </xdr:to>
    <xdr:sp macro="" textlink="MIS_Summary!B38">
      <xdr:nvSpPr>
        <xdr:cNvPr id="4" name="Rectangle 3">
          <a:extLst>
            <a:ext uri="{FF2B5EF4-FFF2-40B4-BE49-F238E27FC236}">
              <a16:creationId xmlns:a16="http://schemas.microsoft.com/office/drawing/2014/main" id="{782D22D7-5098-4075-BF13-D0438BCB67E6}"/>
            </a:ext>
          </a:extLst>
        </xdr:cNvPr>
        <xdr:cNvSpPr/>
      </xdr:nvSpPr>
      <xdr:spPr>
        <a:xfrm>
          <a:off x="3909609" y="522942"/>
          <a:ext cx="2017058" cy="888998"/>
        </a:xfrm>
        <a:prstGeom prst="rect">
          <a:avLst/>
        </a:prstGeom>
        <a:solidFill>
          <a:schemeClr val="tx2">
            <a:lumMod val="20000"/>
            <a:lumOff val="80000"/>
          </a:schemeClr>
        </a:solidFill>
        <a:ln>
          <a:gradFill>
            <a:gsLst>
              <a:gs pos="0">
                <a:srgbClr val="64748B"/>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06B3E93C-DB43-4718-9F1A-0A9A6BC7B2D0}" type="TxLink">
            <a:rPr lang="en-US" sz="2000" b="0" i="0" u="none" strike="noStrike">
              <a:solidFill>
                <a:srgbClr val="142D4E"/>
              </a:solidFill>
              <a:latin typeface="Calibri"/>
              <a:ea typeface="Calibri"/>
              <a:cs typeface="Calibri"/>
            </a:rPr>
            <a:pPr marL="0" indent="0" algn="ctr"/>
            <a:t>22342.18</a:t>
          </a:fld>
          <a:endParaRPr lang="en-IN" sz="2000" b="0" i="0" u="none" strike="noStrike">
            <a:solidFill>
              <a:srgbClr val="142D4E"/>
            </a:solidFill>
            <a:latin typeface="Calibri"/>
            <a:ea typeface="Calibri"/>
            <a:cs typeface="Calibri"/>
          </a:endParaRPr>
        </a:p>
      </xdr:txBody>
    </xdr:sp>
    <xdr:clientData/>
  </xdr:twoCellAnchor>
  <xdr:twoCellAnchor>
    <xdr:from>
      <xdr:col>9</xdr:col>
      <xdr:colOff>422089</xdr:colOff>
      <xdr:row>2</xdr:row>
      <xdr:rowOff>157960</xdr:rowOff>
    </xdr:from>
    <xdr:to>
      <xdr:col>12</xdr:col>
      <xdr:colOff>593912</xdr:colOff>
      <xdr:row>7</xdr:row>
      <xdr:rowOff>149411</xdr:rowOff>
    </xdr:to>
    <xdr:sp macro="" textlink="MIS_Summary!B39">
      <xdr:nvSpPr>
        <xdr:cNvPr id="5" name="Rectangle 4">
          <a:extLst>
            <a:ext uri="{FF2B5EF4-FFF2-40B4-BE49-F238E27FC236}">
              <a16:creationId xmlns:a16="http://schemas.microsoft.com/office/drawing/2014/main" id="{52870F74-57F8-4BAB-B2AD-36D2F9FEC148}"/>
            </a:ext>
          </a:extLst>
        </xdr:cNvPr>
        <xdr:cNvSpPr/>
      </xdr:nvSpPr>
      <xdr:spPr>
        <a:xfrm>
          <a:off x="5935383" y="516548"/>
          <a:ext cx="2009588" cy="887922"/>
        </a:xfrm>
        <a:prstGeom prst="rect">
          <a:avLst/>
        </a:prstGeom>
        <a:solidFill>
          <a:schemeClr val="tx2">
            <a:lumMod val="20000"/>
            <a:lumOff val="80000"/>
          </a:schemeClr>
        </a:solidFill>
        <a:ln>
          <a:gradFill>
            <a:gsLst>
              <a:gs pos="0">
                <a:srgbClr val="64748B"/>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29A14C02-517D-4E4B-8DA2-88EC84952D32}" type="TxLink">
            <a:rPr lang="en-US" sz="2000" b="0" i="0" u="none" strike="noStrike">
              <a:solidFill>
                <a:srgbClr val="142D4E"/>
              </a:solidFill>
              <a:latin typeface="Calibri"/>
              <a:ea typeface="Calibri"/>
              <a:cs typeface="Calibri"/>
            </a:rPr>
            <a:pPr marL="0" indent="0" algn="ctr"/>
            <a:t>-0.008618354</a:t>
          </a:fld>
          <a:endParaRPr lang="en-IN" sz="2000" b="0" i="0" u="none" strike="noStrike">
            <a:solidFill>
              <a:srgbClr val="142D4E"/>
            </a:solidFill>
            <a:latin typeface="Calibri"/>
            <a:ea typeface="Calibri"/>
            <a:cs typeface="Calibri"/>
          </a:endParaRPr>
        </a:p>
      </xdr:txBody>
    </xdr:sp>
    <xdr:clientData/>
  </xdr:twoCellAnchor>
  <xdr:twoCellAnchor>
    <xdr:from>
      <xdr:col>12</xdr:col>
      <xdr:colOff>602628</xdr:colOff>
      <xdr:row>2</xdr:row>
      <xdr:rowOff>146255</xdr:rowOff>
    </xdr:from>
    <xdr:to>
      <xdr:col>16</xdr:col>
      <xdr:colOff>191745</xdr:colOff>
      <xdr:row>7</xdr:row>
      <xdr:rowOff>149411</xdr:rowOff>
    </xdr:to>
    <xdr:sp macro="" textlink="MIS_Summary!B40">
      <xdr:nvSpPr>
        <xdr:cNvPr id="6" name="Rectangle 5">
          <a:extLst>
            <a:ext uri="{FF2B5EF4-FFF2-40B4-BE49-F238E27FC236}">
              <a16:creationId xmlns:a16="http://schemas.microsoft.com/office/drawing/2014/main" id="{7DD0D766-2306-4BB3-977F-8CA5362B51A2}"/>
            </a:ext>
          </a:extLst>
        </xdr:cNvPr>
        <xdr:cNvSpPr/>
      </xdr:nvSpPr>
      <xdr:spPr>
        <a:xfrm>
          <a:off x="7953687" y="504843"/>
          <a:ext cx="2039470" cy="899627"/>
        </a:xfrm>
        <a:prstGeom prst="rect">
          <a:avLst/>
        </a:prstGeom>
        <a:solidFill>
          <a:schemeClr val="tx2">
            <a:lumMod val="20000"/>
            <a:lumOff val="80000"/>
          </a:schemeClr>
        </a:solidFill>
        <a:ln>
          <a:gradFill>
            <a:gsLst>
              <a:gs pos="0">
                <a:srgbClr val="64748B"/>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12CF0C99-25BC-43E3-962A-C6EFE4E9B3B3}" type="TxLink">
            <a:rPr lang="en-US" sz="2000" b="0" i="0" u="none" strike="noStrike">
              <a:solidFill>
                <a:srgbClr val="142D4E"/>
              </a:solidFill>
              <a:latin typeface="Calibri"/>
              <a:ea typeface="Calibri"/>
              <a:cs typeface="Calibri"/>
            </a:rPr>
            <a:pPr marL="0" indent="0" algn="ctr"/>
            <a:t>55.92</a:t>
          </a:fld>
          <a:endParaRPr lang="en-IN" sz="2000" b="0" i="0" u="none" strike="noStrike">
            <a:solidFill>
              <a:srgbClr val="142D4E"/>
            </a:solidFill>
            <a:latin typeface="Calibri"/>
            <a:ea typeface="Calibri"/>
            <a:cs typeface="Calibri"/>
          </a:endParaRPr>
        </a:p>
      </xdr:txBody>
    </xdr:sp>
    <xdr:clientData/>
  </xdr:twoCellAnchor>
  <xdr:twoCellAnchor>
    <xdr:from>
      <xdr:col>16</xdr:col>
      <xdr:colOff>200461</xdr:colOff>
      <xdr:row>2</xdr:row>
      <xdr:rowOff>152649</xdr:rowOff>
    </xdr:from>
    <xdr:to>
      <xdr:col>19</xdr:col>
      <xdr:colOff>387226</xdr:colOff>
      <xdr:row>7</xdr:row>
      <xdr:rowOff>149412</xdr:rowOff>
    </xdr:to>
    <xdr:sp macro="" textlink="MIS_Summary!B41">
      <xdr:nvSpPr>
        <xdr:cNvPr id="7" name="Rectangle 6">
          <a:extLst>
            <a:ext uri="{FF2B5EF4-FFF2-40B4-BE49-F238E27FC236}">
              <a16:creationId xmlns:a16="http://schemas.microsoft.com/office/drawing/2014/main" id="{7EA55AEE-1D45-4088-9D66-55DF62FF6040}"/>
            </a:ext>
          </a:extLst>
        </xdr:cNvPr>
        <xdr:cNvSpPr/>
      </xdr:nvSpPr>
      <xdr:spPr>
        <a:xfrm>
          <a:off x="10001873" y="511237"/>
          <a:ext cx="2024529" cy="893234"/>
        </a:xfrm>
        <a:prstGeom prst="rect">
          <a:avLst/>
        </a:prstGeom>
        <a:solidFill>
          <a:schemeClr val="tx2">
            <a:lumMod val="20000"/>
            <a:lumOff val="80000"/>
          </a:schemeClr>
        </a:solidFill>
        <a:ln>
          <a:gradFill>
            <a:gsLst>
              <a:gs pos="0">
                <a:srgbClr val="64748B"/>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69042171-09B2-4981-82A5-F26DEAFE4FB1}" type="TxLink">
            <a:rPr lang="en-US" sz="2000" b="0" i="0" u="none" strike="noStrike">
              <a:solidFill>
                <a:srgbClr val="142D4E"/>
              </a:solidFill>
              <a:latin typeface="Calibri"/>
              <a:ea typeface="Calibri"/>
              <a:cs typeface="Calibri"/>
            </a:rPr>
            <a:pPr marL="0" indent="0" algn="ctr"/>
            <a:t>0.08</a:t>
          </a:fld>
          <a:endParaRPr lang="en-IN" sz="2000" b="0" i="0" u="none" strike="noStrike">
            <a:solidFill>
              <a:srgbClr val="142D4E"/>
            </a:solidFill>
            <a:latin typeface="Calibri"/>
            <a:ea typeface="Calibri"/>
            <a:cs typeface="Calibri"/>
          </a:endParaRPr>
        </a:p>
      </xdr:txBody>
    </xdr:sp>
    <xdr:clientData/>
  </xdr:twoCellAnchor>
  <xdr:twoCellAnchor>
    <xdr:from>
      <xdr:col>19</xdr:col>
      <xdr:colOff>395942</xdr:colOff>
      <xdr:row>2</xdr:row>
      <xdr:rowOff>159041</xdr:rowOff>
    </xdr:from>
    <xdr:to>
      <xdr:col>22</xdr:col>
      <xdr:colOff>440765</xdr:colOff>
      <xdr:row>7</xdr:row>
      <xdr:rowOff>149413</xdr:rowOff>
    </xdr:to>
    <xdr:sp macro="" textlink="MIS_Summary!B42">
      <xdr:nvSpPr>
        <xdr:cNvPr id="8" name="Rectangle 7">
          <a:extLst>
            <a:ext uri="{FF2B5EF4-FFF2-40B4-BE49-F238E27FC236}">
              <a16:creationId xmlns:a16="http://schemas.microsoft.com/office/drawing/2014/main" id="{7732B19D-6F2A-4275-9C4E-026DD227E5A6}"/>
            </a:ext>
          </a:extLst>
        </xdr:cNvPr>
        <xdr:cNvSpPr/>
      </xdr:nvSpPr>
      <xdr:spPr>
        <a:xfrm>
          <a:off x="12035118" y="517629"/>
          <a:ext cx="1882588" cy="886843"/>
        </a:xfrm>
        <a:prstGeom prst="rect">
          <a:avLst/>
        </a:prstGeom>
        <a:solidFill>
          <a:schemeClr val="tx2">
            <a:lumMod val="20000"/>
            <a:lumOff val="80000"/>
          </a:schemeClr>
        </a:solidFill>
        <a:ln>
          <a:gradFill>
            <a:gsLst>
              <a:gs pos="0">
                <a:srgbClr val="64748B"/>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BF95746C-5C3F-46B6-BB78-7CF38459EDFB}" type="TxLink">
            <a:rPr lang="en-US" sz="2000" b="0" i="0" u="none" strike="noStrike">
              <a:solidFill>
                <a:srgbClr val="142D4E"/>
              </a:solidFill>
              <a:latin typeface="Calibri"/>
              <a:ea typeface="Calibri"/>
              <a:cs typeface="Calibri"/>
            </a:rPr>
            <a:pPr marL="0" indent="0" algn="ctr"/>
            <a:t>76</a:t>
          </a:fld>
          <a:endParaRPr lang="en-IN" sz="2000" b="0" i="0" u="none" strike="noStrike">
            <a:solidFill>
              <a:srgbClr val="142D4E"/>
            </a:solidFill>
            <a:latin typeface="Calibri"/>
            <a:ea typeface="Calibri"/>
            <a:cs typeface="Calibri"/>
          </a:endParaRPr>
        </a:p>
      </xdr:txBody>
    </xdr:sp>
    <xdr:clientData/>
  </xdr:twoCellAnchor>
  <xdr:twoCellAnchor>
    <xdr:from>
      <xdr:col>0</xdr:col>
      <xdr:colOff>52294</xdr:colOff>
      <xdr:row>3</xdr:row>
      <xdr:rowOff>44823</xdr:rowOff>
    </xdr:from>
    <xdr:to>
      <xdr:col>2</xdr:col>
      <xdr:colOff>358589</xdr:colOff>
      <xdr:row>4</xdr:row>
      <xdr:rowOff>104589</xdr:rowOff>
    </xdr:to>
    <xdr:sp macro="" textlink="">
      <xdr:nvSpPr>
        <xdr:cNvPr id="9" name="TextBox 8">
          <a:extLst>
            <a:ext uri="{FF2B5EF4-FFF2-40B4-BE49-F238E27FC236}">
              <a16:creationId xmlns:a16="http://schemas.microsoft.com/office/drawing/2014/main" id="{0E6642B6-D4C7-4A02-6F01-77E00771D0F8}"/>
            </a:ext>
          </a:extLst>
        </xdr:cNvPr>
        <xdr:cNvSpPr txBox="1"/>
      </xdr:nvSpPr>
      <xdr:spPr>
        <a:xfrm>
          <a:off x="52294" y="582705"/>
          <a:ext cx="1531471" cy="239060"/>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i="0" u="none" strike="noStrike">
              <a:solidFill>
                <a:srgbClr val="64748B"/>
              </a:solidFill>
              <a:effectLst/>
              <a:latin typeface="+mn-lt"/>
              <a:ea typeface="+mn-ea"/>
              <a:cs typeface="+mn-cs"/>
            </a:rPr>
            <a:t>Total Realized Sales</a:t>
          </a:r>
          <a:r>
            <a:rPr lang="en-IN" sz="1200">
              <a:solidFill>
                <a:srgbClr val="64748B"/>
              </a:solidFill>
              <a:effectLst/>
            </a:rPr>
            <a:t> </a:t>
          </a:r>
          <a:endParaRPr lang="en-IN" sz="1200">
            <a:solidFill>
              <a:srgbClr val="64748B"/>
            </a:solidFill>
          </a:endParaRPr>
        </a:p>
      </xdr:txBody>
    </xdr:sp>
    <xdr:clientData/>
  </xdr:twoCellAnchor>
  <xdr:twoCellAnchor>
    <xdr:from>
      <xdr:col>3</xdr:col>
      <xdr:colOff>52294</xdr:colOff>
      <xdr:row>3</xdr:row>
      <xdr:rowOff>32374</xdr:rowOff>
    </xdr:from>
    <xdr:to>
      <xdr:col>5</xdr:col>
      <xdr:colOff>537883</xdr:colOff>
      <xdr:row>4</xdr:row>
      <xdr:rowOff>97118</xdr:rowOff>
    </xdr:to>
    <xdr:sp macro="" textlink="">
      <xdr:nvSpPr>
        <xdr:cNvPr id="10" name="TextBox 9">
          <a:extLst>
            <a:ext uri="{FF2B5EF4-FFF2-40B4-BE49-F238E27FC236}">
              <a16:creationId xmlns:a16="http://schemas.microsoft.com/office/drawing/2014/main" id="{6FD58E7B-0D45-4F76-9497-8ED5DE763975}"/>
            </a:ext>
          </a:extLst>
        </xdr:cNvPr>
        <xdr:cNvSpPr txBox="1"/>
      </xdr:nvSpPr>
      <xdr:spPr>
        <a:xfrm>
          <a:off x="1890059" y="570256"/>
          <a:ext cx="1710765" cy="244038"/>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b="0" i="0" u="none" strike="noStrike">
              <a:solidFill>
                <a:srgbClr val="64748B"/>
              </a:solidFill>
              <a:effectLst/>
              <a:latin typeface="+mn-lt"/>
              <a:ea typeface="+mn-ea"/>
              <a:cs typeface="+mn-cs"/>
            </a:rPr>
            <a:t>Total Completed Orders</a:t>
          </a:r>
        </a:p>
      </xdr:txBody>
    </xdr:sp>
    <xdr:clientData/>
  </xdr:twoCellAnchor>
  <xdr:twoCellAnchor>
    <xdr:from>
      <xdr:col>6</xdr:col>
      <xdr:colOff>261471</xdr:colOff>
      <xdr:row>3</xdr:row>
      <xdr:rowOff>37354</xdr:rowOff>
    </xdr:from>
    <xdr:to>
      <xdr:col>9</xdr:col>
      <xdr:colOff>37353</xdr:colOff>
      <xdr:row>4</xdr:row>
      <xdr:rowOff>149412</xdr:rowOff>
    </xdr:to>
    <xdr:sp macro="" textlink="">
      <xdr:nvSpPr>
        <xdr:cNvPr id="11" name="TextBox 10">
          <a:extLst>
            <a:ext uri="{FF2B5EF4-FFF2-40B4-BE49-F238E27FC236}">
              <a16:creationId xmlns:a16="http://schemas.microsoft.com/office/drawing/2014/main" id="{69CDE3A5-E524-4C89-907D-630B6A46A87F}"/>
            </a:ext>
          </a:extLst>
        </xdr:cNvPr>
        <xdr:cNvSpPr txBox="1"/>
      </xdr:nvSpPr>
      <xdr:spPr>
        <a:xfrm>
          <a:off x="3937000" y="575236"/>
          <a:ext cx="1613647" cy="291352"/>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b="0" i="0" u="none" strike="noStrike">
              <a:solidFill>
                <a:srgbClr val="64748B"/>
              </a:solidFill>
              <a:effectLst/>
              <a:latin typeface="+mn-lt"/>
              <a:ea typeface="+mn-ea"/>
              <a:cs typeface="+mn-cs"/>
            </a:rPr>
            <a:t>Average Order Value </a:t>
          </a:r>
        </a:p>
      </xdr:txBody>
    </xdr:sp>
    <xdr:clientData/>
  </xdr:twoCellAnchor>
  <xdr:twoCellAnchor>
    <xdr:from>
      <xdr:col>9</xdr:col>
      <xdr:colOff>485588</xdr:colOff>
      <xdr:row>3</xdr:row>
      <xdr:rowOff>34862</xdr:rowOff>
    </xdr:from>
    <xdr:to>
      <xdr:col>12</xdr:col>
      <xdr:colOff>224117</xdr:colOff>
      <xdr:row>4</xdr:row>
      <xdr:rowOff>141941</xdr:rowOff>
    </xdr:to>
    <xdr:sp macro="" textlink="">
      <xdr:nvSpPr>
        <xdr:cNvPr id="12" name="TextBox 11">
          <a:extLst>
            <a:ext uri="{FF2B5EF4-FFF2-40B4-BE49-F238E27FC236}">
              <a16:creationId xmlns:a16="http://schemas.microsoft.com/office/drawing/2014/main" id="{EC89DBCB-870C-4C31-90C1-C325EC8C5A4B}"/>
            </a:ext>
          </a:extLst>
        </xdr:cNvPr>
        <xdr:cNvSpPr txBox="1"/>
      </xdr:nvSpPr>
      <xdr:spPr>
        <a:xfrm>
          <a:off x="5998882" y="572744"/>
          <a:ext cx="1576294" cy="286373"/>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b="0" i="0" u="none" strike="noStrike">
              <a:solidFill>
                <a:srgbClr val="64748B"/>
              </a:solidFill>
              <a:effectLst/>
              <a:latin typeface="+mn-lt"/>
              <a:ea typeface="+mn-ea"/>
              <a:cs typeface="+mn-cs"/>
            </a:rPr>
            <a:t>Gross Profit Margin % </a:t>
          </a:r>
        </a:p>
      </xdr:txBody>
    </xdr:sp>
    <xdr:clientData/>
  </xdr:twoCellAnchor>
  <xdr:twoCellAnchor>
    <xdr:from>
      <xdr:col>13</xdr:col>
      <xdr:colOff>37353</xdr:colOff>
      <xdr:row>3</xdr:row>
      <xdr:rowOff>22412</xdr:rowOff>
    </xdr:from>
    <xdr:to>
      <xdr:col>15</xdr:col>
      <xdr:colOff>485588</xdr:colOff>
      <xdr:row>4</xdr:row>
      <xdr:rowOff>171823</xdr:rowOff>
    </xdr:to>
    <xdr:sp macro="" textlink="">
      <xdr:nvSpPr>
        <xdr:cNvPr id="13" name="TextBox 12">
          <a:extLst>
            <a:ext uri="{FF2B5EF4-FFF2-40B4-BE49-F238E27FC236}">
              <a16:creationId xmlns:a16="http://schemas.microsoft.com/office/drawing/2014/main" id="{F8C8137E-1753-4141-A01D-C296E3D1E1FE}"/>
            </a:ext>
          </a:extLst>
        </xdr:cNvPr>
        <xdr:cNvSpPr txBox="1"/>
      </xdr:nvSpPr>
      <xdr:spPr>
        <a:xfrm>
          <a:off x="8001000" y="560294"/>
          <a:ext cx="1673412" cy="328705"/>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b="0" i="0" u="none" strike="noStrike">
              <a:solidFill>
                <a:srgbClr val="64748B"/>
              </a:solidFill>
              <a:effectLst/>
              <a:latin typeface="+mn-lt"/>
              <a:ea typeface="+mn-ea"/>
              <a:cs typeface="+mn-cs"/>
            </a:rPr>
            <a:t>Target Achievement % </a:t>
          </a:r>
        </a:p>
      </xdr:txBody>
    </xdr:sp>
    <xdr:clientData/>
  </xdr:twoCellAnchor>
  <xdr:twoCellAnchor>
    <xdr:from>
      <xdr:col>16</xdr:col>
      <xdr:colOff>268941</xdr:colOff>
      <xdr:row>3</xdr:row>
      <xdr:rowOff>29883</xdr:rowOff>
    </xdr:from>
    <xdr:to>
      <xdr:col>18</xdr:col>
      <xdr:colOff>390961</xdr:colOff>
      <xdr:row>4</xdr:row>
      <xdr:rowOff>119531</xdr:rowOff>
    </xdr:to>
    <xdr:sp macro="" textlink="">
      <xdr:nvSpPr>
        <xdr:cNvPr id="14" name="TextBox 13">
          <a:extLst>
            <a:ext uri="{FF2B5EF4-FFF2-40B4-BE49-F238E27FC236}">
              <a16:creationId xmlns:a16="http://schemas.microsoft.com/office/drawing/2014/main" id="{BCA719BA-E22C-46EF-821D-9853C942146D}"/>
            </a:ext>
          </a:extLst>
        </xdr:cNvPr>
        <xdr:cNvSpPr txBox="1"/>
      </xdr:nvSpPr>
      <xdr:spPr>
        <a:xfrm>
          <a:off x="10070353" y="567765"/>
          <a:ext cx="1347196" cy="268942"/>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b="0" i="0" u="none" strike="noStrike">
              <a:solidFill>
                <a:srgbClr val="64748B"/>
              </a:solidFill>
              <a:effectLst/>
              <a:latin typeface="+mn-lt"/>
              <a:ea typeface="+mn-ea"/>
              <a:cs typeface="+mn-cs"/>
            </a:rPr>
            <a:t>Return Rate % </a:t>
          </a:r>
        </a:p>
      </xdr:txBody>
    </xdr:sp>
    <xdr:clientData/>
  </xdr:twoCellAnchor>
  <xdr:twoCellAnchor>
    <xdr:from>
      <xdr:col>19</xdr:col>
      <xdr:colOff>508000</xdr:colOff>
      <xdr:row>3</xdr:row>
      <xdr:rowOff>54784</xdr:rowOff>
    </xdr:from>
    <xdr:to>
      <xdr:col>22</xdr:col>
      <xdr:colOff>89647</xdr:colOff>
      <xdr:row>4</xdr:row>
      <xdr:rowOff>144432</xdr:rowOff>
    </xdr:to>
    <xdr:sp macro="" textlink="MIS_Summary!A42">
      <xdr:nvSpPr>
        <xdr:cNvPr id="15" name="TextBox 14">
          <a:extLst>
            <a:ext uri="{FF2B5EF4-FFF2-40B4-BE49-F238E27FC236}">
              <a16:creationId xmlns:a16="http://schemas.microsoft.com/office/drawing/2014/main" id="{2C7B6CBB-E3CE-4DDE-9FD3-A49D599E5C48}"/>
            </a:ext>
          </a:extLst>
        </xdr:cNvPr>
        <xdr:cNvSpPr txBox="1"/>
      </xdr:nvSpPr>
      <xdr:spPr>
        <a:xfrm>
          <a:off x="12147176" y="592666"/>
          <a:ext cx="1419412" cy="268942"/>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A901FFF-014E-44DF-8E23-5ECEF6BED7D8}" type="TxLink">
            <a:rPr lang="en-US" sz="1200" b="0" i="0" u="none" strike="noStrike">
              <a:solidFill>
                <a:srgbClr val="64748B"/>
              </a:solidFill>
              <a:effectLst/>
              <a:latin typeface="+mn-lt"/>
              <a:ea typeface="+mn-ea"/>
              <a:cs typeface="+mn-cs"/>
            </a:rPr>
            <a:pPr marL="0" indent="0"/>
            <a:t>Pending Orders</a:t>
          </a:fld>
          <a:endParaRPr lang="en-IN" sz="1200" b="0" i="0" u="none" strike="noStrike">
            <a:solidFill>
              <a:srgbClr val="64748B"/>
            </a:solidFill>
            <a:effectLst/>
            <a:latin typeface="+mn-lt"/>
            <a:ea typeface="+mn-ea"/>
            <a:cs typeface="+mn-cs"/>
          </a:endParaRPr>
        </a:p>
      </xdr:txBody>
    </xdr:sp>
    <xdr:clientData/>
  </xdr:twoCellAnchor>
  <xdr:twoCellAnchor>
    <xdr:from>
      <xdr:col>0</xdr:col>
      <xdr:colOff>0</xdr:colOff>
      <xdr:row>7</xdr:row>
      <xdr:rowOff>164352</xdr:rowOff>
    </xdr:from>
    <xdr:to>
      <xdr:col>6</xdr:col>
      <xdr:colOff>508000</xdr:colOff>
      <xdr:row>17</xdr:row>
      <xdr:rowOff>59765</xdr:rowOff>
    </xdr:to>
    <xdr:graphicFrame macro="">
      <xdr:nvGraphicFramePr>
        <xdr:cNvPr id="16" name="Chart 15">
          <a:extLst>
            <a:ext uri="{FF2B5EF4-FFF2-40B4-BE49-F238E27FC236}">
              <a16:creationId xmlns:a16="http://schemas.microsoft.com/office/drawing/2014/main" id="{54BF1FCB-D223-4431-93C7-880619D0E5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515470</xdr:colOff>
      <xdr:row>7</xdr:row>
      <xdr:rowOff>156882</xdr:rowOff>
    </xdr:from>
    <xdr:to>
      <xdr:col>13</xdr:col>
      <xdr:colOff>127000</xdr:colOff>
      <xdr:row>17</xdr:row>
      <xdr:rowOff>59765</xdr:rowOff>
    </xdr:to>
    <xdr:graphicFrame macro="">
      <xdr:nvGraphicFramePr>
        <xdr:cNvPr id="17" name="Chart 16">
          <a:extLst>
            <a:ext uri="{FF2B5EF4-FFF2-40B4-BE49-F238E27FC236}">
              <a16:creationId xmlns:a16="http://schemas.microsoft.com/office/drawing/2014/main" id="{95906916-0765-4F96-A13F-9589B19CDC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134470</xdr:colOff>
      <xdr:row>7</xdr:row>
      <xdr:rowOff>149412</xdr:rowOff>
    </xdr:from>
    <xdr:to>
      <xdr:col>19</xdr:col>
      <xdr:colOff>112058</xdr:colOff>
      <xdr:row>27</xdr:row>
      <xdr:rowOff>67236</xdr:rowOff>
    </xdr:to>
    <xdr:graphicFrame macro="">
      <xdr:nvGraphicFramePr>
        <xdr:cNvPr id="18" name="Chart 17">
          <a:extLst>
            <a:ext uri="{FF2B5EF4-FFF2-40B4-BE49-F238E27FC236}">
              <a16:creationId xmlns:a16="http://schemas.microsoft.com/office/drawing/2014/main" id="{CF4AFDEE-3EC3-493F-98A7-686A068F60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522943</xdr:colOff>
      <xdr:row>17</xdr:row>
      <xdr:rowOff>59765</xdr:rowOff>
    </xdr:from>
    <xdr:to>
      <xdr:col>13</xdr:col>
      <xdr:colOff>127001</xdr:colOff>
      <xdr:row>27</xdr:row>
      <xdr:rowOff>52294</xdr:rowOff>
    </xdr:to>
    <xdr:graphicFrame macro="">
      <xdr:nvGraphicFramePr>
        <xdr:cNvPr id="20" name="Chart 19">
          <a:extLst>
            <a:ext uri="{FF2B5EF4-FFF2-40B4-BE49-F238E27FC236}">
              <a16:creationId xmlns:a16="http://schemas.microsoft.com/office/drawing/2014/main" id="{7DED20B6-0497-4F44-9F8E-A39051FDA2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119530</xdr:colOff>
      <xdr:row>7</xdr:row>
      <xdr:rowOff>149412</xdr:rowOff>
    </xdr:from>
    <xdr:to>
      <xdr:col>22</xdr:col>
      <xdr:colOff>440765</xdr:colOff>
      <xdr:row>17</xdr:row>
      <xdr:rowOff>97119</xdr:rowOff>
    </xdr:to>
    <mc:AlternateContent xmlns:mc="http://schemas.openxmlformats.org/markup-compatibility/2006">
      <mc:Choice xmlns:a14="http://schemas.microsoft.com/office/drawing/2010/main" Requires="a14">
        <xdr:graphicFrame macro="">
          <xdr:nvGraphicFramePr>
            <xdr:cNvPr id="21" name="Region">
              <a:extLst>
                <a:ext uri="{FF2B5EF4-FFF2-40B4-BE49-F238E27FC236}">
                  <a16:creationId xmlns:a16="http://schemas.microsoft.com/office/drawing/2014/main" id="{85469B39-7B05-4D68-B2F3-F173D725056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758706" y="1404471"/>
              <a:ext cx="2159000" cy="17406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104589</xdr:colOff>
      <xdr:row>17</xdr:row>
      <xdr:rowOff>97118</xdr:rowOff>
    </xdr:from>
    <xdr:to>
      <xdr:col>22</xdr:col>
      <xdr:colOff>455706</xdr:colOff>
      <xdr:row>27</xdr:row>
      <xdr:rowOff>59765</xdr:rowOff>
    </xdr:to>
    <mc:AlternateContent xmlns:mc="http://schemas.openxmlformats.org/markup-compatibility/2006">
      <mc:Choice xmlns:a14="http://schemas.microsoft.com/office/drawing/2010/main" Requires="a14">
        <xdr:graphicFrame macro="">
          <xdr:nvGraphicFramePr>
            <xdr:cNvPr id="22" name="Category">
              <a:extLst>
                <a:ext uri="{FF2B5EF4-FFF2-40B4-BE49-F238E27FC236}">
                  <a16:creationId xmlns:a16="http://schemas.microsoft.com/office/drawing/2014/main" id="{9C124CFF-5BEA-4ABE-B423-3756C255F35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743765" y="3145118"/>
              <a:ext cx="2188882" cy="17555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xdr:colOff>
      <xdr:row>17</xdr:row>
      <xdr:rowOff>67235</xdr:rowOff>
    </xdr:from>
    <xdr:to>
      <xdr:col>6</xdr:col>
      <xdr:colOff>515472</xdr:colOff>
      <xdr:row>27</xdr:row>
      <xdr:rowOff>44824</xdr:rowOff>
    </xdr:to>
    <xdr:graphicFrame macro="">
      <xdr:nvGraphicFramePr>
        <xdr:cNvPr id="23" name="Chart 22">
          <a:extLst>
            <a:ext uri="{FF2B5EF4-FFF2-40B4-BE49-F238E27FC236}">
              <a16:creationId xmlns:a16="http://schemas.microsoft.com/office/drawing/2014/main" id="{0B76345A-8309-4DA5-A3A7-8E2176B4A8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lva Ganesan" refreshedDate="46321.806074189815" missingItemsLimit="0" createdVersion="8" refreshedVersion="8" minRefreshableVersion="3" recordCount="1208" xr:uid="{311EE56A-BA07-4498-9EBC-586390A87980}">
  <cacheSource type="worksheet">
    <worksheetSource name="fact_Sales_Clean"/>
  </cacheSource>
  <cacheFields count="27">
    <cacheField name="Order_ID" numFmtId="0">
      <sharedItems/>
    </cacheField>
    <cacheField name="Order_Date" numFmtId="14">
      <sharedItems containsNonDate="0" containsDate="1" containsString="0" containsBlank="1" minDate="2026-01-01T00:00:00" maxDate="2026-07-01T00:00:00" count="182">
        <d v="2026-06-13T00:00:00"/>
        <d v="2026-01-24T00:00:00"/>
        <d v="2026-06-26T00:00:00"/>
        <d v="2026-01-02T00:00:00"/>
        <d v="2026-05-17T00:00:00"/>
        <d v="2026-02-06T00:00:00"/>
        <d v="2026-03-17T00:00:00"/>
        <d v="2026-01-09T00:00:00"/>
        <d v="2026-01-25T00:00:00"/>
        <d v="2026-06-10T00:00:00"/>
        <d v="2026-06-12T00:00:00"/>
        <d v="2026-04-08T00:00:00"/>
        <d v="2026-05-11T00:00:00"/>
        <d v="2026-06-02T00:00:00"/>
        <d v="2026-01-29T00:00:00"/>
        <d v="2026-01-17T00:00:00"/>
        <d v="2026-05-02T00:00:00"/>
        <d v="2026-01-14T00:00:00"/>
        <d v="2026-05-18T00:00:00"/>
        <d v="2026-01-04T00:00:00"/>
        <d v="2026-04-10T00:00:00"/>
        <d v="2026-01-15T00:00:00"/>
        <d v="2026-01-21T00:00:00"/>
        <d v="2026-05-29T00:00:00"/>
        <d v="2026-03-09T00:00:00"/>
        <d v="2026-01-26T00:00:00"/>
        <d v="2026-02-10T00:00:00"/>
        <d v="2026-01-30T00:00:00"/>
        <d v="2026-05-06T00:00:00"/>
        <d v="2026-02-11T00:00:00"/>
        <d v="2026-04-05T00:00:00"/>
        <d v="2026-06-20T00:00:00"/>
        <d v="2026-01-07T00:00:00"/>
        <d v="2026-01-10T00:00:00"/>
        <d v="2026-03-26T00:00:00"/>
        <d v="2026-02-15T00:00:00"/>
        <d v="2026-02-18T00:00:00"/>
        <d v="2026-06-09T00:00:00"/>
        <d v="2026-05-22T00:00:00"/>
        <d v="2026-03-19T00:00:00"/>
        <d v="2026-02-20T00:00:00"/>
        <d v="2026-06-28T00:00:00"/>
        <d v="2026-05-24T00:00:00"/>
        <d v="2026-03-08T00:00:00"/>
        <d v="2026-03-15T00:00:00"/>
        <d v="2026-05-28T00:00:00"/>
        <d v="2026-03-11T00:00:00"/>
        <d v="2026-05-01T00:00:00"/>
        <d v="2026-01-06T00:00:00"/>
        <d v="2026-06-05T00:00:00"/>
        <d v="2026-04-12T00:00:00"/>
        <d v="2026-05-25T00:00:00"/>
        <d v="2026-06-16T00:00:00"/>
        <d v="2026-01-23T00:00:00"/>
        <d v="2026-02-16T00:00:00"/>
        <d v="2026-04-15T00:00:00"/>
        <d v="2026-02-26T00:00:00"/>
        <d v="2026-04-01T00:00:00"/>
        <d v="2026-02-19T00:00:00"/>
        <d v="2026-04-03T00:00:00"/>
        <d v="2026-01-27T00:00:00"/>
        <d v="2026-01-22T00:00:00"/>
        <d v="2026-05-31T00:00:00"/>
        <d v="2026-05-20T00:00:00"/>
        <d v="2026-05-26T00:00:00"/>
        <d v="2026-06-03T00:00:00"/>
        <d v="2026-01-11T00:00:00"/>
        <d v="2026-06-19T00:00:00"/>
        <d v="2026-06-18T00:00:00"/>
        <d v="2026-03-10T00:00:00"/>
        <d v="2026-03-16T00:00:00"/>
        <d v="2026-03-18T00:00:00"/>
        <d v="2026-03-23T00:00:00"/>
        <d v="2026-06-01T00:00:00"/>
        <d v="2026-01-20T00:00:00"/>
        <d v="2026-05-19T00:00:00"/>
        <d v="2026-04-02T00:00:00"/>
        <d v="2026-04-30T00:00:00"/>
        <d v="2026-03-12T00:00:00"/>
        <d v="2026-06-07T00:00:00"/>
        <d v="2026-03-01T00:00:00"/>
        <d v="2026-01-28T00:00:00"/>
        <d v="2026-04-13T00:00:00"/>
        <d v="2026-06-04T00:00:00"/>
        <d v="2026-03-28T00:00:00"/>
        <d v="2026-06-25T00:00:00"/>
        <d v="2026-06-29T00:00:00"/>
        <d v="2026-05-15T00:00:00"/>
        <d v="2026-02-05T00:00:00"/>
        <d v="2026-06-30T00:00:00"/>
        <d v="2026-04-28T00:00:00"/>
        <d v="2026-04-22T00:00:00"/>
        <d v="2026-02-07T00:00:00"/>
        <d v="2026-04-26T00:00:00"/>
        <d v="2026-01-16T00:00:00"/>
        <d v="2026-04-23T00:00:00"/>
        <d v="2026-03-27T00:00:00"/>
        <d v="2026-04-07T00:00:00"/>
        <d v="2026-03-21T00:00:00"/>
        <d v="2026-05-10T00:00:00"/>
        <d v="2026-06-06T00:00:00"/>
        <d v="2026-06-14T00:00:00"/>
        <d v="2026-02-01T00:00:00"/>
        <d v="2026-03-03T00:00:00"/>
        <d v="2026-03-06T00:00:00"/>
        <d v="2026-03-25T00:00:00"/>
        <m/>
        <d v="2026-02-09T00:00:00"/>
        <d v="2026-03-04T00:00:00"/>
        <d v="2026-04-29T00:00:00"/>
        <d v="2026-05-12T00:00:00"/>
        <d v="2026-01-13T00:00:00"/>
        <d v="2026-01-19T00:00:00"/>
        <d v="2026-02-28T00:00:00"/>
        <d v="2026-03-22T00:00:00"/>
        <d v="2026-05-23T00:00:00"/>
        <d v="2026-06-22T00:00:00"/>
        <d v="2026-02-17T00:00:00"/>
        <d v="2026-03-05T00:00:00"/>
        <d v="2026-03-30T00:00:00"/>
        <d v="2026-05-16T00:00:00"/>
        <d v="2026-02-13T00:00:00"/>
        <d v="2026-04-06T00:00:00"/>
        <d v="2026-04-16T00:00:00"/>
        <d v="2026-04-14T00:00:00"/>
        <d v="2026-02-25T00:00:00"/>
        <d v="2026-02-04T00:00:00"/>
        <d v="2026-06-27T00:00:00"/>
        <d v="2026-02-21T00:00:00"/>
        <d v="2026-06-23T00:00:00"/>
        <d v="2026-03-31T00:00:00"/>
        <d v="2026-04-19T00:00:00"/>
        <d v="2026-01-08T00:00:00"/>
        <d v="2026-05-21T00:00:00"/>
        <d v="2026-02-22T00:00:00"/>
        <d v="2026-05-27T00:00:00"/>
        <d v="2026-06-11T00:00:00"/>
        <d v="2026-05-05T00:00:00"/>
        <d v="2026-01-12T00:00:00"/>
        <d v="2026-02-24T00:00:00"/>
        <d v="2026-05-08T00:00:00"/>
        <d v="2026-04-04T00:00:00"/>
        <d v="2026-02-27T00:00:00"/>
        <d v="2026-05-07T00:00:00"/>
        <d v="2026-05-14T00:00:00"/>
        <d v="2026-01-31T00:00:00"/>
        <d v="2026-06-15T00:00:00"/>
        <d v="2026-02-08T00:00:00"/>
        <d v="2026-03-13T00:00:00"/>
        <d v="2026-03-02T00:00:00"/>
        <d v="2026-01-01T00:00:00"/>
        <d v="2026-03-20T00:00:00"/>
        <d v="2026-06-21T00:00:00"/>
        <d v="2026-02-14T00:00:00"/>
        <d v="2026-06-17T00:00:00"/>
        <d v="2026-06-08T00:00:00"/>
        <d v="2026-04-09T00:00:00"/>
        <d v="2026-05-04T00:00:00"/>
        <d v="2026-04-27T00:00:00"/>
        <d v="2026-02-02T00:00:00"/>
        <d v="2026-03-07T00:00:00"/>
        <d v="2026-05-09T00:00:00"/>
        <d v="2026-05-03T00:00:00"/>
        <d v="2026-05-13T00:00:00"/>
        <d v="2026-04-20T00:00:00"/>
        <d v="2026-01-03T00:00:00"/>
        <d v="2026-05-30T00:00:00"/>
        <d v="2026-03-24T00:00:00"/>
        <d v="2026-04-17T00:00:00"/>
        <d v="2026-01-05T00:00:00"/>
        <d v="2026-04-18T00:00:00"/>
        <d v="2026-02-23T00:00:00"/>
        <d v="2026-01-18T00:00:00"/>
        <d v="2026-04-11T00:00:00"/>
        <d v="2026-02-12T00:00:00"/>
        <d v="2026-04-21T00:00:00"/>
        <d v="2026-02-03T00:00:00"/>
        <d v="2026-04-25T00:00:00"/>
        <d v="2026-03-14T00:00:00"/>
        <d v="2026-04-24T00:00:00"/>
        <d v="2026-06-24T00:00:00"/>
        <d v="2026-03-29T00:00:00"/>
      </sharedItems>
      <fieldGroup par="26"/>
    </cacheField>
    <cacheField name="Customer_ID" numFmtId="0">
      <sharedItems/>
    </cacheField>
    <cacheField name="Employee_ID" numFmtId="0">
      <sharedItems/>
    </cacheField>
    <cacheField name="Product_ID" numFmtId="0">
      <sharedItems/>
    </cacheField>
    <cacheField name="Quantity" numFmtId="0">
      <sharedItems containsString="0" containsBlank="1" containsNumber="1" containsInteger="1" minValue="1" maxValue="10"/>
    </cacheField>
    <cacheField name="Unit_Price_INR" numFmtId="0">
      <sharedItems containsSemiMixedTypes="0" containsString="0" containsNumber="1" minValue="617.5" maxValue="50925"/>
    </cacheField>
    <cacheField name="Discount_Rate" numFmtId="0">
      <sharedItems containsString="0" containsBlank="1" containsNumber="1" minValue="0" maxValue="0.2"/>
    </cacheField>
    <cacheField name="Order_Status" numFmtId="0">
      <sharedItems count="4">
        <s v="Completed"/>
        <s v="Cancelled"/>
        <s v="Pending"/>
        <s v="Returned"/>
      </sharedItems>
    </cacheField>
    <cacheField name="Sales_Channel" numFmtId="0">
      <sharedItems/>
    </cacheField>
    <cacheField name="Payment_Mode" numFmtId="0">
      <sharedItems/>
    </cacheField>
    <cacheField name="Recorded_Net_Sales_INR" numFmtId="0">
      <sharedItems containsSemiMixedTypes="0" containsString="0" containsNumber="1" minValue="494" maxValue="509250"/>
    </cacheField>
    <cacheField name="Ship_City" numFmtId="0">
      <sharedItems/>
    </cacheField>
    <cacheField name="Calculated_Net_Sales_INR" numFmtId="0">
      <sharedItems containsString="0" containsBlank="1" containsNumber="1" minValue="494" maxValue="509250"/>
    </cacheField>
    <cacheField name="Sales_Reconciliation_Status" numFmtId="0">
      <sharedItems/>
    </cacheField>
    <cacheField name="Employee_Name" numFmtId="0">
      <sharedItems containsBlank="1" count="16">
        <s v="Priya S"/>
        <s v="Divya R"/>
        <s v="Sanjay B"/>
        <s v="Karthik V"/>
        <s v="Vikram J"/>
        <s v="Sneha P"/>
        <s v="Pooja T"/>
        <s v="Rahul M"/>
        <s v="Neha A"/>
        <s v="Aditya G"/>
        <s v="Meera N"/>
        <s v="Rohit S"/>
        <s v="Isha D"/>
        <s v="Amit K"/>
        <s v="Arun Kumar"/>
        <m/>
      </sharedItems>
    </cacheField>
    <cacheField name="Region" numFmtId="0">
      <sharedItems containsBlank="1" count="6">
        <s v="South"/>
        <s v="East"/>
        <s v="West"/>
        <s v="North"/>
        <s v="Central"/>
        <m/>
      </sharedItems>
    </cacheField>
    <cacheField name="Base_City" numFmtId="0">
      <sharedItems containsBlank="1"/>
    </cacheField>
    <cacheField name="Role" numFmtId="0">
      <sharedItems containsBlank="1"/>
    </cacheField>
    <cacheField name="Product_Name" numFmtId="0">
      <sharedItems containsBlank="1" count="13">
        <s v="Wireless Mouse"/>
        <s v="24-inch Monitor"/>
        <s v="Laptop 14-inch"/>
        <s v="USB-C Hub"/>
        <s v="Laptop Stand"/>
        <s v="Standing Desk"/>
        <s v="Office Chair"/>
        <s v="Bluetooth Speaker"/>
        <s v="Mechanical Keyboard"/>
        <s v="27-inch Monitor"/>
        <s v="Webcam HD"/>
        <s v="Headset"/>
        <m/>
      </sharedItems>
    </cacheField>
    <cacheField name="Category" numFmtId="0">
      <sharedItems containsBlank="1" count="6">
        <s v="Accessories"/>
        <s v="Displays"/>
        <s v="Computers"/>
        <s v="Furniture"/>
        <s v="Audio"/>
        <m/>
      </sharedItems>
    </cacheField>
    <cacheField name="List_Price_INR" numFmtId="0">
      <sharedItems containsString="0" containsBlank="1" containsNumber="1" containsInteger="1" minValue="650" maxValue="48500"/>
    </cacheField>
    <cacheField name="Unit_Cost_INR" numFmtId="0">
      <sharedItems containsString="0" containsBlank="1" containsNumber="1" containsInteger="1" minValue="390" maxValue="41200"/>
    </cacheField>
    <cacheField name="Realized_Sales_INR" numFmtId="0">
      <sharedItems containsSemiMixedTypes="0" containsString="0" containsNumber="1" minValue="0" maxValue="509250"/>
    </cacheField>
    <cacheField name="Gross_Profit_INR" numFmtId="0">
      <sharedItems containsSemiMixedTypes="0" containsString="0" containsNumber="1" minValue="-329600" maxValue="97250"/>
    </cacheField>
    <cacheField name="Months (Order_Date)" numFmtId="0" databaseField="0">
      <fieldGroup base="1">
        <rangePr groupBy="months" startDate="2026-01-01T00:00:00" endDate="2026-07-01T00:00:00"/>
        <groupItems count="14">
          <s v="&lt;01-01-2026"/>
          <s v="Jan"/>
          <s v="Feb"/>
          <s v="Mar"/>
          <s v="Apr"/>
          <s v="May"/>
          <s v="Jun"/>
          <s v="Jul"/>
          <s v="Aug"/>
          <s v="Sep"/>
          <s v="Oct"/>
          <s v="Nov"/>
          <s v="Dec"/>
          <s v="&gt;01-07-2026"/>
        </groupItems>
      </fieldGroup>
    </cacheField>
    <cacheField name="Years (Order_Date)" numFmtId="0" databaseField="0">
      <fieldGroup base="1">
        <rangePr groupBy="years" startDate="2026-01-01T00:00:00" endDate="2026-07-01T00:00:00"/>
        <groupItems count="3">
          <s v="&lt;01-01-2026"/>
          <s v="2026"/>
          <s v="&gt;01-07-2026"/>
        </groupItems>
      </fieldGroup>
    </cacheField>
  </cacheFields>
  <extLst>
    <ext xmlns:x14="http://schemas.microsoft.com/office/spreadsheetml/2009/9/main" uri="{725AE2AE-9491-48be-B2B4-4EB974FC3084}">
      <x14:pivotCacheDefinition pivotCacheId="423721018"/>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8">
  <r>
    <s v="ORD26060001"/>
    <x v="0"/>
    <s v="C0045"/>
    <s v="E002"/>
    <s v="P001"/>
    <n v="4"/>
    <n v="617.5"/>
    <n v="0"/>
    <x v="0"/>
    <s v="Phone"/>
    <s v="Upi"/>
    <n v="2470"/>
    <s v="Chennai"/>
    <n v="2470"/>
    <s v="Match"/>
    <x v="0"/>
    <x v="0"/>
    <s v="Bengaluru"/>
    <s v="Sales Executive"/>
    <x v="0"/>
    <x v="0"/>
    <n v="650"/>
    <n v="390"/>
    <n v="2470"/>
    <n v="910"/>
  </r>
  <r>
    <s v="ORD26010002"/>
    <x v="1"/>
    <s v="C0113"/>
    <s v="E004"/>
    <s v="P004"/>
    <n v="2"/>
    <n v="11760"/>
    <n v="0"/>
    <x v="0"/>
    <s v="Phone"/>
    <s v="Credit"/>
    <n v="23520"/>
    <s v="Hyderabad"/>
    <n v="23520"/>
    <s v="Match"/>
    <x v="1"/>
    <x v="0"/>
    <s v="Coimbatore"/>
    <s v="Sales Executive"/>
    <x v="1"/>
    <x v="1"/>
    <n v="11200"/>
    <n v="8300"/>
    <n v="23520"/>
    <n v="6920"/>
  </r>
  <r>
    <s v="ORD26060016"/>
    <x v="2"/>
    <s v="C0232"/>
    <s v="E004"/>
    <s v="P012"/>
    <n v="2"/>
    <n v="50925"/>
    <n v="0.2"/>
    <x v="0"/>
    <s v="Direct"/>
    <s v="Card"/>
    <n v="81480"/>
    <s v="Bengaluru"/>
    <n v="81480"/>
    <s v="Match"/>
    <x v="1"/>
    <x v="0"/>
    <s v="Coimbatore"/>
    <s v="Sales Executive"/>
    <x v="2"/>
    <x v="2"/>
    <n v="48500"/>
    <n v="41200"/>
    <n v="81480"/>
    <n v="-920"/>
  </r>
  <r>
    <s v="ORD26010003"/>
    <x v="3"/>
    <s v="C0173"/>
    <s v="E013"/>
    <s v="P003"/>
    <n v="3"/>
    <n v="1800"/>
    <n v="0.05"/>
    <x v="0"/>
    <s v="Direct"/>
    <s v="Upi"/>
    <n v="5130"/>
    <s v="Pune"/>
    <n v="5130"/>
    <s v="Match"/>
    <x v="2"/>
    <x v="1"/>
    <s v="Bhubaneswar"/>
    <s v="Sales Executive"/>
    <x v="3"/>
    <x v="0"/>
    <n v="1800"/>
    <n v="1120"/>
    <n v="5130"/>
    <n v="1770"/>
  </r>
  <r>
    <s v="ORD26050015"/>
    <x v="4"/>
    <s v="C0136"/>
    <s v="E013"/>
    <s v="P003"/>
    <n v="1"/>
    <n v="1800"/>
    <n v="0.1"/>
    <x v="1"/>
    <s v="Phone"/>
    <s v="Card"/>
    <n v="1620"/>
    <s v="Jaipur"/>
    <n v="1620"/>
    <s v="Match"/>
    <x v="2"/>
    <x v="1"/>
    <s v="Bhubaneswar"/>
    <s v="Sales Executive"/>
    <x v="3"/>
    <x v="0"/>
    <n v="1800"/>
    <n v="1120"/>
    <n v="0"/>
    <n v="-1120"/>
  </r>
  <r>
    <s v="ORD26020009"/>
    <x v="5"/>
    <s v="C0205"/>
    <s v="E005"/>
    <s v="P003"/>
    <n v="1"/>
    <n v="1890"/>
    <n v="0.15"/>
    <x v="0"/>
    <s v="Marketplace"/>
    <s v="Card"/>
    <n v="1606.5"/>
    <s v="Delhi"/>
    <n v="1606.5"/>
    <s v="Match"/>
    <x v="3"/>
    <x v="0"/>
    <s v="Kochi"/>
    <s v="Sales Executive"/>
    <x v="3"/>
    <x v="0"/>
    <n v="1800"/>
    <n v="1120"/>
    <n v="1606.5"/>
    <n v="486.5"/>
  </r>
  <r>
    <s v="ORD26030012"/>
    <x v="6"/>
    <s v="C0257"/>
    <s v="E007"/>
    <s v="P003"/>
    <n v="2"/>
    <n v="1800"/>
    <n v="0.2"/>
    <x v="2"/>
    <s v="Website"/>
    <s v="Credit"/>
    <n v="2880"/>
    <s v="Mumbai"/>
    <n v="2880"/>
    <s v="Match"/>
    <x v="4"/>
    <x v="2"/>
    <s v="Pune"/>
    <s v="Sales Executive"/>
    <x v="3"/>
    <x v="0"/>
    <n v="1800"/>
    <n v="1120"/>
    <n v="0"/>
    <n v="-2240"/>
  </r>
  <r>
    <s v="ORD26010008"/>
    <x v="7"/>
    <s v="C0109"/>
    <s v="E013"/>
    <s v="P006"/>
    <n v="2"/>
    <n v="1400"/>
    <n v="0"/>
    <x v="0"/>
    <s v="Phone"/>
    <s v="Cash"/>
    <n v="2800"/>
    <s v="Kochi"/>
    <n v="2800"/>
    <s v="Match"/>
    <x v="2"/>
    <x v="1"/>
    <s v="Bhubaneswar"/>
    <s v="Sales Executive"/>
    <x v="4"/>
    <x v="0"/>
    <n v="1400"/>
    <n v="780"/>
    <n v="2800"/>
    <n v="1240"/>
  </r>
  <r>
    <s v="ORD26010004"/>
    <x v="8"/>
    <s v="C0194"/>
    <s v="E006"/>
    <s v="P006"/>
    <n v="3"/>
    <n v="1330"/>
    <n v="0"/>
    <x v="2"/>
    <s v="Direct"/>
    <s v="Credit"/>
    <n v="3990"/>
    <s v="Hyderabad"/>
    <n v="3990"/>
    <s v="Match"/>
    <x v="5"/>
    <x v="2"/>
    <s v="Mumbai"/>
    <s v="Sales Executive"/>
    <x v="4"/>
    <x v="0"/>
    <n v="1400"/>
    <n v="780"/>
    <n v="0"/>
    <n v="-2340"/>
  </r>
  <r>
    <s v="ORD26060005"/>
    <x v="9"/>
    <s v="C0149"/>
    <s v="E010"/>
    <s v="P006"/>
    <n v="3"/>
    <n v="1400"/>
    <n v="0.2"/>
    <x v="0"/>
    <s v="Direct"/>
    <s v="Card"/>
    <n v="3360"/>
    <s v="Mumbai"/>
    <n v="3360"/>
    <s v="Match"/>
    <x v="6"/>
    <x v="3"/>
    <s v="Jaipur"/>
    <s v="Sales Executive"/>
    <x v="4"/>
    <x v="0"/>
    <n v="1400"/>
    <n v="780"/>
    <n v="3360"/>
    <n v="1020"/>
  </r>
  <r>
    <s v="ORD26060007"/>
    <x v="10"/>
    <s v="C0113"/>
    <s v="E003"/>
    <s v="P009"/>
    <n v="3"/>
    <n v="18500"/>
    <n v="0"/>
    <x v="0"/>
    <s v="Marketplace"/>
    <s v="Upi"/>
    <n v="55500"/>
    <s v="Bengaluru"/>
    <n v="55500"/>
    <s v="Match"/>
    <x v="7"/>
    <x v="0"/>
    <s v="Hyderabad"/>
    <s v="Sales Executive"/>
    <x v="5"/>
    <x v="3"/>
    <n v="18500"/>
    <n v="13900"/>
    <n v="55500"/>
    <n v="13800"/>
  </r>
  <r>
    <s v="ORD26040006"/>
    <x v="11"/>
    <s v="C0108"/>
    <s v="E005"/>
    <s v="P008"/>
    <n v="3"/>
    <n v="7800"/>
    <n v="0.05"/>
    <x v="0"/>
    <s v="Marketplace"/>
    <s v="Upi"/>
    <n v="22230"/>
    <s v="Indore"/>
    <n v="22230"/>
    <s v="Match"/>
    <x v="3"/>
    <x v="0"/>
    <s v="Kochi"/>
    <s v="Sales Executive"/>
    <x v="6"/>
    <x v="3"/>
    <n v="7800"/>
    <n v="5200"/>
    <n v="22230"/>
    <n v="6630"/>
  </r>
  <r>
    <s v="ORD26060013"/>
    <x v="9"/>
    <s v="C0001"/>
    <s v="E005"/>
    <s v="P011"/>
    <n v="2"/>
    <n v="2400"/>
    <n v="0"/>
    <x v="0"/>
    <s v="Marketplace"/>
    <s v="Cash"/>
    <n v="4800"/>
    <s v="Chennai"/>
    <n v="4800"/>
    <s v="Match"/>
    <x v="3"/>
    <x v="0"/>
    <s v="Kochi"/>
    <s v="Sales Executive"/>
    <x v="7"/>
    <x v="4"/>
    <n v="2400"/>
    <n v="1480"/>
    <n v="4800"/>
    <n v="1840"/>
  </r>
  <r>
    <s v="ORD26050010"/>
    <x v="12"/>
    <s v="C0217"/>
    <s v="E008"/>
    <s v="P002"/>
    <n v="4"/>
    <n v="2200"/>
    <n v="0"/>
    <x v="0"/>
    <s v="Direct"/>
    <s v="Cash"/>
    <n v="8800"/>
    <s v="Pune"/>
    <n v="8800"/>
    <s v="Match"/>
    <x v="8"/>
    <x v="2"/>
    <s v="Ahmedabad"/>
    <s v="Sales Executive"/>
    <x v="8"/>
    <x v="0"/>
    <n v="2200"/>
    <n v="1450"/>
    <n v="8800"/>
    <n v="3000"/>
  </r>
  <r>
    <s v="ORD26060011"/>
    <x v="13"/>
    <s v="C0059"/>
    <s v="E008"/>
    <s v="P009"/>
    <n v="1"/>
    <n v="17575"/>
    <n v="0.15"/>
    <x v="2"/>
    <s v="Marketplace"/>
    <s v="Bank Transfer"/>
    <n v="14938.75"/>
    <s v="Mumbai"/>
    <n v="14938.75"/>
    <s v="Match"/>
    <x v="8"/>
    <x v="2"/>
    <s v="Ahmedabad"/>
    <s v="Sales Executive"/>
    <x v="5"/>
    <x v="3"/>
    <n v="18500"/>
    <n v="13900"/>
    <n v="0"/>
    <n v="-13900"/>
  </r>
  <r>
    <s v="ORD26010014"/>
    <x v="14"/>
    <s v="C0041"/>
    <s v="E015"/>
    <s v="P006"/>
    <n v="5"/>
    <n v="1400"/>
    <n v="0.05"/>
    <x v="0"/>
    <s v="Direct"/>
    <s v="Cash"/>
    <n v="6650"/>
    <s v="Mumbai"/>
    <n v="6650"/>
    <s v="Match"/>
    <x v="9"/>
    <x v="4"/>
    <s v="Bhopal"/>
    <s v="Sales Executive"/>
    <x v="4"/>
    <x v="0"/>
    <n v="1400"/>
    <n v="780"/>
    <n v="6650"/>
    <n v="2750"/>
  </r>
  <r>
    <s v="ORD26010017"/>
    <x v="15"/>
    <s v="C0037"/>
    <s v="E006"/>
    <s v="P001"/>
    <n v="3"/>
    <n v="617.5"/>
    <n v="0"/>
    <x v="0"/>
    <s v="Direct"/>
    <s v="Card"/>
    <n v="1852.5"/>
    <s v="Mumbai"/>
    <n v="1852.5"/>
    <s v="Match"/>
    <x v="5"/>
    <x v="2"/>
    <s v="Mumbai"/>
    <s v="Sales Executive"/>
    <x v="0"/>
    <x v="0"/>
    <n v="650"/>
    <n v="390"/>
    <n v="1852.5"/>
    <n v="682.5"/>
  </r>
  <r>
    <s v="ORD26010018"/>
    <x v="7"/>
    <s v="C0110"/>
    <s v="E014"/>
    <s v="P006"/>
    <n v="1"/>
    <n v="1470"/>
    <n v="0"/>
    <x v="0"/>
    <s v="Website"/>
    <s v="Credit"/>
    <n v="1470"/>
    <s v="Indore"/>
    <n v="1470"/>
    <s v="Match"/>
    <x v="10"/>
    <x v="4"/>
    <s v="Indore"/>
    <s v="Sales Executive"/>
    <x v="4"/>
    <x v="0"/>
    <n v="1400"/>
    <n v="780"/>
    <n v="1470"/>
    <n v="690"/>
  </r>
  <r>
    <s v="ORD26050019"/>
    <x v="16"/>
    <s v="C0182"/>
    <s v="E004"/>
    <s v="P008"/>
    <n v="4"/>
    <n v="8190"/>
    <n v="0"/>
    <x v="0"/>
    <s v="Phone"/>
    <s v="Cash"/>
    <n v="32760"/>
    <s v="Kochi"/>
    <n v="32760"/>
    <s v="Match"/>
    <x v="1"/>
    <x v="0"/>
    <s v="Coimbatore"/>
    <s v="Sales Executive"/>
    <x v="6"/>
    <x v="3"/>
    <n v="7800"/>
    <n v="5200"/>
    <n v="32760"/>
    <n v="11960"/>
  </r>
  <r>
    <s v="ORD26010020"/>
    <x v="17"/>
    <s v="C0056"/>
    <s v="E011"/>
    <s v="P011"/>
    <n v="10"/>
    <n v="2400"/>
    <n v="0"/>
    <x v="0"/>
    <s v="Website"/>
    <s v="Card"/>
    <n v="24000"/>
    <s v="Bengaluru"/>
    <n v="24000"/>
    <s v="Match"/>
    <x v="11"/>
    <x v="3"/>
    <s v="Lucknow"/>
    <s v="Sales Executive"/>
    <x v="7"/>
    <x v="4"/>
    <n v="2400"/>
    <n v="1480"/>
    <n v="24000"/>
    <n v="9200"/>
  </r>
  <r>
    <s v="ORD26050021"/>
    <x v="18"/>
    <s v="C0227"/>
    <s v="E008"/>
    <s v="P003"/>
    <n v="2"/>
    <n v="1710"/>
    <n v="0.05"/>
    <x v="0"/>
    <s v="Direct"/>
    <s v="Upi"/>
    <n v="3249"/>
    <s v="Jaipur"/>
    <n v="3249"/>
    <s v="Match"/>
    <x v="8"/>
    <x v="2"/>
    <s v="Ahmedabad"/>
    <s v="Sales Executive"/>
    <x v="3"/>
    <x v="0"/>
    <n v="1800"/>
    <n v="1120"/>
    <n v="3249"/>
    <n v="1009"/>
  </r>
  <r>
    <s v="ORD26010022"/>
    <x v="19"/>
    <s v="C0031"/>
    <s v="E002"/>
    <s v="P004"/>
    <n v="1"/>
    <n v="11760"/>
    <n v="0.1"/>
    <x v="0"/>
    <s v="Website"/>
    <s v="Cash"/>
    <n v="10584"/>
    <s v="Chennai"/>
    <n v="10584"/>
    <s v="Match"/>
    <x v="0"/>
    <x v="0"/>
    <s v="Bengaluru"/>
    <s v="Sales Executive"/>
    <x v="1"/>
    <x v="1"/>
    <n v="11200"/>
    <n v="8300"/>
    <n v="10584"/>
    <n v="2284"/>
  </r>
  <r>
    <s v="ORD26040023"/>
    <x v="20"/>
    <s v="C0080"/>
    <s v="E005"/>
    <s v="P008"/>
    <n v="1"/>
    <n v="8190"/>
    <n v="0.2"/>
    <x v="1"/>
    <s v="Website"/>
    <s v="Bank Transfer"/>
    <n v="6552"/>
    <s v="Bengaluru"/>
    <n v="6552"/>
    <s v="Match"/>
    <x v="3"/>
    <x v="0"/>
    <s v="Kochi"/>
    <s v="Sales Executive"/>
    <x v="6"/>
    <x v="3"/>
    <n v="7800"/>
    <n v="5200"/>
    <n v="0"/>
    <n v="-5200"/>
  </r>
  <r>
    <s v="ORD26010024"/>
    <x v="21"/>
    <s v="C0245"/>
    <s v="E010"/>
    <s v="P012"/>
    <n v="2"/>
    <n v="46075"/>
    <n v="0.2"/>
    <x v="0"/>
    <s v="Website"/>
    <s v="Upi"/>
    <n v="73720"/>
    <s v="Jaipur"/>
    <n v="73720"/>
    <s v="Match"/>
    <x v="6"/>
    <x v="3"/>
    <s v="Jaipur"/>
    <s v="Sales Executive"/>
    <x v="2"/>
    <x v="2"/>
    <n v="48500"/>
    <n v="41200"/>
    <n v="73720"/>
    <n v="-8680"/>
  </r>
  <r>
    <s v="ORD26010025"/>
    <x v="22"/>
    <s v="C0207"/>
    <s v="E014"/>
    <s v="P003"/>
    <n v="1"/>
    <n v="1800"/>
    <n v="0"/>
    <x v="0"/>
    <s v="Direct"/>
    <s v="Credit"/>
    <n v="1800"/>
    <s v="Bengaluru"/>
    <n v="1800"/>
    <s v="Match"/>
    <x v="10"/>
    <x v="4"/>
    <s v="Indore"/>
    <s v="Sales Executive"/>
    <x v="3"/>
    <x v="0"/>
    <n v="1800"/>
    <n v="1120"/>
    <n v="1800"/>
    <n v="680"/>
  </r>
  <r>
    <s v="ORD26050026"/>
    <x v="23"/>
    <s v="C0134"/>
    <s v="E010"/>
    <s v="P001"/>
    <n v="3"/>
    <n v="650"/>
    <n v="0.1"/>
    <x v="0"/>
    <s v="Marketplace"/>
    <s v="Bank Transfer"/>
    <n v="1755"/>
    <s v="Bengaluru"/>
    <n v="1755"/>
    <s v="Match"/>
    <x v="6"/>
    <x v="3"/>
    <s v="Jaipur"/>
    <s v="Sales Executive"/>
    <x v="0"/>
    <x v="0"/>
    <n v="650"/>
    <n v="390"/>
    <n v="1755"/>
    <n v="585"/>
  </r>
  <r>
    <s v="ORD26030027"/>
    <x v="24"/>
    <s v="C0005"/>
    <s v="E007"/>
    <s v="P003"/>
    <n v="3"/>
    <n v="1710"/>
    <n v="0.05"/>
    <x v="0"/>
    <s v="Phone"/>
    <s v="Credit"/>
    <n v="4873.5"/>
    <s v="Indore"/>
    <n v="4873.5"/>
    <s v="Match"/>
    <x v="4"/>
    <x v="2"/>
    <s v="Pune"/>
    <s v="Sales Executive"/>
    <x v="3"/>
    <x v="0"/>
    <n v="1800"/>
    <n v="1120"/>
    <n v="4873.5"/>
    <n v="1513.5"/>
  </r>
  <r>
    <s v="ORD26010028"/>
    <x v="25"/>
    <s v="C0036"/>
    <s v="E002"/>
    <s v="P009"/>
    <n v="1"/>
    <n v="18500"/>
    <n v="0.05"/>
    <x v="0"/>
    <s v="Website"/>
    <s v="Bank Transfer"/>
    <n v="17575"/>
    <s v="Hyderabad"/>
    <n v="17575"/>
    <s v="Match"/>
    <x v="0"/>
    <x v="0"/>
    <s v="Bengaluru"/>
    <s v="Sales Executive"/>
    <x v="5"/>
    <x v="3"/>
    <n v="18500"/>
    <n v="13900"/>
    <n v="17575"/>
    <n v="3675"/>
  </r>
  <r>
    <s v="ORD26020029"/>
    <x v="26"/>
    <s v="C0154"/>
    <s v="E008"/>
    <s v="P009"/>
    <n v="3"/>
    <n v="17575"/>
    <n v="0.15"/>
    <x v="3"/>
    <s v="Direct"/>
    <s v="Card"/>
    <n v="44816.25"/>
    <s v="Hyderabad"/>
    <n v="44816.25"/>
    <s v="Match"/>
    <x v="8"/>
    <x v="2"/>
    <s v="Ahmedabad"/>
    <s v="Sales Executive"/>
    <x v="5"/>
    <x v="3"/>
    <n v="18500"/>
    <n v="13900"/>
    <n v="0"/>
    <n v="-41700"/>
  </r>
  <r>
    <s v="ORD26010030"/>
    <x v="27"/>
    <s v="C0176"/>
    <s v="E015"/>
    <s v="P002"/>
    <n v="4"/>
    <n v="2200"/>
    <n v="0"/>
    <x v="0"/>
    <s v="Website"/>
    <s v="Bank Transfer"/>
    <n v="8800"/>
    <s v="Jaipur"/>
    <n v="8800"/>
    <s v="Match"/>
    <x v="9"/>
    <x v="4"/>
    <s v="Bhopal"/>
    <s v="Sales Executive"/>
    <x v="8"/>
    <x v="0"/>
    <n v="2200"/>
    <n v="1450"/>
    <n v="8800"/>
    <n v="3000"/>
  </r>
  <r>
    <s v="ORD26050031"/>
    <x v="28"/>
    <s v="C0002"/>
    <s v="E005"/>
    <s v="P001"/>
    <n v="1"/>
    <n v="617.5"/>
    <n v="0.1"/>
    <x v="0"/>
    <s v="Marketplace"/>
    <s v="Card"/>
    <n v="555.75"/>
    <s v="Hyderabad"/>
    <n v="555.75"/>
    <s v="Match"/>
    <x v="3"/>
    <x v="0"/>
    <s v="Kochi"/>
    <s v="Sales Executive"/>
    <x v="0"/>
    <x v="0"/>
    <n v="650"/>
    <n v="390"/>
    <n v="555.75"/>
    <n v="165.75"/>
  </r>
  <r>
    <s v="ORD26020032"/>
    <x v="29"/>
    <s v="C0039"/>
    <s v="E012"/>
    <s v="P008"/>
    <n v="3"/>
    <n v="7410"/>
    <n v="0.1"/>
    <x v="0"/>
    <s v="Website"/>
    <s v="Credit"/>
    <n v="20007"/>
    <s v="Chennai"/>
    <n v="20007"/>
    <s v="Match"/>
    <x v="12"/>
    <x v="1"/>
    <s v="Kolkata"/>
    <s v="Sales Executive"/>
    <x v="6"/>
    <x v="3"/>
    <n v="7800"/>
    <n v="5200"/>
    <n v="20007"/>
    <n v="4407"/>
  </r>
  <r>
    <s v="ORD26040033"/>
    <x v="30"/>
    <s v="C0021"/>
    <s v="E010"/>
    <s v="P009"/>
    <n v="1"/>
    <n v="18500"/>
    <n v="0"/>
    <x v="0"/>
    <s v="Marketplace"/>
    <s v="Card"/>
    <n v="18500"/>
    <s v="Bengaluru"/>
    <n v="18500"/>
    <s v="Match"/>
    <x v="6"/>
    <x v="3"/>
    <s v="Jaipur"/>
    <s v="Sales Executive"/>
    <x v="5"/>
    <x v="3"/>
    <n v="18500"/>
    <n v="13900"/>
    <n v="18500"/>
    <n v="4600"/>
  </r>
  <r>
    <s v="ORD26060034"/>
    <x v="31"/>
    <s v="C0122"/>
    <s v="E002"/>
    <s v="P006"/>
    <n v="4"/>
    <n v="1400"/>
    <n v="0.1"/>
    <x v="3"/>
    <s v="Website"/>
    <s v="Card"/>
    <n v="5040"/>
    <s v="Pune"/>
    <n v="5040"/>
    <s v="Match"/>
    <x v="0"/>
    <x v="0"/>
    <s v="Bengaluru"/>
    <s v="Sales Executive"/>
    <x v="4"/>
    <x v="0"/>
    <n v="1400"/>
    <n v="780"/>
    <n v="0"/>
    <n v="-3120"/>
  </r>
  <r>
    <s v="ORD26010035"/>
    <x v="32"/>
    <s v="C0137"/>
    <s v="E003"/>
    <s v="P012"/>
    <n v="8"/>
    <n v="48500"/>
    <n v="0.1"/>
    <x v="0"/>
    <s v="Website"/>
    <s v="Upi"/>
    <n v="349200"/>
    <s v="Pune"/>
    <n v="349200"/>
    <s v="Match"/>
    <x v="7"/>
    <x v="0"/>
    <s v="Hyderabad"/>
    <s v="Sales Executive"/>
    <x v="2"/>
    <x v="2"/>
    <n v="48500"/>
    <n v="41200"/>
    <n v="349200"/>
    <n v="19600"/>
  </r>
  <r>
    <s v="ORD26010036"/>
    <x v="33"/>
    <s v="Unknown"/>
    <s v="E014"/>
    <s v="P008"/>
    <n v="1"/>
    <n v="7800"/>
    <n v="0.1"/>
    <x v="0"/>
    <s v="Direct"/>
    <s v="Card"/>
    <n v="7020"/>
    <s v="Pune"/>
    <n v="7020"/>
    <s v="Match"/>
    <x v="10"/>
    <x v="4"/>
    <s v="Indore"/>
    <s v="Sales Executive"/>
    <x v="6"/>
    <x v="3"/>
    <n v="7800"/>
    <n v="5200"/>
    <n v="7020"/>
    <n v="1820"/>
  </r>
  <r>
    <s v="ORD26030037"/>
    <x v="34"/>
    <s v="C0170"/>
    <s v="E005"/>
    <s v="P002"/>
    <n v="8"/>
    <n v="2310"/>
    <n v="0.05"/>
    <x v="0"/>
    <s v="Direct"/>
    <s v="Upi"/>
    <n v="17556"/>
    <s v="Hyderabad"/>
    <n v="17556"/>
    <s v="Match"/>
    <x v="3"/>
    <x v="0"/>
    <s v="Kochi"/>
    <s v="Sales Executive"/>
    <x v="8"/>
    <x v="0"/>
    <n v="2200"/>
    <n v="1450"/>
    <n v="17556"/>
    <n v="5956"/>
  </r>
  <r>
    <s v="ORD26020038"/>
    <x v="35"/>
    <s v="C0224"/>
    <s v="E010"/>
    <s v="P005"/>
    <n v="1"/>
    <n v="16800"/>
    <n v="0.15"/>
    <x v="0"/>
    <s v="Direct"/>
    <s v="Cash"/>
    <n v="14280"/>
    <s v="Indore"/>
    <n v="14280"/>
    <s v="Match"/>
    <x v="6"/>
    <x v="3"/>
    <s v="Jaipur"/>
    <s v="Sales Executive"/>
    <x v="9"/>
    <x v="1"/>
    <n v="16800"/>
    <n v="12600"/>
    <n v="14280"/>
    <n v="1680"/>
  </r>
  <r>
    <s v="ORD26020039"/>
    <x v="36"/>
    <s v="C0187"/>
    <s v="E005"/>
    <s v="P001"/>
    <n v="3"/>
    <n v="650"/>
    <n v="0"/>
    <x v="0"/>
    <s v="Phone"/>
    <s v="Upi"/>
    <n v="1950"/>
    <s v="Kolkata"/>
    <n v="1950"/>
    <s v="Match"/>
    <x v="3"/>
    <x v="0"/>
    <s v="Kochi"/>
    <s v="Sales Executive"/>
    <x v="0"/>
    <x v="0"/>
    <n v="650"/>
    <n v="390"/>
    <n v="1950"/>
    <n v="780"/>
  </r>
  <r>
    <s v="ORD26060040"/>
    <x v="37"/>
    <s v="C0210"/>
    <s v="E006"/>
    <s v="P011"/>
    <n v="4"/>
    <n v="2400"/>
    <n v="0.2"/>
    <x v="1"/>
    <s v="Marketplace"/>
    <s v="Cash"/>
    <n v="7680"/>
    <s v="Hyderabad"/>
    <n v="7680"/>
    <s v="Match"/>
    <x v="5"/>
    <x v="2"/>
    <s v="Mumbai"/>
    <s v="Sales Executive"/>
    <x v="7"/>
    <x v="4"/>
    <n v="2400"/>
    <n v="1480"/>
    <n v="0"/>
    <n v="-5920"/>
  </r>
  <r>
    <s v="ORD26050041"/>
    <x v="38"/>
    <s v="C0155"/>
    <s v="E003"/>
    <s v="P004"/>
    <n v="2"/>
    <n v="11200"/>
    <n v="0.1"/>
    <x v="0"/>
    <s v="Phone"/>
    <s v="Credit"/>
    <n v="20160"/>
    <s v="Chennai"/>
    <n v="20160"/>
    <s v="Match"/>
    <x v="7"/>
    <x v="0"/>
    <s v="Hyderabad"/>
    <s v="Sales Executive"/>
    <x v="1"/>
    <x v="1"/>
    <n v="11200"/>
    <n v="8300"/>
    <n v="20160"/>
    <n v="3560"/>
  </r>
  <r>
    <s v="ORD26030042"/>
    <x v="39"/>
    <s v="C0239"/>
    <s v="E005"/>
    <s v="P004"/>
    <n v="2"/>
    <n v="11200"/>
    <n v="0.15"/>
    <x v="0"/>
    <s v="Phone"/>
    <s v="Cash"/>
    <n v="19040"/>
    <s v="Bengaluru"/>
    <n v="19040"/>
    <s v="Match"/>
    <x v="3"/>
    <x v="0"/>
    <s v="Kochi"/>
    <s v="Sales Executive"/>
    <x v="1"/>
    <x v="1"/>
    <n v="11200"/>
    <n v="8300"/>
    <n v="19040"/>
    <n v="2440"/>
  </r>
  <r>
    <s v="ORD26050043"/>
    <x v="12"/>
    <s v="C0048"/>
    <s v="E008"/>
    <s v="P012"/>
    <n v="1"/>
    <n v="48500"/>
    <n v="0"/>
    <x v="0"/>
    <s v="Website"/>
    <s v="Bank Transfer"/>
    <n v="48500"/>
    <s v="Bengaluru"/>
    <n v="48500"/>
    <s v="Match"/>
    <x v="8"/>
    <x v="2"/>
    <s v="Ahmedabad"/>
    <s v="Sales Executive"/>
    <x v="2"/>
    <x v="2"/>
    <n v="48500"/>
    <n v="41200"/>
    <n v="48500"/>
    <n v="7300"/>
  </r>
  <r>
    <s v="ORD26020044"/>
    <x v="40"/>
    <s v="C0234"/>
    <s v="E003"/>
    <s v="P001"/>
    <n v="1"/>
    <n v="617.5"/>
    <n v="0.1"/>
    <x v="0"/>
    <s v="Phone"/>
    <s v="Credit"/>
    <n v="555.75"/>
    <s v="Bengaluru"/>
    <n v="555.75"/>
    <s v="Match"/>
    <x v="7"/>
    <x v="0"/>
    <s v="Hyderabad"/>
    <s v="Sales Executive"/>
    <x v="0"/>
    <x v="0"/>
    <n v="650"/>
    <n v="390"/>
    <n v="555.75"/>
    <n v="165.75"/>
  </r>
  <r>
    <s v="ORD26060045"/>
    <x v="41"/>
    <s v="C0055"/>
    <s v="E007"/>
    <s v="P008"/>
    <n v="2"/>
    <n v="7410"/>
    <n v="0"/>
    <x v="0"/>
    <s v="Phone"/>
    <s v="Card"/>
    <n v="14820"/>
    <s v="Delhi"/>
    <n v="14820"/>
    <s v="Match"/>
    <x v="4"/>
    <x v="2"/>
    <s v="Pune"/>
    <s v="Sales Executive"/>
    <x v="6"/>
    <x v="3"/>
    <n v="7800"/>
    <n v="5200"/>
    <n v="14820"/>
    <n v="4420"/>
  </r>
  <r>
    <s v="ORD26060046"/>
    <x v="41"/>
    <s v="C0234"/>
    <s v="E009"/>
    <s v="P008"/>
    <n v="1"/>
    <n v="7410"/>
    <m/>
    <x v="1"/>
    <s v="Website"/>
    <s v="Cash"/>
    <n v="7410"/>
    <s v="Jaipur"/>
    <m/>
    <s v="Invalid Inputs"/>
    <x v="13"/>
    <x v="3"/>
    <s v="Delhi"/>
    <s v="Sales Executive"/>
    <x v="6"/>
    <x v="3"/>
    <n v="7800"/>
    <n v="5200"/>
    <n v="0"/>
    <n v="-5200"/>
  </r>
  <r>
    <s v="ORD26050047"/>
    <x v="42"/>
    <s v="C0229"/>
    <s v="E010"/>
    <s v="P006"/>
    <n v="8"/>
    <n v="1470"/>
    <n v="0.1"/>
    <x v="0"/>
    <s v="Website"/>
    <s v="Cash"/>
    <n v="10584"/>
    <s v="Kochi"/>
    <n v="10584"/>
    <s v="Match"/>
    <x v="6"/>
    <x v="3"/>
    <s v="Jaipur"/>
    <s v="Sales Executive"/>
    <x v="4"/>
    <x v="0"/>
    <n v="1400"/>
    <n v="780"/>
    <n v="10584"/>
    <n v="4344"/>
  </r>
  <r>
    <s v="ORD26030048"/>
    <x v="43"/>
    <s v="C0123"/>
    <s v="E013"/>
    <s v="P004"/>
    <n v="4"/>
    <n v="11760"/>
    <n v="0.05"/>
    <x v="0"/>
    <s v="Marketplace"/>
    <s v="Cash"/>
    <n v="44688"/>
    <s v="Mumbai"/>
    <n v="44688"/>
    <s v="Match"/>
    <x v="2"/>
    <x v="1"/>
    <s v="Bhubaneswar"/>
    <s v="Sales Executive"/>
    <x v="1"/>
    <x v="1"/>
    <n v="11200"/>
    <n v="8300"/>
    <n v="44688"/>
    <n v="11488"/>
  </r>
  <r>
    <s v="ORD26030049"/>
    <x v="44"/>
    <s v="C0119"/>
    <s v="E004"/>
    <s v="P005"/>
    <n v="2"/>
    <n v="16800"/>
    <n v="0.15"/>
    <x v="0"/>
    <s v="Phone"/>
    <s v="Card"/>
    <n v="28560"/>
    <s v="Bengaluru"/>
    <n v="28560"/>
    <s v="Match"/>
    <x v="1"/>
    <x v="0"/>
    <s v="Coimbatore"/>
    <s v="Sales Executive"/>
    <x v="9"/>
    <x v="1"/>
    <n v="16800"/>
    <n v="12600"/>
    <n v="28560"/>
    <n v="3360"/>
  </r>
  <r>
    <s v="ORD26010050"/>
    <x v="15"/>
    <s v="C0216"/>
    <s v="E007"/>
    <s v="P007"/>
    <n v="2"/>
    <n v="2600"/>
    <n v="0.1"/>
    <x v="0"/>
    <s v="Phone"/>
    <s v="Credit"/>
    <n v="4680"/>
    <s v="Chennai"/>
    <n v="4680"/>
    <s v="Match"/>
    <x v="4"/>
    <x v="2"/>
    <s v="Pune"/>
    <s v="Sales Executive"/>
    <x v="10"/>
    <x v="0"/>
    <n v="2600"/>
    <n v="1750"/>
    <n v="4680"/>
    <n v="1180"/>
  </r>
  <r>
    <s v="ORD26050051"/>
    <x v="45"/>
    <s v="C0215"/>
    <s v="E007"/>
    <s v="P008"/>
    <n v="1"/>
    <n v="8190"/>
    <n v="0.05"/>
    <x v="0"/>
    <s v="Website"/>
    <s v="Cash"/>
    <n v="7780.5"/>
    <s v="Bengaluru"/>
    <n v="7780.5"/>
    <s v="Match"/>
    <x v="4"/>
    <x v="2"/>
    <s v="Pune"/>
    <s v="Sales Executive"/>
    <x v="6"/>
    <x v="3"/>
    <n v="7800"/>
    <n v="5200"/>
    <n v="7780.5"/>
    <n v="2580.5"/>
  </r>
  <r>
    <s v="ORD26030052"/>
    <x v="46"/>
    <s v="C0085"/>
    <s v="E007"/>
    <s v="P008"/>
    <n v="1"/>
    <n v="8190"/>
    <n v="0.05"/>
    <x v="0"/>
    <s v="Phone"/>
    <s v="Card"/>
    <n v="7780.5"/>
    <s v="Indore"/>
    <n v="7780.5"/>
    <s v="Match"/>
    <x v="4"/>
    <x v="2"/>
    <s v="Pune"/>
    <s v="Sales Executive"/>
    <x v="6"/>
    <x v="3"/>
    <n v="7800"/>
    <n v="5200"/>
    <n v="7780.5"/>
    <n v="2580.5"/>
  </r>
  <r>
    <s v="ORD26050053"/>
    <x v="4"/>
    <s v="C0070"/>
    <s v="E001"/>
    <s v="P007"/>
    <n v="3"/>
    <n v="2730"/>
    <n v="0.2"/>
    <x v="0"/>
    <s v="Phone"/>
    <s v="Card"/>
    <n v="6552"/>
    <s v="Chennai"/>
    <n v="6552"/>
    <s v="Match"/>
    <x v="14"/>
    <x v="0"/>
    <s v="Chennai"/>
    <s v="Sales Executive"/>
    <x v="10"/>
    <x v="0"/>
    <n v="2600"/>
    <n v="1750"/>
    <n v="6552"/>
    <n v="1302"/>
  </r>
  <r>
    <s v="ORD26030054"/>
    <x v="43"/>
    <s v="C0143"/>
    <s v="E007"/>
    <s v="P006"/>
    <n v="1"/>
    <n v="1470"/>
    <n v="0.05"/>
    <x v="0"/>
    <s v="Phone"/>
    <s v="Bank Transfer"/>
    <n v="1396.5"/>
    <s v="Mumbai"/>
    <n v="1396.5"/>
    <s v="Match"/>
    <x v="4"/>
    <x v="2"/>
    <s v="Pune"/>
    <s v="Sales Executive"/>
    <x v="4"/>
    <x v="0"/>
    <n v="1400"/>
    <n v="780"/>
    <n v="1396.5"/>
    <n v="616.5"/>
  </r>
  <r>
    <s v="ORD26050055"/>
    <x v="47"/>
    <s v="C0021"/>
    <s v="E001"/>
    <s v="P012"/>
    <n v="2"/>
    <n v="46075"/>
    <n v="0.05"/>
    <x v="0"/>
    <s v="Direct"/>
    <s v="Card"/>
    <n v="87542.5"/>
    <s v="Bengaluru"/>
    <n v="87542.5"/>
    <s v="Match"/>
    <x v="14"/>
    <x v="0"/>
    <s v="Chennai"/>
    <s v="Sales Executive"/>
    <x v="2"/>
    <x v="2"/>
    <n v="48500"/>
    <n v="41200"/>
    <n v="87542.5"/>
    <n v="5142.5"/>
  </r>
  <r>
    <s v="ORD26010056"/>
    <x v="48"/>
    <s v="C0239"/>
    <s v="E010"/>
    <s v="P003"/>
    <n v="1"/>
    <n v="1800"/>
    <n v="0.1"/>
    <x v="0"/>
    <s v="Marketplace"/>
    <s v="Bank Transfer"/>
    <n v="1620"/>
    <s v="Delhi"/>
    <n v="1620"/>
    <s v="Match"/>
    <x v="6"/>
    <x v="3"/>
    <s v="Jaipur"/>
    <s v="Sales Executive"/>
    <x v="3"/>
    <x v="0"/>
    <n v="1800"/>
    <n v="1120"/>
    <n v="1620"/>
    <n v="500"/>
  </r>
  <r>
    <s v="ORD26060057"/>
    <x v="49"/>
    <s v="C0014"/>
    <s v="E010"/>
    <s v="P012"/>
    <n v="3"/>
    <n v="46075"/>
    <n v="0"/>
    <x v="3"/>
    <s v="Marketplace"/>
    <s v="Credit"/>
    <n v="138225"/>
    <s v="Pune"/>
    <n v="138225"/>
    <s v="Match"/>
    <x v="6"/>
    <x v="3"/>
    <s v="Jaipur"/>
    <s v="Sales Executive"/>
    <x v="2"/>
    <x v="2"/>
    <n v="48500"/>
    <n v="41200"/>
    <n v="0"/>
    <n v="-123600"/>
  </r>
  <r>
    <s v="ORD26040058"/>
    <x v="50"/>
    <s v="C0053"/>
    <s v="E012"/>
    <s v="P004"/>
    <n v="1"/>
    <n v="11200"/>
    <n v="0.2"/>
    <x v="2"/>
    <s v="Marketplace"/>
    <s v="Credit"/>
    <n v="8960"/>
    <s v="Mumbai"/>
    <n v="8960"/>
    <s v="Match"/>
    <x v="12"/>
    <x v="1"/>
    <s v="Kolkata"/>
    <s v="Sales Executive"/>
    <x v="1"/>
    <x v="1"/>
    <n v="11200"/>
    <n v="8300"/>
    <n v="0"/>
    <n v="-8300"/>
  </r>
  <r>
    <s v="ORD26050059"/>
    <x v="51"/>
    <s v="C0260"/>
    <s v="E013"/>
    <s v="P001"/>
    <n v="2"/>
    <n v="617.5"/>
    <n v="0.1"/>
    <x v="0"/>
    <s v="Marketplace"/>
    <s v="Upi"/>
    <n v="1111.5"/>
    <s v="Pune"/>
    <n v="1111.5"/>
    <s v="Match"/>
    <x v="2"/>
    <x v="1"/>
    <s v="Bhubaneswar"/>
    <s v="Sales Executive"/>
    <x v="0"/>
    <x v="0"/>
    <n v="650"/>
    <n v="390"/>
    <n v="1111.5"/>
    <n v="331.5"/>
  </r>
  <r>
    <s v="ORD26050060"/>
    <x v="28"/>
    <s v="C0079"/>
    <s v="E002"/>
    <s v="P007"/>
    <n v="8"/>
    <n v="2730"/>
    <n v="0.2"/>
    <x v="2"/>
    <s v="Phone"/>
    <s v="Card"/>
    <n v="17472"/>
    <s v="Jaipur"/>
    <n v="17472"/>
    <s v="Match"/>
    <x v="0"/>
    <x v="0"/>
    <s v="Bengaluru"/>
    <s v="Sales Executive"/>
    <x v="10"/>
    <x v="0"/>
    <n v="2600"/>
    <n v="1750"/>
    <n v="0"/>
    <n v="-14000"/>
  </r>
  <r>
    <s v="ORD26060061"/>
    <x v="52"/>
    <s v="C0224"/>
    <s v="E005"/>
    <s v="P010"/>
    <n v="4"/>
    <n v="3360"/>
    <n v="0.15"/>
    <x v="0"/>
    <s v="Marketplace"/>
    <s v="Bank Transfer"/>
    <n v="11424"/>
    <s v="Bengaluru"/>
    <n v="11424"/>
    <s v="Match"/>
    <x v="3"/>
    <x v="0"/>
    <s v="Kochi"/>
    <s v="Sales Executive"/>
    <x v="11"/>
    <x v="4"/>
    <n v="3200"/>
    <n v="2050"/>
    <n v="11424"/>
    <n v="3224"/>
  </r>
  <r>
    <s v="ORD26010062"/>
    <x v="53"/>
    <s v="C0173"/>
    <s v="E005"/>
    <s v="P008"/>
    <n v="1"/>
    <n v="8190"/>
    <n v="0.1"/>
    <x v="0"/>
    <s v="Direct"/>
    <s v="Cash"/>
    <n v="7371"/>
    <s v="Kolkata"/>
    <n v="7371"/>
    <s v="Match"/>
    <x v="3"/>
    <x v="0"/>
    <s v="Kochi"/>
    <s v="Sales Executive"/>
    <x v="6"/>
    <x v="3"/>
    <n v="7800"/>
    <n v="5200"/>
    <n v="7371"/>
    <n v="2171"/>
  </r>
  <r>
    <s v="ORD26020063"/>
    <x v="54"/>
    <s v="C0006"/>
    <s v="E008"/>
    <s v="P004"/>
    <n v="2"/>
    <n v="11200"/>
    <n v="0.05"/>
    <x v="0"/>
    <s v="Website"/>
    <s v="Upi"/>
    <n v="21280"/>
    <s v="Bengaluru"/>
    <n v="21280"/>
    <s v="Match"/>
    <x v="8"/>
    <x v="2"/>
    <s v="Ahmedabad"/>
    <s v="Sales Executive"/>
    <x v="1"/>
    <x v="1"/>
    <n v="11200"/>
    <n v="8300"/>
    <n v="21280"/>
    <n v="4680"/>
  </r>
  <r>
    <s v="ORD26040064"/>
    <x v="55"/>
    <s v="C0230"/>
    <s v="E008"/>
    <s v="P009"/>
    <n v="4"/>
    <n v="19425"/>
    <n v="0.2"/>
    <x v="0"/>
    <s v="Direct"/>
    <s v="Upi"/>
    <n v="62160"/>
    <s v="Hyderabad"/>
    <n v="62160"/>
    <s v="Match"/>
    <x v="8"/>
    <x v="2"/>
    <s v="Ahmedabad"/>
    <s v="Sales Executive"/>
    <x v="5"/>
    <x v="3"/>
    <n v="18500"/>
    <n v="13900"/>
    <n v="62160"/>
    <n v="6560"/>
  </r>
  <r>
    <s v="ORD26020065"/>
    <x v="56"/>
    <s v="C0177"/>
    <s v="E007"/>
    <s v="P012"/>
    <n v="1"/>
    <n v="50925"/>
    <n v="0.2"/>
    <x v="0"/>
    <s v="Phone"/>
    <s v="Credit"/>
    <n v="40740"/>
    <s v="Kolkata"/>
    <n v="40740"/>
    <s v="Match"/>
    <x v="4"/>
    <x v="2"/>
    <s v="Pune"/>
    <s v="Sales Executive"/>
    <x v="2"/>
    <x v="2"/>
    <n v="48500"/>
    <n v="41200"/>
    <n v="40740"/>
    <n v="-460"/>
  </r>
  <r>
    <s v="ORD26040066"/>
    <x v="57"/>
    <s v="C0162"/>
    <s v="E012"/>
    <s v="P008"/>
    <n v="1"/>
    <n v="7800"/>
    <n v="0.05"/>
    <x v="0"/>
    <s v="Direct"/>
    <s v="Credit"/>
    <n v="7410"/>
    <s v="Delhi"/>
    <n v="7410"/>
    <s v="Match"/>
    <x v="12"/>
    <x v="1"/>
    <s v="Kolkata"/>
    <s v="Sales Executive"/>
    <x v="6"/>
    <x v="3"/>
    <n v="7800"/>
    <n v="5200"/>
    <n v="7410"/>
    <n v="2210"/>
  </r>
  <r>
    <s v="ORD26020067"/>
    <x v="58"/>
    <s v="C0052"/>
    <s v="E004"/>
    <s v="P012"/>
    <n v="2"/>
    <n v="48500"/>
    <n v="0.2"/>
    <x v="0"/>
    <s v="Website"/>
    <s v="Bank Transfer"/>
    <n v="77600"/>
    <s v="Bengaluru"/>
    <n v="77600"/>
    <s v="Match"/>
    <x v="1"/>
    <x v="0"/>
    <s v="Coimbatore"/>
    <s v="Sales Executive"/>
    <x v="2"/>
    <x v="2"/>
    <n v="48500"/>
    <n v="41200"/>
    <n v="77600"/>
    <n v="-4800"/>
  </r>
  <r>
    <s v="ORD26040068"/>
    <x v="59"/>
    <s v="C0028"/>
    <s v="E003"/>
    <s v="P005"/>
    <n v="1"/>
    <n v="15960"/>
    <n v="0.15"/>
    <x v="0"/>
    <s v="Marketplace"/>
    <s v="Card"/>
    <n v="13566"/>
    <s v="Kochi"/>
    <n v="13566"/>
    <s v="Match"/>
    <x v="7"/>
    <x v="0"/>
    <s v="Hyderabad"/>
    <s v="Sales Executive"/>
    <x v="9"/>
    <x v="1"/>
    <n v="16800"/>
    <n v="12600"/>
    <n v="13566"/>
    <n v="966"/>
  </r>
  <r>
    <s v="ORD26010069"/>
    <x v="60"/>
    <s v="C0095"/>
    <s v="E014"/>
    <s v="P001"/>
    <n v="3"/>
    <n v="650"/>
    <n v="0.1"/>
    <x v="0"/>
    <s v="Direct"/>
    <s v="Bank Transfer"/>
    <n v="1755"/>
    <s v="Kochi"/>
    <n v="1755"/>
    <s v="Match"/>
    <x v="10"/>
    <x v="4"/>
    <s v="Indore"/>
    <s v="Sales Executive"/>
    <x v="0"/>
    <x v="0"/>
    <n v="650"/>
    <n v="390"/>
    <n v="1755"/>
    <n v="585"/>
  </r>
  <r>
    <s v="ORD26010070"/>
    <x v="27"/>
    <s v="C0078"/>
    <s v="E014"/>
    <s v="P002"/>
    <n v="2"/>
    <n v="2090"/>
    <n v="0"/>
    <x v="0"/>
    <s v="Website"/>
    <s v="Credit"/>
    <n v="4180"/>
    <s v="Hyderabad"/>
    <n v="4180"/>
    <s v="Match"/>
    <x v="10"/>
    <x v="4"/>
    <s v="Indore"/>
    <s v="Sales Executive"/>
    <x v="8"/>
    <x v="0"/>
    <n v="2200"/>
    <n v="1450"/>
    <n v="4180"/>
    <n v="1280"/>
  </r>
  <r>
    <s v="ORD26010071"/>
    <x v="61"/>
    <s v="C0195"/>
    <s v="E004"/>
    <s v="P002"/>
    <n v="3"/>
    <n v="2200"/>
    <n v="0.1"/>
    <x v="0"/>
    <s v="Phone"/>
    <s v="Cash"/>
    <n v="5940"/>
    <s v="Hyderabad"/>
    <n v="5940"/>
    <s v="Match"/>
    <x v="1"/>
    <x v="0"/>
    <s v="Coimbatore"/>
    <s v="Sales Executive"/>
    <x v="8"/>
    <x v="0"/>
    <n v="2200"/>
    <n v="1450"/>
    <n v="5940"/>
    <n v="1590"/>
  </r>
  <r>
    <s v="ORD26050072"/>
    <x v="62"/>
    <s v="C0107"/>
    <s v="E007"/>
    <s v="P005"/>
    <n v="3"/>
    <n v="15960"/>
    <n v="0"/>
    <x v="0"/>
    <s v="Website"/>
    <s v="Bank Transfer"/>
    <n v="47880"/>
    <s v="Mumbai"/>
    <n v="47880"/>
    <s v="Match"/>
    <x v="4"/>
    <x v="2"/>
    <s v="Pune"/>
    <s v="Sales Executive"/>
    <x v="9"/>
    <x v="1"/>
    <n v="16800"/>
    <n v="12600"/>
    <n v="47880"/>
    <n v="10080"/>
  </r>
  <r>
    <s v="ORD26020073"/>
    <x v="26"/>
    <s v="Unknown"/>
    <s v="E004"/>
    <s v="P003"/>
    <n v="3"/>
    <n v="1890"/>
    <n v="0"/>
    <x v="0"/>
    <s v="Marketplace"/>
    <s v="Upi"/>
    <n v="5670"/>
    <s v="Bengaluru"/>
    <n v="5670"/>
    <s v="Match"/>
    <x v="1"/>
    <x v="0"/>
    <s v="Coimbatore"/>
    <s v="Sales Executive"/>
    <x v="3"/>
    <x v="0"/>
    <n v="1800"/>
    <n v="1120"/>
    <n v="5670"/>
    <n v="2310"/>
  </r>
  <r>
    <s v="ORD26030074"/>
    <x v="44"/>
    <s v="C0136"/>
    <s v="E012"/>
    <s v="P005"/>
    <n v="3"/>
    <n v="16800"/>
    <n v="0.1"/>
    <x v="0"/>
    <s v="Website"/>
    <s v="Cash"/>
    <n v="45360"/>
    <s v="Mumbai"/>
    <n v="45360"/>
    <s v="Match"/>
    <x v="12"/>
    <x v="1"/>
    <s v="Kolkata"/>
    <s v="Sales Executive"/>
    <x v="9"/>
    <x v="1"/>
    <n v="16800"/>
    <n v="12600"/>
    <n v="45360"/>
    <n v="7560"/>
  </r>
  <r>
    <s v="ORD26050075"/>
    <x v="63"/>
    <s v="C0031"/>
    <s v="Unknown"/>
    <s v="P011"/>
    <n v="1"/>
    <n v="2280"/>
    <n v="0.05"/>
    <x v="0"/>
    <s v="Website"/>
    <s v="Bank Transfer"/>
    <n v="2166"/>
    <s v="Indore"/>
    <n v="2166"/>
    <s v="Match"/>
    <x v="15"/>
    <x v="5"/>
    <m/>
    <m/>
    <x v="7"/>
    <x v="4"/>
    <n v="2400"/>
    <n v="1480"/>
    <n v="2166"/>
    <n v="686"/>
  </r>
  <r>
    <s v="ORD26050076"/>
    <x v="64"/>
    <s v="C0140"/>
    <s v="E015"/>
    <s v="P005"/>
    <n v="2"/>
    <n v="17640"/>
    <n v="0.1"/>
    <x v="0"/>
    <s v="Phone"/>
    <s v="Cash"/>
    <n v="31752"/>
    <s v="Mumbai"/>
    <n v="31752"/>
    <s v="Match"/>
    <x v="9"/>
    <x v="4"/>
    <s v="Bhopal"/>
    <s v="Sales Executive"/>
    <x v="9"/>
    <x v="1"/>
    <n v="16800"/>
    <n v="12600"/>
    <n v="31752"/>
    <n v="6552"/>
  </r>
  <r>
    <s v="ORD26060077"/>
    <x v="65"/>
    <s v="C0118"/>
    <s v="E001"/>
    <s v="P007"/>
    <n v="4"/>
    <n v="2470"/>
    <n v="0.15"/>
    <x v="0"/>
    <s v="Direct"/>
    <s v="Bank Transfer"/>
    <n v="8398"/>
    <s v="Indore"/>
    <n v="8398"/>
    <s v="Match"/>
    <x v="14"/>
    <x v="0"/>
    <s v="Chennai"/>
    <s v="Sales Executive"/>
    <x v="10"/>
    <x v="0"/>
    <n v="2600"/>
    <n v="1750"/>
    <n v="8398"/>
    <n v="1398"/>
  </r>
  <r>
    <s v="ORD26010078"/>
    <x v="66"/>
    <s v="C0093"/>
    <s v="E013"/>
    <s v="P003"/>
    <n v="2"/>
    <n v="1800"/>
    <n v="0.2"/>
    <x v="0"/>
    <s v="Phone"/>
    <s v="Cash"/>
    <n v="2880"/>
    <s v="Mumbai"/>
    <n v="2880"/>
    <s v="Match"/>
    <x v="2"/>
    <x v="1"/>
    <s v="Bhubaneswar"/>
    <s v="Sales Executive"/>
    <x v="3"/>
    <x v="0"/>
    <n v="1800"/>
    <n v="1120"/>
    <n v="2880"/>
    <n v="640"/>
  </r>
  <r>
    <s v="ORD26050079"/>
    <x v="47"/>
    <s v="C0169"/>
    <s v="E006"/>
    <s v="P007"/>
    <n v="2"/>
    <n v="2600"/>
    <n v="0.2"/>
    <x v="0"/>
    <s v="Phone"/>
    <s v="Cash"/>
    <n v="4160"/>
    <s v="Unknown"/>
    <n v="4160"/>
    <s v="Match"/>
    <x v="5"/>
    <x v="2"/>
    <s v="Mumbai"/>
    <s v="Sales Executive"/>
    <x v="10"/>
    <x v="0"/>
    <n v="2600"/>
    <n v="1750"/>
    <n v="4160"/>
    <n v="660"/>
  </r>
  <r>
    <s v="ORD26060080"/>
    <x v="67"/>
    <s v="C0060"/>
    <s v="E007"/>
    <s v="P009"/>
    <n v="1"/>
    <n v="18500"/>
    <n v="0"/>
    <x v="0"/>
    <s v="Phone"/>
    <s v="Credit"/>
    <n v="18500"/>
    <s v="Chennai"/>
    <n v="18500"/>
    <s v="Match"/>
    <x v="4"/>
    <x v="2"/>
    <s v="Pune"/>
    <s v="Sales Executive"/>
    <x v="5"/>
    <x v="3"/>
    <n v="18500"/>
    <n v="13900"/>
    <n v="18500"/>
    <n v="4600"/>
  </r>
  <r>
    <s v="ORD26060081"/>
    <x v="68"/>
    <s v="C0256"/>
    <s v="E014"/>
    <s v="P009"/>
    <n v="2"/>
    <n v="18500"/>
    <n v="0"/>
    <x v="0"/>
    <s v="Phone"/>
    <s v="Upi"/>
    <n v="37000"/>
    <s v="Bengaluru"/>
    <n v="37000"/>
    <s v="Match"/>
    <x v="10"/>
    <x v="4"/>
    <s v="Indore"/>
    <s v="Sales Executive"/>
    <x v="5"/>
    <x v="3"/>
    <n v="18500"/>
    <n v="13900"/>
    <n v="37000"/>
    <n v="9200"/>
  </r>
  <r>
    <s v="ORD26030082"/>
    <x v="69"/>
    <s v="C0063"/>
    <s v="E009"/>
    <s v="P003"/>
    <n v="8"/>
    <n v="1890"/>
    <n v="0.1"/>
    <x v="2"/>
    <s v="Direct"/>
    <s v="Upi"/>
    <n v="13608"/>
    <s v="Bengaluru"/>
    <n v="13608"/>
    <s v="Match"/>
    <x v="13"/>
    <x v="3"/>
    <s v="Delhi"/>
    <s v="Sales Executive"/>
    <x v="3"/>
    <x v="0"/>
    <n v="1800"/>
    <n v="1120"/>
    <n v="0"/>
    <n v="-8960"/>
  </r>
  <r>
    <s v="ORD26020083"/>
    <x v="26"/>
    <s v="C0237"/>
    <s v="E005"/>
    <s v="P009"/>
    <n v="1"/>
    <n v="17575"/>
    <n v="0.1"/>
    <x v="0"/>
    <s v="Direct"/>
    <s v="Card"/>
    <n v="15817.5"/>
    <s v="Kochi"/>
    <n v="15817.5"/>
    <s v="Match"/>
    <x v="3"/>
    <x v="0"/>
    <s v="Kochi"/>
    <s v="Sales Executive"/>
    <x v="5"/>
    <x v="3"/>
    <n v="18500"/>
    <n v="13900"/>
    <n v="15817.5"/>
    <n v="1917.5"/>
  </r>
  <r>
    <s v="ORD26030084"/>
    <x v="70"/>
    <s v="C0234"/>
    <s v="E009"/>
    <s v="P012"/>
    <n v="1"/>
    <n v="48500"/>
    <n v="0.1"/>
    <x v="3"/>
    <s v="Website"/>
    <s v="Cash"/>
    <n v="43650"/>
    <s v="Unknown"/>
    <n v="43650"/>
    <s v="Match"/>
    <x v="13"/>
    <x v="3"/>
    <s v="Delhi"/>
    <s v="Sales Executive"/>
    <x v="2"/>
    <x v="2"/>
    <n v="48500"/>
    <n v="41200"/>
    <n v="0"/>
    <n v="-41200"/>
  </r>
  <r>
    <s v="ORD26060085"/>
    <x v="65"/>
    <s v="C0175"/>
    <s v="E009"/>
    <s v="P012"/>
    <n v="5"/>
    <n v="50925"/>
    <n v="0"/>
    <x v="0"/>
    <s v="Marketplace"/>
    <s v="Upi"/>
    <n v="254625"/>
    <s v="Hyderabad"/>
    <n v="254625"/>
    <s v="Match"/>
    <x v="13"/>
    <x v="3"/>
    <s v="Delhi"/>
    <s v="Sales Executive"/>
    <x v="2"/>
    <x v="2"/>
    <n v="48500"/>
    <n v="41200"/>
    <n v="254625"/>
    <n v="48625"/>
  </r>
  <r>
    <s v="ORD26030086"/>
    <x v="71"/>
    <s v="C0229"/>
    <s v="E014"/>
    <s v="P010"/>
    <n v="3"/>
    <n v="3200"/>
    <n v="0.2"/>
    <x v="0"/>
    <s v="Phone"/>
    <s v="Bank Transfer"/>
    <n v="7680"/>
    <s v="Kolkata"/>
    <n v="7680"/>
    <s v="Match"/>
    <x v="10"/>
    <x v="4"/>
    <s v="Indore"/>
    <s v="Sales Executive"/>
    <x v="11"/>
    <x v="4"/>
    <n v="3200"/>
    <n v="2050"/>
    <n v="7680"/>
    <n v="1530"/>
  </r>
  <r>
    <s v="ORD26050087"/>
    <x v="38"/>
    <s v="C0197"/>
    <s v="E013"/>
    <s v="P009"/>
    <n v="2"/>
    <n v="18500"/>
    <n v="0.05"/>
    <x v="2"/>
    <s v="Website"/>
    <s v="Cash"/>
    <n v="35150"/>
    <s v="Chennai"/>
    <n v="35150"/>
    <s v="Match"/>
    <x v="2"/>
    <x v="1"/>
    <s v="Bhubaneswar"/>
    <s v="Sales Executive"/>
    <x v="5"/>
    <x v="3"/>
    <n v="18500"/>
    <n v="13900"/>
    <n v="0"/>
    <n v="-27800"/>
  </r>
  <r>
    <s v="ORD26030088"/>
    <x v="72"/>
    <s v="C0254"/>
    <s v="E012"/>
    <s v="P008"/>
    <n v="3"/>
    <n v="7800"/>
    <n v="0.1"/>
    <x v="0"/>
    <s v="Direct"/>
    <s v="Card"/>
    <n v="21060"/>
    <s v="Jaipur"/>
    <n v="21060"/>
    <s v="Match"/>
    <x v="12"/>
    <x v="1"/>
    <s v="Kolkata"/>
    <s v="Sales Executive"/>
    <x v="6"/>
    <x v="3"/>
    <n v="7800"/>
    <n v="5200"/>
    <n v="21060"/>
    <n v="5460"/>
  </r>
  <r>
    <s v="ORD26060089"/>
    <x v="73"/>
    <s v="C0008"/>
    <s v="E006"/>
    <s v="P002"/>
    <n v="5"/>
    <n v="2310"/>
    <n v="0.1"/>
    <x v="0"/>
    <s v="Website"/>
    <s v="Cash"/>
    <n v="10395"/>
    <s v="Delhi"/>
    <n v="10395"/>
    <s v="Match"/>
    <x v="5"/>
    <x v="2"/>
    <s v="Mumbai"/>
    <s v="Sales Executive"/>
    <x v="8"/>
    <x v="0"/>
    <n v="2200"/>
    <n v="1450"/>
    <n v="10395"/>
    <n v="3145"/>
  </r>
  <r>
    <s v="ORD26010090"/>
    <x v="74"/>
    <s v="C0169"/>
    <s v="E008"/>
    <s v="P005"/>
    <n v="2"/>
    <n v="15960"/>
    <n v="0.2"/>
    <x v="0"/>
    <s v="Phone"/>
    <s v="Bank Transfer"/>
    <n v="25536"/>
    <s v="Kochi"/>
    <n v="25536"/>
    <s v="Match"/>
    <x v="8"/>
    <x v="2"/>
    <s v="Ahmedabad"/>
    <s v="Sales Executive"/>
    <x v="9"/>
    <x v="1"/>
    <n v="16800"/>
    <n v="12600"/>
    <n v="25536"/>
    <n v="336"/>
  </r>
  <r>
    <s v="ORD26050091"/>
    <x v="75"/>
    <s v="C0117"/>
    <s v="E001"/>
    <s v="P010"/>
    <n v="1"/>
    <n v="3200"/>
    <n v="0.2"/>
    <x v="0"/>
    <s v="Direct"/>
    <s v="Cash"/>
    <n v="2560"/>
    <s v="Mumbai"/>
    <n v="2560"/>
    <s v="Match"/>
    <x v="14"/>
    <x v="0"/>
    <s v="Chennai"/>
    <s v="Sales Executive"/>
    <x v="11"/>
    <x v="4"/>
    <n v="3200"/>
    <n v="2050"/>
    <n v="2560"/>
    <n v="510"/>
  </r>
  <r>
    <s v="ORD26060092"/>
    <x v="10"/>
    <s v="C0024"/>
    <s v="E012"/>
    <s v="P002"/>
    <n v="2"/>
    <n v="2090"/>
    <n v="0.2"/>
    <x v="0"/>
    <s v="Marketplace"/>
    <s v="Upi"/>
    <n v="3344"/>
    <s v="Hyderabad"/>
    <n v="3344"/>
    <s v="Match"/>
    <x v="12"/>
    <x v="1"/>
    <s v="Kolkata"/>
    <s v="Sales Executive"/>
    <x v="8"/>
    <x v="0"/>
    <n v="2200"/>
    <n v="1450"/>
    <n v="3344"/>
    <n v="444"/>
  </r>
  <r>
    <s v="ORD26040093"/>
    <x v="76"/>
    <s v="C0088"/>
    <s v="E006"/>
    <s v="P007"/>
    <n v="1"/>
    <n v="2600"/>
    <n v="0.15"/>
    <x v="0"/>
    <s v="Website"/>
    <s v="Upi"/>
    <n v="2210"/>
    <s v="Indore"/>
    <n v="2210"/>
    <s v="Match"/>
    <x v="5"/>
    <x v="2"/>
    <s v="Mumbai"/>
    <s v="Sales Executive"/>
    <x v="10"/>
    <x v="0"/>
    <n v="2600"/>
    <n v="1750"/>
    <n v="2210"/>
    <n v="460"/>
  </r>
  <r>
    <s v="ORD26040094"/>
    <x v="11"/>
    <s v="C0131"/>
    <s v="E010"/>
    <s v="P011"/>
    <n v="1"/>
    <n v="2520"/>
    <n v="0.15"/>
    <x v="0"/>
    <s v="Phone"/>
    <s v="Bank Transfer"/>
    <n v="2142"/>
    <s v="Chennai"/>
    <n v="2142"/>
    <s v="Match"/>
    <x v="6"/>
    <x v="3"/>
    <s v="Jaipur"/>
    <s v="Sales Executive"/>
    <x v="7"/>
    <x v="4"/>
    <n v="2400"/>
    <n v="1480"/>
    <n v="2142"/>
    <n v="662"/>
  </r>
  <r>
    <s v="ORD26040095"/>
    <x v="77"/>
    <s v="C0154"/>
    <s v="E015"/>
    <s v="P005"/>
    <n v="3"/>
    <n v="16800"/>
    <n v="0"/>
    <x v="0"/>
    <s v="Phone"/>
    <s v="Bank Transfer"/>
    <n v="50400"/>
    <s v="Kochi"/>
    <n v="50400"/>
    <s v="Match"/>
    <x v="9"/>
    <x v="4"/>
    <s v="Bhopal"/>
    <s v="Sales Executive"/>
    <x v="9"/>
    <x v="1"/>
    <n v="16800"/>
    <n v="12600"/>
    <n v="50400"/>
    <n v="12600"/>
  </r>
  <r>
    <s v="ORD26030096"/>
    <x v="39"/>
    <s v="C0152"/>
    <s v="E004"/>
    <s v="P007"/>
    <n v="5"/>
    <n v="2600"/>
    <n v="0"/>
    <x v="0"/>
    <s v="Marketplace"/>
    <s v="Upi"/>
    <n v="13000"/>
    <s v="Pune"/>
    <n v="13000"/>
    <s v="Match"/>
    <x v="1"/>
    <x v="0"/>
    <s v="Coimbatore"/>
    <s v="Sales Executive"/>
    <x v="10"/>
    <x v="0"/>
    <n v="2600"/>
    <n v="1750"/>
    <n v="13000"/>
    <n v="4250"/>
  </r>
  <r>
    <s v="ORD26030097"/>
    <x v="78"/>
    <s v="C0147"/>
    <s v="E001"/>
    <s v="P010"/>
    <n v="5"/>
    <n v="3360"/>
    <n v="0.2"/>
    <x v="3"/>
    <s v="Website"/>
    <s v="Credit"/>
    <n v="13440"/>
    <s v="Kolkata"/>
    <n v="13440"/>
    <s v="Match"/>
    <x v="14"/>
    <x v="0"/>
    <s v="Chennai"/>
    <s v="Sales Executive"/>
    <x v="11"/>
    <x v="4"/>
    <n v="3200"/>
    <n v="2050"/>
    <n v="0"/>
    <n v="-10250"/>
  </r>
  <r>
    <s v="ORD26020098"/>
    <x v="56"/>
    <s v="C0050"/>
    <s v="E011"/>
    <s v="P004"/>
    <n v="3"/>
    <n v="11200"/>
    <n v="0.2"/>
    <x v="0"/>
    <s v="Direct"/>
    <s v="Bank Transfer"/>
    <n v="26880"/>
    <s v="Kochi"/>
    <n v="26880"/>
    <s v="Match"/>
    <x v="11"/>
    <x v="3"/>
    <s v="Lucknow"/>
    <s v="Sales Executive"/>
    <x v="1"/>
    <x v="1"/>
    <n v="11200"/>
    <n v="8300"/>
    <n v="26880"/>
    <n v="1980"/>
  </r>
  <r>
    <s v="ORD26010099"/>
    <x v="7"/>
    <s v="C0213"/>
    <s v="E010"/>
    <s v="P006"/>
    <n v="4"/>
    <n v="1400"/>
    <n v="0"/>
    <x v="1"/>
    <s v="Website"/>
    <s v="Card"/>
    <n v="5600"/>
    <s v="Delhi"/>
    <n v="5600"/>
    <s v="Match"/>
    <x v="6"/>
    <x v="3"/>
    <s v="Jaipur"/>
    <s v="Sales Executive"/>
    <x v="4"/>
    <x v="0"/>
    <n v="1400"/>
    <n v="780"/>
    <n v="0"/>
    <n v="-3120"/>
  </r>
  <r>
    <s v="ORD26050100"/>
    <x v="75"/>
    <s v="C0247"/>
    <s v="E015"/>
    <s v="P006"/>
    <n v="2"/>
    <n v="1400"/>
    <n v="0.05"/>
    <x v="2"/>
    <s v="Marketplace"/>
    <s v="Card"/>
    <n v="2660"/>
    <s v="Mumbai"/>
    <n v="2660"/>
    <s v="Match"/>
    <x v="9"/>
    <x v="4"/>
    <s v="Bhopal"/>
    <s v="Sales Executive"/>
    <x v="4"/>
    <x v="0"/>
    <n v="1400"/>
    <n v="780"/>
    <n v="0"/>
    <n v="-1560"/>
  </r>
  <r>
    <s v="ORD26040101"/>
    <x v="77"/>
    <s v="C0188"/>
    <s v="E002"/>
    <s v="P003"/>
    <n v="4"/>
    <n v="1890"/>
    <n v="0"/>
    <x v="2"/>
    <s v="Direct"/>
    <s v="Cash"/>
    <n v="7560"/>
    <s v="Chennai"/>
    <n v="7560"/>
    <s v="Match"/>
    <x v="0"/>
    <x v="0"/>
    <s v="Bengaluru"/>
    <s v="Sales Executive"/>
    <x v="3"/>
    <x v="0"/>
    <n v="1800"/>
    <n v="1120"/>
    <n v="0"/>
    <n v="-4480"/>
  </r>
  <r>
    <s v="ORD26030102"/>
    <x v="24"/>
    <s v="C0196"/>
    <s v="E009"/>
    <s v="P002"/>
    <n v="2"/>
    <n v="2200"/>
    <n v="0.2"/>
    <x v="0"/>
    <s v="Marketplace"/>
    <s v="Upi"/>
    <n v="3520"/>
    <s v="Bengaluru"/>
    <n v="3520"/>
    <s v="Match"/>
    <x v="13"/>
    <x v="3"/>
    <s v="Delhi"/>
    <s v="Sales Executive"/>
    <x v="8"/>
    <x v="0"/>
    <n v="2200"/>
    <n v="1450"/>
    <n v="3520"/>
    <n v="620"/>
  </r>
  <r>
    <s v="ORD26050103"/>
    <x v="47"/>
    <s v="C0033"/>
    <s v="E001"/>
    <s v="P010"/>
    <n v="5"/>
    <n v="3200"/>
    <n v="0.15"/>
    <x v="0"/>
    <s v="Phone"/>
    <s v="Bank Transfer"/>
    <n v="13600"/>
    <s v="Pune"/>
    <n v="13600"/>
    <s v="Match"/>
    <x v="14"/>
    <x v="0"/>
    <s v="Chennai"/>
    <s v="Sales Executive"/>
    <x v="11"/>
    <x v="4"/>
    <n v="3200"/>
    <n v="2050"/>
    <n v="13600"/>
    <n v="3350"/>
  </r>
  <r>
    <s v="ORD26010104"/>
    <x v="27"/>
    <s v="C0050"/>
    <s v="E003"/>
    <s v="P001"/>
    <n v="8"/>
    <n v="617.5"/>
    <n v="0.05"/>
    <x v="3"/>
    <s v="Website"/>
    <s v="Credit"/>
    <n v="4693"/>
    <s v="Delhi"/>
    <n v="4693"/>
    <s v="Match"/>
    <x v="7"/>
    <x v="0"/>
    <s v="Hyderabad"/>
    <s v="Sales Executive"/>
    <x v="0"/>
    <x v="0"/>
    <n v="650"/>
    <n v="390"/>
    <n v="0"/>
    <n v="-3120"/>
  </r>
  <r>
    <s v="ORD26040105"/>
    <x v="20"/>
    <s v="C0080"/>
    <s v="E008"/>
    <s v="P006"/>
    <n v="3"/>
    <n v="1470"/>
    <n v="0.2"/>
    <x v="0"/>
    <s v="Phone"/>
    <s v="Upi"/>
    <n v="3528"/>
    <s v="Kochi"/>
    <n v="3528"/>
    <s v="Match"/>
    <x v="8"/>
    <x v="2"/>
    <s v="Ahmedabad"/>
    <s v="Sales Executive"/>
    <x v="4"/>
    <x v="0"/>
    <n v="1400"/>
    <n v="780"/>
    <n v="3528"/>
    <n v="1188"/>
  </r>
  <r>
    <s v="ORD26060106"/>
    <x v="79"/>
    <s v="C0121"/>
    <s v="E007"/>
    <s v="P005"/>
    <n v="1"/>
    <n v="17640"/>
    <n v="0.05"/>
    <x v="0"/>
    <s v="Marketplace"/>
    <s v="Upi"/>
    <n v="16758"/>
    <s v="Kolkata"/>
    <n v="16758"/>
    <s v="Match"/>
    <x v="4"/>
    <x v="2"/>
    <s v="Pune"/>
    <s v="Sales Executive"/>
    <x v="9"/>
    <x v="1"/>
    <n v="16800"/>
    <n v="12600"/>
    <n v="16758"/>
    <n v="4158"/>
  </r>
  <r>
    <s v="ORD26050107"/>
    <x v="63"/>
    <s v="C0233"/>
    <s v="E015"/>
    <s v="P011"/>
    <n v="2"/>
    <n v="2280"/>
    <n v="0.1"/>
    <x v="0"/>
    <s v="Direct"/>
    <s v="Card"/>
    <n v="4104"/>
    <s v="Indore"/>
    <n v="4104"/>
    <s v="Match"/>
    <x v="9"/>
    <x v="4"/>
    <s v="Bhopal"/>
    <s v="Sales Executive"/>
    <x v="7"/>
    <x v="4"/>
    <n v="2400"/>
    <n v="1480"/>
    <n v="4104"/>
    <n v="1144"/>
  </r>
  <r>
    <s v="ORD26010108"/>
    <x v="48"/>
    <s v="C0036"/>
    <s v="E001"/>
    <s v="P006"/>
    <n v="1"/>
    <n v="1400"/>
    <n v="0"/>
    <x v="0"/>
    <s v="Website"/>
    <s v="Credit"/>
    <n v="1400"/>
    <s v="Bengaluru"/>
    <n v="1400"/>
    <s v="Match"/>
    <x v="14"/>
    <x v="0"/>
    <s v="Chennai"/>
    <s v="Sales Executive"/>
    <x v="4"/>
    <x v="0"/>
    <n v="1400"/>
    <n v="780"/>
    <n v="1400"/>
    <n v="620"/>
  </r>
  <r>
    <s v="ORD26030109"/>
    <x v="80"/>
    <s v="C0067"/>
    <s v="E006"/>
    <s v="P003"/>
    <n v="4"/>
    <n v="1800"/>
    <n v="0.15"/>
    <x v="0"/>
    <s v="Marketplace"/>
    <s v="Card"/>
    <n v="6120"/>
    <s v="Mumbai"/>
    <n v="6120"/>
    <s v="Match"/>
    <x v="5"/>
    <x v="2"/>
    <s v="Mumbai"/>
    <s v="Sales Executive"/>
    <x v="3"/>
    <x v="0"/>
    <n v="1800"/>
    <n v="1120"/>
    <n v="6120"/>
    <n v="1640"/>
  </r>
  <r>
    <s v="ORD26060110"/>
    <x v="67"/>
    <s v="C0166"/>
    <s v="E014"/>
    <s v="P001"/>
    <n v="1"/>
    <n v="650"/>
    <n v="0.05"/>
    <x v="0"/>
    <s v="Direct"/>
    <s v="Card"/>
    <n v="617.5"/>
    <s v="Hyderabad"/>
    <n v="617.5"/>
    <s v="Match"/>
    <x v="10"/>
    <x v="4"/>
    <s v="Indore"/>
    <s v="Sales Executive"/>
    <x v="0"/>
    <x v="0"/>
    <n v="650"/>
    <n v="390"/>
    <n v="617.5"/>
    <n v="227.5"/>
  </r>
  <r>
    <s v="ORD26010111"/>
    <x v="17"/>
    <s v="C0230"/>
    <s v="E003"/>
    <s v="P012"/>
    <n v="2"/>
    <n v="50925"/>
    <n v="0"/>
    <x v="0"/>
    <s v="Marketplace"/>
    <s v="Credit"/>
    <n v="101850"/>
    <s v="Indore"/>
    <n v="101850"/>
    <s v="Match"/>
    <x v="7"/>
    <x v="0"/>
    <s v="Hyderabad"/>
    <s v="Sales Executive"/>
    <x v="2"/>
    <x v="2"/>
    <n v="48500"/>
    <n v="41200"/>
    <n v="101850"/>
    <n v="19450"/>
  </r>
  <r>
    <s v="ORD26010112"/>
    <x v="81"/>
    <s v="C0235"/>
    <s v="E008"/>
    <s v="P009"/>
    <n v="1"/>
    <n v="18500"/>
    <n v="0.15"/>
    <x v="0"/>
    <s v="Direct"/>
    <s v="Upi"/>
    <n v="15725"/>
    <s v="Kochi"/>
    <n v="15725"/>
    <s v="Match"/>
    <x v="8"/>
    <x v="2"/>
    <s v="Ahmedabad"/>
    <s v="Sales Executive"/>
    <x v="5"/>
    <x v="3"/>
    <n v="18500"/>
    <n v="13900"/>
    <n v="15725"/>
    <n v="1825"/>
  </r>
  <r>
    <s v="ORD26040113"/>
    <x v="82"/>
    <s v="C0042"/>
    <s v="E007"/>
    <s v="P011"/>
    <n v="1"/>
    <n v="2280"/>
    <n v="0.2"/>
    <x v="1"/>
    <s v="Marketplace"/>
    <s v="Credit"/>
    <n v="1824"/>
    <s v="Delhi"/>
    <n v="1824"/>
    <s v="Match"/>
    <x v="4"/>
    <x v="2"/>
    <s v="Pune"/>
    <s v="Sales Executive"/>
    <x v="7"/>
    <x v="4"/>
    <n v="2400"/>
    <n v="1480"/>
    <n v="0"/>
    <n v="-1480"/>
  </r>
  <r>
    <s v="ORD26010114"/>
    <x v="15"/>
    <s v="C0196"/>
    <s v="E003"/>
    <s v="P005"/>
    <n v="3"/>
    <n v="16800"/>
    <n v="0.15"/>
    <x v="0"/>
    <s v="Marketplace"/>
    <s v="Cash"/>
    <n v="42840"/>
    <s v="Jaipur"/>
    <n v="42840"/>
    <s v="Match"/>
    <x v="7"/>
    <x v="0"/>
    <s v="Hyderabad"/>
    <s v="Sales Executive"/>
    <x v="9"/>
    <x v="1"/>
    <n v="16800"/>
    <n v="12600"/>
    <n v="42840"/>
    <n v="5040"/>
  </r>
  <r>
    <s v="ORD26060115"/>
    <x v="83"/>
    <s v="C0221"/>
    <s v="E007"/>
    <s v="P002"/>
    <n v="4"/>
    <n v="2200"/>
    <n v="0"/>
    <x v="2"/>
    <s v="Phone"/>
    <s v="Card"/>
    <n v="8800"/>
    <s v="Pune"/>
    <n v="8800"/>
    <s v="Match"/>
    <x v="4"/>
    <x v="2"/>
    <s v="Pune"/>
    <s v="Sales Executive"/>
    <x v="8"/>
    <x v="0"/>
    <n v="2200"/>
    <n v="1450"/>
    <n v="0"/>
    <n v="-5800"/>
  </r>
  <r>
    <s v="ORD26030116"/>
    <x v="84"/>
    <s v="C0161"/>
    <s v="E014"/>
    <s v="P008"/>
    <n v="2"/>
    <n v="8190"/>
    <n v="0.2"/>
    <x v="0"/>
    <s v="Marketplace"/>
    <s v="Bank Transfer"/>
    <n v="13104"/>
    <s v="Delhi"/>
    <n v="13104"/>
    <s v="Match"/>
    <x v="10"/>
    <x v="4"/>
    <s v="Indore"/>
    <s v="Sales Executive"/>
    <x v="6"/>
    <x v="3"/>
    <n v="7800"/>
    <n v="5200"/>
    <n v="13104"/>
    <n v="2704"/>
  </r>
  <r>
    <s v="ORD26060117"/>
    <x v="85"/>
    <s v="C0191"/>
    <s v="E015"/>
    <s v="P008"/>
    <n v="1"/>
    <n v="7410"/>
    <n v="0"/>
    <x v="0"/>
    <s v="Website"/>
    <s v="Credit"/>
    <n v="7410"/>
    <s v="Chennai"/>
    <n v="7410"/>
    <s v="Match"/>
    <x v="9"/>
    <x v="4"/>
    <s v="Bhopal"/>
    <s v="Sales Executive"/>
    <x v="6"/>
    <x v="3"/>
    <n v="7800"/>
    <n v="5200"/>
    <n v="7410"/>
    <n v="2210"/>
  </r>
  <r>
    <s v="ORD26050118"/>
    <x v="62"/>
    <s v="C0027"/>
    <s v="E009"/>
    <s v="P009"/>
    <n v="2"/>
    <n v="19425"/>
    <n v="0"/>
    <x v="0"/>
    <s v="Marketplace"/>
    <s v="Credit"/>
    <n v="38850"/>
    <s v="Hyderabad"/>
    <n v="38850"/>
    <s v="Match"/>
    <x v="13"/>
    <x v="3"/>
    <s v="Delhi"/>
    <s v="Sales Executive"/>
    <x v="5"/>
    <x v="3"/>
    <n v="18500"/>
    <n v="13900"/>
    <n v="38850"/>
    <n v="11050"/>
  </r>
  <r>
    <s v="ORD26040119"/>
    <x v="57"/>
    <s v="C0056"/>
    <s v="E002"/>
    <s v="P010"/>
    <n v="2"/>
    <n v="3200"/>
    <n v="0"/>
    <x v="0"/>
    <s v="Marketplace"/>
    <s v="Credit"/>
    <n v="6400"/>
    <s v="Kolkata"/>
    <n v="6400"/>
    <s v="Match"/>
    <x v="0"/>
    <x v="0"/>
    <s v="Bengaluru"/>
    <s v="Sales Executive"/>
    <x v="11"/>
    <x v="4"/>
    <n v="3200"/>
    <n v="2050"/>
    <n v="6400"/>
    <n v="2300"/>
  </r>
  <r>
    <s v="ORD26010120"/>
    <x v="27"/>
    <s v="C0137"/>
    <s v="E013"/>
    <s v="P005"/>
    <n v="3"/>
    <n v="15960"/>
    <n v="0.1"/>
    <x v="2"/>
    <s v="Direct"/>
    <s v="Card"/>
    <n v="43092"/>
    <s v="Hyderabad"/>
    <n v="43092"/>
    <s v="Match"/>
    <x v="2"/>
    <x v="1"/>
    <s v="Bhubaneswar"/>
    <s v="Sales Executive"/>
    <x v="9"/>
    <x v="1"/>
    <n v="16800"/>
    <n v="12600"/>
    <n v="0"/>
    <n v="-37800"/>
  </r>
  <r>
    <s v="ORD26060121"/>
    <x v="86"/>
    <s v="C0206"/>
    <s v="E013"/>
    <s v="P005"/>
    <n v="8"/>
    <n v="16800"/>
    <n v="0.05"/>
    <x v="0"/>
    <s v="Direct"/>
    <s v="Card"/>
    <n v="127680"/>
    <s v="Chennai"/>
    <n v="127680"/>
    <s v="Match"/>
    <x v="2"/>
    <x v="1"/>
    <s v="Bhubaneswar"/>
    <s v="Sales Executive"/>
    <x v="9"/>
    <x v="1"/>
    <n v="16800"/>
    <n v="12600"/>
    <n v="127680"/>
    <n v="26880"/>
  </r>
  <r>
    <s v="ORD26010122"/>
    <x v="1"/>
    <s v="C0190"/>
    <s v="E012"/>
    <s v="P009"/>
    <n v="1"/>
    <n v="18500"/>
    <n v="0.1"/>
    <x v="0"/>
    <s v="Marketplace"/>
    <s v="Bank Transfer"/>
    <n v="16650"/>
    <s v="Indore"/>
    <n v="16650"/>
    <s v="Match"/>
    <x v="12"/>
    <x v="1"/>
    <s v="Kolkata"/>
    <s v="Sales Executive"/>
    <x v="5"/>
    <x v="3"/>
    <n v="18500"/>
    <n v="13900"/>
    <n v="16650"/>
    <n v="2750"/>
  </r>
  <r>
    <s v="ORD26060123"/>
    <x v="13"/>
    <s v="C0140"/>
    <s v="E002"/>
    <s v="P001"/>
    <n v="1"/>
    <n v="617.5"/>
    <n v="0.15"/>
    <x v="0"/>
    <s v="Phone"/>
    <s v="Cash"/>
    <n v="524.88"/>
    <s v="Kochi"/>
    <n v="524.875"/>
    <s v="Match"/>
    <x v="0"/>
    <x v="0"/>
    <s v="Bengaluru"/>
    <s v="Sales Executive"/>
    <x v="0"/>
    <x v="0"/>
    <n v="650"/>
    <n v="390"/>
    <n v="524.875"/>
    <n v="134.875"/>
  </r>
  <r>
    <s v="ORD26060124"/>
    <x v="49"/>
    <s v="C0057"/>
    <s v="E008"/>
    <s v="P007"/>
    <n v="1"/>
    <n v="2730"/>
    <n v="0.15"/>
    <x v="0"/>
    <s v="Marketplace"/>
    <s v="Credit"/>
    <n v="2320.5"/>
    <s v="Kochi"/>
    <n v="2320.5"/>
    <s v="Match"/>
    <x v="8"/>
    <x v="2"/>
    <s v="Ahmedabad"/>
    <s v="Sales Executive"/>
    <x v="10"/>
    <x v="0"/>
    <n v="2600"/>
    <n v="1750"/>
    <n v="2320.5"/>
    <n v="570.5"/>
  </r>
  <r>
    <s v="ORD26050125"/>
    <x v="87"/>
    <s v="C0004"/>
    <s v="E011"/>
    <s v="P005"/>
    <n v="1"/>
    <n v="15960"/>
    <n v="0.1"/>
    <x v="3"/>
    <s v="Website"/>
    <s v="Bank Transfer"/>
    <n v="14364"/>
    <s v="Bengaluru"/>
    <n v="14364"/>
    <s v="Match"/>
    <x v="11"/>
    <x v="3"/>
    <s v="Lucknow"/>
    <s v="Sales Executive"/>
    <x v="9"/>
    <x v="1"/>
    <n v="16800"/>
    <n v="12600"/>
    <n v="0"/>
    <n v="-12600"/>
  </r>
  <r>
    <s v="ORD26020126"/>
    <x v="88"/>
    <s v="C0090"/>
    <s v="E013"/>
    <s v="P005"/>
    <n v="1"/>
    <n v="17640"/>
    <n v="0"/>
    <x v="0"/>
    <s v="Website"/>
    <s v="Cash"/>
    <n v="17640"/>
    <s v="Jaipur"/>
    <n v="17640"/>
    <s v="Match"/>
    <x v="2"/>
    <x v="1"/>
    <s v="Bhubaneswar"/>
    <s v="Sales Executive"/>
    <x v="9"/>
    <x v="1"/>
    <n v="16800"/>
    <n v="12600"/>
    <n v="17640"/>
    <n v="5040"/>
  </r>
  <r>
    <s v="ORD26060127"/>
    <x v="89"/>
    <s v="C0204"/>
    <s v="E004"/>
    <s v="P009"/>
    <n v="3"/>
    <n v="17575"/>
    <n v="0.2"/>
    <x v="0"/>
    <s v="Direct"/>
    <s v="Cash"/>
    <n v="42180"/>
    <s v="Chennai"/>
    <n v="42180"/>
    <s v="Match"/>
    <x v="1"/>
    <x v="0"/>
    <s v="Coimbatore"/>
    <s v="Sales Executive"/>
    <x v="5"/>
    <x v="3"/>
    <n v="18500"/>
    <n v="13900"/>
    <n v="42180"/>
    <n v="480"/>
  </r>
  <r>
    <s v="ORD26040128"/>
    <x v="90"/>
    <s v="C0214"/>
    <s v="E015"/>
    <s v="P002"/>
    <n v="5"/>
    <n v="2310"/>
    <n v="0.15"/>
    <x v="0"/>
    <s v="Marketplace"/>
    <s v="Upi"/>
    <n v="9817.5"/>
    <s v="Pune"/>
    <n v="9817.5"/>
    <s v="Match"/>
    <x v="9"/>
    <x v="4"/>
    <s v="Bhopal"/>
    <s v="Sales Executive"/>
    <x v="8"/>
    <x v="0"/>
    <n v="2200"/>
    <n v="1450"/>
    <n v="9817.5"/>
    <n v="2567.5"/>
  </r>
  <r>
    <s v="ORD26010129"/>
    <x v="48"/>
    <s v="C0046"/>
    <s v="E006"/>
    <s v="P003"/>
    <n v="4"/>
    <n v="1800"/>
    <n v="0.15"/>
    <x v="0"/>
    <s v="Phone"/>
    <s v="Upi"/>
    <n v="6120"/>
    <s v="Bengaluru"/>
    <n v="6120"/>
    <s v="Match"/>
    <x v="5"/>
    <x v="2"/>
    <s v="Mumbai"/>
    <s v="Sales Executive"/>
    <x v="3"/>
    <x v="0"/>
    <n v="1800"/>
    <n v="1120"/>
    <n v="6120"/>
    <n v="1640"/>
  </r>
  <r>
    <s v="ORD26040130"/>
    <x v="91"/>
    <s v="C0114"/>
    <s v="E010"/>
    <s v="P007"/>
    <n v="2"/>
    <n v="2600"/>
    <n v="0.1"/>
    <x v="2"/>
    <s v="Marketplace"/>
    <s v="Card"/>
    <n v="4680"/>
    <s v="Mumbai"/>
    <n v="4680"/>
    <s v="Match"/>
    <x v="6"/>
    <x v="3"/>
    <s v="Jaipur"/>
    <s v="Sales Executive"/>
    <x v="10"/>
    <x v="0"/>
    <n v="2600"/>
    <n v="1750"/>
    <n v="0"/>
    <n v="-3500"/>
  </r>
  <r>
    <s v="ORD26050131"/>
    <x v="12"/>
    <s v="C0180"/>
    <s v="E011"/>
    <s v="P002"/>
    <n v="2"/>
    <n v="2200"/>
    <n v="0"/>
    <x v="1"/>
    <s v="Website"/>
    <s v="Card"/>
    <n v="4400"/>
    <s v="Mumbai"/>
    <n v="4400"/>
    <s v="Match"/>
    <x v="11"/>
    <x v="3"/>
    <s v="Lucknow"/>
    <s v="Sales Executive"/>
    <x v="8"/>
    <x v="0"/>
    <n v="2200"/>
    <n v="1450"/>
    <n v="0"/>
    <n v="-2900"/>
  </r>
  <r>
    <s v="ORD26020132"/>
    <x v="92"/>
    <s v="C0091"/>
    <s v="E005"/>
    <s v="P004"/>
    <n v="1"/>
    <n v="10640"/>
    <n v="0"/>
    <x v="0"/>
    <s v="Phone"/>
    <s v="Cash"/>
    <n v="10640"/>
    <s v="Indore"/>
    <n v="10640"/>
    <s v="Match"/>
    <x v="3"/>
    <x v="0"/>
    <s v="Kochi"/>
    <s v="Sales Executive"/>
    <x v="1"/>
    <x v="1"/>
    <n v="11200"/>
    <n v="8300"/>
    <n v="10640"/>
    <n v="2340"/>
  </r>
  <r>
    <s v="ORD26050133"/>
    <x v="23"/>
    <s v="C0162"/>
    <s v="E008"/>
    <s v="P011"/>
    <n v="8"/>
    <n v="2400"/>
    <n v="0.15"/>
    <x v="0"/>
    <s v="Website"/>
    <s v="Cash"/>
    <n v="16320"/>
    <s v="Mumbai"/>
    <n v="16320"/>
    <s v="Match"/>
    <x v="8"/>
    <x v="2"/>
    <s v="Ahmedabad"/>
    <s v="Sales Executive"/>
    <x v="7"/>
    <x v="4"/>
    <n v="2400"/>
    <n v="1480"/>
    <n v="16320"/>
    <n v="4480"/>
  </r>
  <r>
    <s v="ORD26050134"/>
    <x v="47"/>
    <s v="C0260"/>
    <s v="E008"/>
    <s v="P011"/>
    <n v="2"/>
    <n v="2400"/>
    <n v="0.05"/>
    <x v="0"/>
    <s v="Direct"/>
    <s v="Bank Transfer"/>
    <n v="4560"/>
    <s v="Kochi"/>
    <n v="4560"/>
    <s v="Match"/>
    <x v="8"/>
    <x v="2"/>
    <s v="Ahmedabad"/>
    <s v="Sales Executive"/>
    <x v="7"/>
    <x v="4"/>
    <n v="2400"/>
    <n v="1480"/>
    <n v="4560"/>
    <n v="1600"/>
  </r>
  <r>
    <s v="ORD26040135"/>
    <x v="93"/>
    <s v="C0260"/>
    <s v="E001"/>
    <s v="P001"/>
    <n v="2"/>
    <n v="617.5"/>
    <n v="0.05"/>
    <x v="0"/>
    <s v="Phone"/>
    <s v="Cash"/>
    <n v="1173.25"/>
    <s v="Indore"/>
    <n v="1173.25"/>
    <s v="Match"/>
    <x v="14"/>
    <x v="0"/>
    <s v="Chennai"/>
    <s v="Sales Executive"/>
    <x v="0"/>
    <x v="0"/>
    <n v="650"/>
    <n v="390"/>
    <n v="1173.25"/>
    <n v="393.25"/>
  </r>
  <r>
    <s v="ORD26050136"/>
    <x v="38"/>
    <s v="C0165"/>
    <s v="E013"/>
    <s v="P012"/>
    <n v="5"/>
    <n v="48500"/>
    <n v="0.1"/>
    <x v="1"/>
    <s v="Phone"/>
    <s v="Credit"/>
    <n v="218250"/>
    <s v="Delhi"/>
    <n v="218250"/>
    <s v="Match"/>
    <x v="2"/>
    <x v="1"/>
    <s v="Bhubaneswar"/>
    <s v="Sales Executive"/>
    <x v="2"/>
    <x v="2"/>
    <n v="48500"/>
    <n v="41200"/>
    <n v="0"/>
    <n v="-206000"/>
  </r>
  <r>
    <s v="ORD26010137"/>
    <x v="94"/>
    <s v="C0259"/>
    <s v="E008"/>
    <s v="P002"/>
    <n v="4"/>
    <n v="2090"/>
    <n v="0.05"/>
    <x v="3"/>
    <s v="Website"/>
    <s v="Upi"/>
    <n v="7942"/>
    <s v="Bengaluru"/>
    <n v="7942"/>
    <s v="Match"/>
    <x v="8"/>
    <x v="2"/>
    <s v="Ahmedabad"/>
    <s v="Sales Executive"/>
    <x v="8"/>
    <x v="0"/>
    <n v="2200"/>
    <n v="1450"/>
    <n v="0"/>
    <n v="-5800"/>
  </r>
  <r>
    <s v="ORD26040138"/>
    <x v="95"/>
    <s v="C0199"/>
    <s v="E008"/>
    <s v="P009"/>
    <n v="2"/>
    <n v="18500"/>
    <n v="0"/>
    <x v="0"/>
    <s v="Phone"/>
    <s v="Bank Transfer"/>
    <n v="37000"/>
    <s v="Indore"/>
    <n v="37000"/>
    <s v="Match"/>
    <x v="8"/>
    <x v="2"/>
    <s v="Ahmedabad"/>
    <s v="Sales Executive"/>
    <x v="5"/>
    <x v="3"/>
    <n v="18500"/>
    <n v="13900"/>
    <n v="37000"/>
    <n v="9200"/>
  </r>
  <r>
    <s v="ORD26010139"/>
    <x v="17"/>
    <s v="C0146"/>
    <s v="E013"/>
    <s v="P011"/>
    <n v="3"/>
    <n v="2520"/>
    <n v="0"/>
    <x v="0"/>
    <s v="Marketplace"/>
    <s v="Credit"/>
    <n v="7560"/>
    <s v="Delhi"/>
    <n v="7560"/>
    <s v="Match"/>
    <x v="2"/>
    <x v="1"/>
    <s v="Bhubaneswar"/>
    <s v="Sales Executive"/>
    <x v="7"/>
    <x v="4"/>
    <n v="2400"/>
    <n v="1480"/>
    <n v="7560"/>
    <n v="3120"/>
  </r>
  <r>
    <s v="ORD26030140"/>
    <x v="96"/>
    <s v="C0067"/>
    <s v="E002"/>
    <s v="P010"/>
    <n v="3"/>
    <n v="3360"/>
    <n v="0.05"/>
    <x v="0"/>
    <s v="Direct"/>
    <s v="Bank Transfer"/>
    <n v="9576"/>
    <s v="Jaipur"/>
    <n v="9576"/>
    <s v="Match"/>
    <x v="0"/>
    <x v="0"/>
    <s v="Bengaluru"/>
    <s v="Sales Executive"/>
    <x v="11"/>
    <x v="4"/>
    <n v="3200"/>
    <n v="2050"/>
    <n v="9576"/>
    <n v="3426"/>
  </r>
  <r>
    <s v="ORD26040141"/>
    <x v="97"/>
    <s v="C0217"/>
    <s v="E011"/>
    <s v="P006"/>
    <n v="4"/>
    <n v="1330"/>
    <n v="0.2"/>
    <x v="0"/>
    <s v="Marketplace"/>
    <s v="Upi"/>
    <n v="4256"/>
    <s v="Kolkata"/>
    <n v="4256"/>
    <s v="Match"/>
    <x v="11"/>
    <x v="3"/>
    <s v="Lucknow"/>
    <s v="Sales Executive"/>
    <x v="4"/>
    <x v="0"/>
    <n v="1400"/>
    <n v="780"/>
    <n v="4256"/>
    <n v="1136"/>
  </r>
  <r>
    <s v="ORD26030142"/>
    <x v="98"/>
    <s v="C0080"/>
    <s v="E003"/>
    <s v="P004"/>
    <n v="2"/>
    <n v="11200"/>
    <n v="0.1"/>
    <x v="0"/>
    <s v="Direct"/>
    <s v="Bank Transfer"/>
    <n v="20160"/>
    <s v="Mumbai"/>
    <n v="20160"/>
    <s v="Match"/>
    <x v="7"/>
    <x v="0"/>
    <s v="Hyderabad"/>
    <s v="Sales Executive"/>
    <x v="1"/>
    <x v="1"/>
    <n v="11200"/>
    <n v="8300"/>
    <n v="20160"/>
    <n v="3560"/>
  </r>
  <r>
    <s v="ORD26050143"/>
    <x v="99"/>
    <s v="C0068"/>
    <s v="E013"/>
    <s v="P009"/>
    <n v="4"/>
    <n v="18500"/>
    <n v="0.15"/>
    <x v="0"/>
    <s v="Phone"/>
    <s v="Card"/>
    <n v="62900"/>
    <s v="Delhi"/>
    <n v="62900"/>
    <s v="Match"/>
    <x v="2"/>
    <x v="1"/>
    <s v="Bhubaneswar"/>
    <s v="Sales Executive"/>
    <x v="5"/>
    <x v="3"/>
    <n v="18500"/>
    <n v="13900"/>
    <n v="62900"/>
    <n v="7300"/>
  </r>
  <r>
    <s v="ORD26020144"/>
    <x v="54"/>
    <s v="C0211"/>
    <s v="E014"/>
    <s v="P012"/>
    <n v="4"/>
    <n v="46075"/>
    <n v="0"/>
    <x v="0"/>
    <s v="Marketplace"/>
    <s v="Card"/>
    <n v="184300"/>
    <s v="Kochi"/>
    <n v="184300"/>
    <s v="Match"/>
    <x v="10"/>
    <x v="4"/>
    <s v="Indore"/>
    <s v="Sales Executive"/>
    <x v="2"/>
    <x v="2"/>
    <n v="48500"/>
    <n v="41200"/>
    <n v="184300"/>
    <n v="19500"/>
  </r>
  <r>
    <s v="ORD26060145"/>
    <x v="100"/>
    <s v="C0241"/>
    <s v="E005"/>
    <s v="P012"/>
    <n v="4"/>
    <n v="48500"/>
    <n v="0"/>
    <x v="0"/>
    <s v="Website"/>
    <s v="Bank Transfer"/>
    <n v="194000"/>
    <s v="Indore"/>
    <n v="194000"/>
    <s v="Match"/>
    <x v="3"/>
    <x v="0"/>
    <s v="Kochi"/>
    <s v="Sales Executive"/>
    <x v="2"/>
    <x v="2"/>
    <n v="48500"/>
    <n v="41200"/>
    <n v="194000"/>
    <n v="29200"/>
  </r>
  <r>
    <s v="ORD26040146"/>
    <x v="95"/>
    <s v="C0103"/>
    <s v="E008"/>
    <s v="P005"/>
    <n v="4"/>
    <n v="16800"/>
    <n v="0.15"/>
    <x v="0"/>
    <s v="Website"/>
    <s v="Bank Transfer"/>
    <n v="57120"/>
    <s v="Chennai"/>
    <n v="57120"/>
    <s v="Match"/>
    <x v="8"/>
    <x v="2"/>
    <s v="Ahmedabad"/>
    <s v="Sales Executive"/>
    <x v="9"/>
    <x v="1"/>
    <n v="16800"/>
    <n v="12600"/>
    <n v="57120"/>
    <n v="6720"/>
  </r>
  <r>
    <s v="ORD26060147"/>
    <x v="101"/>
    <s v="C0146"/>
    <s v="E008"/>
    <s v="P006"/>
    <n v="3"/>
    <n v="1330"/>
    <n v="0"/>
    <x v="0"/>
    <s v="Direct"/>
    <s v="Card"/>
    <n v="3990"/>
    <s v="Hyderabad"/>
    <n v="3990"/>
    <s v="Match"/>
    <x v="8"/>
    <x v="2"/>
    <s v="Ahmedabad"/>
    <s v="Sales Executive"/>
    <x v="4"/>
    <x v="0"/>
    <n v="1400"/>
    <n v="780"/>
    <n v="3990"/>
    <n v="1650"/>
  </r>
  <r>
    <s v="ORD26040148"/>
    <x v="93"/>
    <s v="C0231"/>
    <s v="E015"/>
    <s v="P009"/>
    <n v="1"/>
    <n v="18500"/>
    <n v="0.1"/>
    <x v="0"/>
    <s v="Marketplace"/>
    <s v="Upi"/>
    <n v="16650"/>
    <s v="Pune"/>
    <n v="16650"/>
    <s v="Match"/>
    <x v="9"/>
    <x v="4"/>
    <s v="Bhopal"/>
    <s v="Sales Executive"/>
    <x v="5"/>
    <x v="3"/>
    <n v="18500"/>
    <n v="13900"/>
    <n v="16650"/>
    <n v="2750"/>
  </r>
  <r>
    <s v="ORD26010149"/>
    <x v="17"/>
    <s v="C0115"/>
    <s v="E007"/>
    <s v="P009"/>
    <n v="2"/>
    <n v="18500"/>
    <n v="0.1"/>
    <x v="3"/>
    <s v="Direct"/>
    <s v="Bank Transfer"/>
    <n v="33300"/>
    <s v="Mumbai"/>
    <n v="33300"/>
    <s v="Match"/>
    <x v="4"/>
    <x v="2"/>
    <s v="Pune"/>
    <s v="Sales Executive"/>
    <x v="5"/>
    <x v="3"/>
    <n v="18500"/>
    <n v="13900"/>
    <n v="0"/>
    <n v="-27800"/>
  </r>
  <r>
    <s v="ORD26060150"/>
    <x v="52"/>
    <s v="C0072"/>
    <s v="E006"/>
    <s v="P003"/>
    <n v="1"/>
    <n v="1890"/>
    <n v="0.05"/>
    <x v="1"/>
    <s v="Phone"/>
    <s v="Cash"/>
    <n v="1795.5"/>
    <s v="Indore"/>
    <n v="1795.5"/>
    <s v="Match"/>
    <x v="5"/>
    <x v="2"/>
    <s v="Mumbai"/>
    <s v="Sales Executive"/>
    <x v="3"/>
    <x v="0"/>
    <n v="1800"/>
    <n v="1120"/>
    <n v="0"/>
    <n v="-1120"/>
  </r>
  <r>
    <s v="ORD26010151"/>
    <x v="3"/>
    <s v="C0057"/>
    <s v="E015"/>
    <s v="P002"/>
    <n v="1"/>
    <n v="2310"/>
    <n v="0"/>
    <x v="2"/>
    <s v="Marketplace"/>
    <s v="Card"/>
    <n v="2310"/>
    <s v="Hyderabad"/>
    <n v="2310"/>
    <s v="Match"/>
    <x v="9"/>
    <x v="4"/>
    <s v="Bhopal"/>
    <s v="Sales Executive"/>
    <x v="8"/>
    <x v="0"/>
    <n v="2200"/>
    <n v="1450"/>
    <n v="0"/>
    <n v="-1450"/>
  </r>
  <r>
    <s v="ORD26020152"/>
    <x v="102"/>
    <s v="C0256"/>
    <s v="E001"/>
    <s v="P004"/>
    <n v="2"/>
    <n v="10640"/>
    <n v="0.15"/>
    <x v="0"/>
    <s v="Direct"/>
    <s v="Credit"/>
    <n v="18088"/>
    <s v="Indore"/>
    <n v="18088"/>
    <s v="Match"/>
    <x v="14"/>
    <x v="0"/>
    <s v="Chennai"/>
    <s v="Sales Executive"/>
    <x v="1"/>
    <x v="1"/>
    <n v="11200"/>
    <n v="8300"/>
    <n v="18088"/>
    <n v="1488"/>
  </r>
  <r>
    <s v="ORD26030153"/>
    <x v="103"/>
    <s v="C0214"/>
    <s v="E012"/>
    <s v="P003"/>
    <n v="1"/>
    <n v="1800"/>
    <n v="0"/>
    <x v="0"/>
    <s v="Website"/>
    <s v="Upi"/>
    <n v="1800"/>
    <s v="Jaipur"/>
    <n v="1800"/>
    <s v="Match"/>
    <x v="12"/>
    <x v="1"/>
    <s v="Kolkata"/>
    <s v="Sales Executive"/>
    <x v="3"/>
    <x v="0"/>
    <n v="1800"/>
    <n v="1120"/>
    <n v="1800"/>
    <n v="680"/>
  </r>
  <r>
    <s v="ORD26040154"/>
    <x v="59"/>
    <s v="C0241"/>
    <s v="E002"/>
    <s v="P009"/>
    <n v="2"/>
    <n v="19425"/>
    <n v="0.15"/>
    <x v="0"/>
    <s v="Direct"/>
    <s v="Cash"/>
    <n v="33022.5"/>
    <s v="Kolkata"/>
    <n v="33022.5"/>
    <s v="Match"/>
    <x v="0"/>
    <x v="0"/>
    <s v="Bengaluru"/>
    <s v="Sales Executive"/>
    <x v="5"/>
    <x v="3"/>
    <n v="18500"/>
    <n v="13900"/>
    <n v="33022.5"/>
    <n v="5222.5"/>
  </r>
  <r>
    <s v="ORD26030155"/>
    <x v="104"/>
    <s v="C0171"/>
    <s v="E012"/>
    <s v="P001"/>
    <n v="2"/>
    <n v="617.5"/>
    <n v="0"/>
    <x v="0"/>
    <s v="Website"/>
    <s v="Upi"/>
    <n v="1235"/>
    <s v="Kolkata"/>
    <n v="1235"/>
    <s v="Match"/>
    <x v="12"/>
    <x v="1"/>
    <s v="Kolkata"/>
    <s v="Sales Executive"/>
    <x v="0"/>
    <x v="0"/>
    <n v="650"/>
    <n v="390"/>
    <n v="1235"/>
    <n v="455"/>
  </r>
  <r>
    <s v="ORD26050156"/>
    <x v="63"/>
    <s v="C0094"/>
    <s v="E006"/>
    <s v="P011"/>
    <n v="1"/>
    <n v="2520"/>
    <n v="0.2"/>
    <x v="0"/>
    <s v="Website"/>
    <s v="Upi"/>
    <n v="2016"/>
    <s v="Kochi"/>
    <n v="2016"/>
    <s v="Match"/>
    <x v="5"/>
    <x v="2"/>
    <s v="Mumbai"/>
    <s v="Sales Executive"/>
    <x v="7"/>
    <x v="4"/>
    <n v="2400"/>
    <n v="1480"/>
    <n v="2016"/>
    <n v="536"/>
  </r>
  <r>
    <s v="ORD26010157"/>
    <x v="33"/>
    <s v="C0159"/>
    <s v="E005"/>
    <s v="P004"/>
    <n v="1"/>
    <n v="11200"/>
    <n v="0"/>
    <x v="2"/>
    <s v="Phone"/>
    <s v="Credit"/>
    <n v="11200"/>
    <s v="Unknown"/>
    <n v="11200"/>
    <s v="Match"/>
    <x v="3"/>
    <x v="0"/>
    <s v="Kochi"/>
    <s v="Sales Executive"/>
    <x v="1"/>
    <x v="1"/>
    <n v="11200"/>
    <n v="8300"/>
    <n v="0"/>
    <n v="-8300"/>
  </r>
  <r>
    <s v="ORD26030158"/>
    <x v="104"/>
    <s v="C0170"/>
    <s v="E001"/>
    <s v="P011"/>
    <n v="1"/>
    <n v="2280"/>
    <n v="0.05"/>
    <x v="2"/>
    <s v="Marketplace"/>
    <s v="Upi"/>
    <n v="2166"/>
    <s v="Kolkata"/>
    <n v="2166"/>
    <s v="Match"/>
    <x v="14"/>
    <x v="0"/>
    <s v="Chennai"/>
    <s v="Sales Executive"/>
    <x v="7"/>
    <x v="4"/>
    <n v="2400"/>
    <n v="1480"/>
    <n v="0"/>
    <n v="-1480"/>
  </r>
  <r>
    <s v="ORD26040159"/>
    <x v="91"/>
    <s v="C0255"/>
    <s v="E015"/>
    <s v="P007"/>
    <n v="4"/>
    <n v="2600"/>
    <n v="0.1"/>
    <x v="0"/>
    <s v="Phone"/>
    <s v="Bank Transfer"/>
    <n v="9360"/>
    <s v="Jaipur"/>
    <n v="9360"/>
    <s v="Match"/>
    <x v="9"/>
    <x v="4"/>
    <s v="Bhopal"/>
    <s v="Sales Executive"/>
    <x v="10"/>
    <x v="0"/>
    <n v="2600"/>
    <n v="1750"/>
    <n v="9360"/>
    <n v="2360"/>
  </r>
  <r>
    <s v="ORD26030160"/>
    <x v="69"/>
    <s v="C0151"/>
    <s v="E013"/>
    <s v="P002"/>
    <n v="3"/>
    <n v="2200"/>
    <n v="0"/>
    <x v="0"/>
    <s v="Marketplace"/>
    <s v="Upi"/>
    <n v="6600"/>
    <s v="Mumbai"/>
    <n v="6600"/>
    <s v="Match"/>
    <x v="2"/>
    <x v="1"/>
    <s v="Bhubaneswar"/>
    <s v="Sales Executive"/>
    <x v="8"/>
    <x v="0"/>
    <n v="2200"/>
    <n v="1450"/>
    <n v="6600"/>
    <n v="2250"/>
  </r>
  <r>
    <s v="ORD26030161"/>
    <x v="105"/>
    <s v="C0228"/>
    <s v="E011"/>
    <s v="P005"/>
    <n v="2"/>
    <n v="16800"/>
    <n v="0.15"/>
    <x v="0"/>
    <s v="Marketplace"/>
    <s v="Cash"/>
    <n v="28560"/>
    <s v="Chennai"/>
    <n v="28560"/>
    <s v="Match"/>
    <x v="11"/>
    <x v="3"/>
    <s v="Lucknow"/>
    <s v="Sales Executive"/>
    <x v="9"/>
    <x v="1"/>
    <n v="16800"/>
    <n v="12600"/>
    <n v="28560"/>
    <n v="3360"/>
  </r>
  <r>
    <s v="ORD26040162"/>
    <x v="57"/>
    <s v="C0187"/>
    <s v="E010"/>
    <s v="P007"/>
    <n v="1"/>
    <n v="2730"/>
    <n v="0"/>
    <x v="0"/>
    <s v="Website"/>
    <s v="Upi"/>
    <n v="2730"/>
    <s v="Unknown"/>
    <n v="2730"/>
    <s v="Match"/>
    <x v="6"/>
    <x v="3"/>
    <s v="Jaipur"/>
    <s v="Sales Executive"/>
    <x v="10"/>
    <x v="0"/>
    <n v="2600"/>
    <n v="1750"/>
    <n v="2730"/>
    <n v="980"/>
  </r>
  <r>
    <s v="ORD26060163"/>
    <x v="106"/>
    <s v="C0186"/>
    <s v="E011"/>
    <s v="P008"/>
    <n v="1"/>
    <n v="7800"/>
    <n v="0"/>
    <x v="0"/>
    <s v="Phone"/>
    <s v="Credit"/>
    <n v="7800"/>
    <s v="Chennai"/>
    <n v="7800"/>
    <s v="Match"/>
    <x v="11"/>
    <x v="3"/>
    <s v="Lucknow"/>
    <s v="Sales Executive"/>
    <x v="6"/>
    <x v="3"/>
    <n v="7800"/>
    <n v="5200"/>
    <n v="7800"/>
    <n v="2600"/>
  </r>
  <r>
    <s v="ORD26060164"/>
    <x v="83"/>
    <s v="C0071"/>
    <s v="E003"/>
    <s v="P011"/>
    <n v="2"/>
    <n v="2280"/>
    <n v="0.05"/>
    <x v="0"/>
    <s v="Marketplace"/>
    <s v="Cash"/>
    <n v="4332"/>
    <s v="Kolkata"/>
    <n v="4332"/>
    <s v="Match"/>
    <x v="7"/>
    <x v="0"/>
    <s v="Hyderabad"/>
    <s v="Sales Executive"/>
    <x v="7"/>
    <x v="4"/>
    <n v="2400"/>
    <n v="1480"/>
    <n v="4332"/>
    <n v="1372"/>
  </r>
  <r>
    <s v="ORD26060165"/>
    <x v="52"/>
    <s v="C0199"/>
    <s v="E005"/>
    <s v="P004"/>
    <n v="8"/>
    <n v="11760"/>
    <n v="0"/>
    <x v="0"/>
    <s v="Direct"/>
    <s v="Bank Transfer"/>
    <n v="94080"/>
    <s v="Hyderabad"/>
    <n v="94080"/>
    <s v="Match"/>
    <x v="3"/>
    <x v="0"/>
    <s v="Kochi"/>
    <s v="Sales Executive"/>
    <x v="1"/>
    <x v="1"/>
    <n v="11200"/>
    <n v="8300"/>
    <n v="94080"/>
    <n v="27680"/>
  </r>
  <r>
    <s v="ORD26060166"/>
    <x v="89"/>
    <s v="C0103"/>
    <s v="E008"/>
    <s v="P004"/>
    <n v="10"/>
    <n v="11760"/>
    <n v="0.05"/>
    <x v="0"/>
    <s v="Direct"/>
    <s v="Card"/>
    <n v="111720"/>
    <s v="Mumbai"/>
    <n v="111720"/>
    <s v="Match"/>
    <x v="8"/>
    <x v="2"/>
    <s v="Ahmedabad"/>
    <s v="Sales Executive"/>
    <x v="1"/>
    <x v="1"/>
    <n v="11200"/>
    <n v="8300"/>
    <n v="111720"/>
    <n v="28720"/>
  </r>
  <r>
    <s v="ORD26040167"/>
    <x v="93"/>
    <s v="C0178"/>
    <s v="E003"/>
    <s v="P012"/>
    <n v="2"/>
    <n v="48500"/>
    <n v="0"/>
    <x v="0"/>
    <s v="Direct"/>
    <s v="Credit"/>
    <n v="97000"/>
    <s v="Jaipur"/>
    <n v="97000"/>
    <s v="Match"/>
    <x v="7"/>
    <x v="0"/>
    <s v="Hyderabad"/>
    <s v="Sales Executive"/>
    <x v="2"/>
    <x v="2"/>
    <n v="48500"/>
    <n v="41200"/>
    <n v="97000"/>
    <n v="14600"/>
  </r>
  <r>
    <s v="ORD26030168"/>
    <x v="70"/>
    <s v="C0186"/>
    <s v="E015"/>
    <s v="P005"/>
    <n v="5"/>
    <n v="16800"/>
    <n v="0.2"/>
    <x v="0"/>
    <s v="Website"/>
    <s v="Upi"/>
    <n v="67200"/>
    <s v="Bengaluru"/>
    <n v="67200"/>
    <s v="Match"/>
    <x v="9"/>
    <x v="4"/>
    <s v="Bhopal"/>
    <s v="Sales Executive"/>
    <x v="9"/>
    <x v="1"/>
    <n v="16800"/>
    <n v="12600"/>
    <n v="67200"/>
    <n v="4200"/>
  </r>
  <r>
    <s v="ORD26020169"/>
    <x v="88"/>
    <s v="C0067"/>
    <s v="E004"/>
    <s v="P008"/>
    <n v="1"/>
    <n v="8190"/>
    <n v="0.15"/>
    <x v="0"/>
    <s v="Direct"/>
    <s v="Upi"/>
    <n v="6961.5"/>
    <s v="Hyderabad"/>
    <n v="6961.5"/>
    <s v="Match"/>
    <x v="1"/>
    <x v="0"/>
    <s v="Coimbatore"/>
    <s v="Sales Executive"/>
    <x v="6"/>
    <x v="3"/>
    <n v="7800"/>
    <n v="5200"/>
    <n v="6961.5"/>
    <n v="1761.5"/>
  </r>
  <r>
    <s v="ORD26040170"/>
    <x v="50"/>
    <s v="C0065"/>
    <s v="E012"/>
    <s v="P012"/>
    <n v="2"/>
    <n v="46075"/>
    <n v="0.1"/>
    <x v="0"/>
    <s v="Direct"/>
    <s v="Upi"/>
    <n v="82935"/>
    <s v="Kochi"/>
    <n v="82935"/>
    <s v="Match"/>
    <x v="12"/>
    <x v="1"/>
    <s v="Kolkata"/>
    <s v="Sales Executive"/>
    <x v="2"/>
    <x v="2"/>
    <n v="48500"/>
    <n v="41200"/>
    <n v="82935"/>
    <n v="535"/>
  </r>
  <r>
    <s v="ORD26040171"/>
    <x v="77"/>
    <s v="C0067"/>
    <s v="E011"/>
    <s v="P009"/>
    <n v="2"/>
    <n v="18500"/>
    <n v="0.15"/>
    <x v="0"/>
    <s v="Phone"/>
    <s v="Credit"/>
    <n v="31450"/>
    <s v="Chennai"/>
    <n v="31450"/>
    <s v="Match"/>
    <x v="11"/>
    <x v="3"/>
    <s v="Lucknow"/>
    <s v="Sales Executive"/>
    <x v="5"/>
    <x v="3"/>
    <n v="18500"/>
    <n v="13900"/>
    <n v="31450"/>
    <n v="3650"/>
  </r>
  <r>
    <s v="ORD26020172"/>
    <x v="102"/>
    <s v="C0178"/>
    <s v="E009"/>
    <s v="P003"/>
    <n v="2"/>
    <n v="1800"/>
    <n v="0"/>
    <x v="0"/>
    <s v="Marketplace"/>
    <s v="Upi"/>
    <n v="3600"/>
    <s v="Hyderabad"/>
    <n v="3600"/>
    <s v="Match"/>
    <x v="13"/>
    <x v="3"/>
    <s v="Delhi"/>
    <s v="Sales Executive"/>
    <x v="3"/>
    <x v="0"/>
    <n v="1800"/>
    <n v="1120"/>
    <n v="3600"/>
    <n v="1360"/>
  </r>
  <r>
    <s v="ORD26020173"/>
    <x v="40"/>
    <s v="C0258"/>
    <s v="E011"/>
    <s v="Unknown"/>
    <n v="1"/>
    <n v="17575"/>
    <n v="0.2"/>
    <x v="0"/>
    <s v="Website"/>
    <s v="Credit"/>
    <n v="14060"/>
    <s v="Indore"/>
    <n v="14060"/>
    <s v="Match"/>
    <x v="11"/>
    <x v="3"/>
    <s v="Lucknow"/>
    <s v="Sales Executive"/>
    <x v="12"/>
    <x v="5"/>
    <m/>
    <m/>
    <n v="14060"/>
    <n v="14060"/>
  </r>
  <r>
    <s v="ORD26020174"/>
    <x v="107"/>
    <s v="C0015"/>
    <s v="E003"/>
    <s v="P011"/>
    <n v="3"/>
    <n v="2280"/>
    <n v="0.15"/>
    <x v="0"/>
    <s v="Direct"/>
    <s v="Upi"/>
    <n v="5814"/>
    <s v="Indore"/>
    <n v="5814"/>
    <s v="Match"/>
    <x v="7"/>
    <x v="0"/>
    <s v="Hyderabad"/>
    <s v="Sales Executive"/>
    <x v="7"/>
    <x v="4"/>
    <n v="2400"/>
    <n v="1480"/>
    <n v="5814"/>
    <n v="1374"/>
  </r>
  <r>
    <s v="ORD26030175"/>
    <x v="24"/>
    <s v="C0255"/>
    <s v="E011"/>
    <s v="P004"/>
    <n v="4"/>
    <n v="10640"/>
    <n v="0.1"/>
    <x v="0"/>
    <s v="Marketplace"/>
    <s v="Bank Transfer"/>
    <n v="38304"/>
    <s v="Kochi"/>
    <n v="38304"/>
    <s v="Match"/>
    <x v="11"/>
    <x v="3"/>
    <s v="Lucknow"/>
    <s v="Sales Executive"/>
    <x v="1"/>
    <x v="1"/>
    <n v="11200"/>
    <n v="8300"/>
    <n v="38304"/>
    <n v="5104"/>
  </r>
  <r>
    <s v="ORD26030176"/>
    <x v="108"/>
    <s v="C0081"/>
    <s v="E013"/>
    <s v="P011"/>
    <n v="2"/>
    <n v="2280"/>
    <n v="0.1"/>
    <x v="0"/>
    <s v="Phone"/>
    <s v="Cash"/>
    <n v="4104"/>
    <s v="Kochi"/>
    <n v="4104"/>
    <s v="Match"/>
    <x v="2"/>
    <x v="1"/>
    <s v="Bhubaneswar"/>
    <s v="Sales Executive"/>
    <x v="7"/>
    <x v="4"/>
    <n v="2400"/>
    <n v="1480"/>
    <n v="4104"/>
    <n v="1144"/>
  </r>
  <r>
    <s v="ORD26040177"/>
    <x v="109"/>
    <s v="C0177"/>
    <s v="E004"/>
    <s v="P006"/>
    <n v="3"/>
    <n v="1400"/>
    <n v="0.05"/>
    <x v="2"/>
    <s v="Phone"/>
    <s v="Card"/>
    <n v="3990"/>
    <s v="Kolkata"/>
    <n v="3990"/>
    <s v="Match"/>
    <x v="1"/>
    <x v="0"/>
    <s v="Coimbatore"/>
    <s v="Sales Executive"/>
    <x v="4"/>
    <x v="0"/>
    <n v="1400"/>
    <n v="780"/>
    <n v="0"/>
    <n v="-2340"/>
  </r>
  <r>
    <s v="ORD26050178"/>
    <x v="110"/>
    <s v="C0127"/>
    <s v="E009"/>
    <s v="P002"/>
    <n v="2"/>
    <n v="2310"/>
    <n v="0.1"/>
    <x v="0"/>
    <s v="Website"/>
    <s v="Upi"/>
    <n v="4158"/>
    <s v="Chennai"/>
    <n v="4158"/>
    <s v="Match"/>
    <x v="13"/>
    <x v="3"/>
    <s v="Delhi"/>
    <s v="Sales Executive"/>
    <x v="8"/>
    <x v="0"/>
    <n v="2200"/>
    <n v="1450"/>
    <n v="4158"/>
    <n v="1258"/>
  </r>
  <r>
    <s v="ORD26030179"/>
    <x v="70"/>
    <s v="C0098"/>
    <s v="E007"/>
    <s v="P010"/>
    <n v="2"/>
    <n v="3200"/>
    <n v="0"/>
    <x v="0"/>
    <s v="Website"/>
    <s v="Cash"/>
    <n v="6400"/>
    <s v="Jaipur"/>
    <n v="6400"/>
    <s v="Match"/>
    <x v="4"/>
    <x v="2"/>
    <s v="Pune"/>
    <s v="Sales Executive"/>
    <x v="11"/>
    <x v="4"/>
    <n v="3200"/>
    <n v="2050"/>
    <n v="6400"/>
    <n v="2300"/>
  </r>
  <r>
    <s v="ORD26040180"/>
    <x v="77"/>
    <s v="C0124"/>
    <s v="E008"/>
    <s v="P005"/>
    <n v="2"/>
    <n v="17640"/>
    <n v="0"/>
    <x v="1"/>
    <s v="Website"/>
    <s v="Credit"/>
    <n v="35280"/>
    <s v="Kolkata"/>
    <n v="35280"/>
    <s v="Match"/>
    <x v="8"/>
    <x v="2"/>
    <s v="Ahmedabad"/>
    <s v="Sales Executive"/>
    <x v="9"/>
    <x v="1"/>
    <n v="16800"/>
    <n v="12600"/>
    <n v="0"/>
    <n v="-25200"/>
  </r>
  <r>
    <s v="ORD26010181"/>
    <x v="111"/>
    <s v="C0005"/>
    <s v="E001"/>
    <s v="P005"/>
    <n v="2"/>
    <n v="16800"/>
    <n v="0.2"/>
    <x v="0"/>
    <s v="Direct"/>
    <s v="Cash"/>
    <n v="26880"/>
    <s v="Delhi"/>
    <n v="26880"/>
    <s v="Match"/>
    <x v="14"/>
    <x v="0"/>
    <s v="Chennai"/>
    <s v="Sales Executive"/>
    <x v="9"/>
    <x v="1"/>
    <n v="16800"/>
    <n v="12600"/>
    <n v="26880"/>
    <n v="1680"/>
  </r>
  <r>
    <s v="ORD26030182"/>
    <x v="24"/>
    <s v="C0100"/>
    <s v="E012"/>
    <s v="P006"/>
    <n v="4"/>
    <n v="1330"/>
    <n v="0.05"/>
    <x v="0"/>
    <s v="Marketplace"/>
    <s v="Credit"/>
    <n v="5054"/>
    <s v="Hyderabad"/>
    <n v="5054"/>
    <s v="Match"/>
    <x v="12"/>
    <x v="1"/>
    <s v="Kolkata"/>
    <s v="Sales Executive"/>
    <x v="4"/>
    <x v="0"/>
    <n v="1400"/>
    <n v="780"/>
    <n v="5054"/>
    <n v="1934"/>
  </r>
  <r>
    <s v="ORD26010183"/>
    <x v="112"/>
    <s v="C0066"/>
    <s v="E007"/>
    <s v="P009"/>
    <n v="2"/>
    <n v="17575"/>
    <n v="0.15"/>
    <x v="0"/>
    <s v="Direct"/>
    <s v="Cash"/>
    <n v="29877.5"/>
    <s v="Kolkata"/>
    <n v="29877.5"/>
    <s v="Match"/>
    <x v="4"/>
    <x v="2"/>
    <s v="Pune"/>
    <s v="Sales Executive"/>
    <x v="5"/>
    <x v="3"/>
    <n v="18500"/>
    <n v="13900"/>
    <n v="29877.5"/>
    <n v="2077.5"/>
  </r>
  <r>
    <s v="ORD26030184"/>
    <x v="84"/>
    <s v="C0257"/>
    <s v="E009"/>
    <s v="P006"/>
    <n v="4"/>
    <n v="1470"/>
    <n v="0"/>
    <x v="0"/>
    <s v="Direct"/>
    <s v="Upi"/>
    <n v="5880"/>
    <s v="Chennai"/>
    <n v="5880"/>
    <s v="Match"/>
    <x v="13"/>
    <x v="3"/>
    <s v="Delhi"/>
    <s v="Sales Executive"/>
    <x v="4"/>
    <x v="0"/>
    <n v="1400"/>
    <n v="780"/>
    <n v="5880"/>
    <n v="2760"/>
  </r>
  <r>
    <s v="ORD26020185"/>
    <x v="88"/>
    <s v="C0168"/>
    <s v="E012"/>
    <s v="P006"/>
    <n v="4"/>
    <n v="1400"/>
    <n v="0.15"/>
    <x v="0"/>
    <s v="Marketplace"/>
    <s v="Card"/>
    <n v="4760"/>
    <s v="Pune"/>
    <n v="4760"/>
    <s v="Match"/>
    <x v="12"/>
    <x v="1"/>
    <s v="Kolkata"/>
    <s v="Sales Executive"/>
    <x v="4"/>
    <x v="0"/>
    <n v="1400"/>
    <n v="780"/>
    <n v="4760"/>
    <n v="1640"/>
  </r>
  <r>
    <s v="ORD26060186"/>
    <x v="79"/>
    <s v="C0154"/>
    <s v="E012"/>
    <s v="P005"/>
    <n v="3"/>
    <n v="17640"/>
    <n v="0.15"/>
    <x v="0"/>
    <s v="Phone"/>
    <s v="Upi"/>
    <n v="44982"/>
    <s v="Kolkata"/>
    <n v="44982"/>
    <s v="Match"/>
    <x v="12"/>
    <x v="1"/>
    <s v="Kolkata"/>
    <s v="Sales Executive"/>
    <x v="9"/>
    <x v="1"/>
    <n v="16800"/>
    <n v="12600"/>
    <n v="44982"/>
    <n v="7182"/>
  </r>
  <r>
    <s v="ORD26030187"/>
    <x v="34"/>
    <s v="C0243"/>
    <s v="E011"/>
    <s v="P002"/>
    <n v="10"/>
    <n v="2090"/>
    <n v="0.15"/>
    <x v="0"/>
    <s v="Marketplace"/>
    <s v="Credit"/>
    <n v="17765"/>
    <s v="Indore"/>
    <n v="17765"/>
    <s v="Match"/>
    <x v="11"/>
    <x v="3"/>
    <s v="Lucknow"/>
    <s v="Sales Executive"/>
    <x v="8"/>
    <x v="0"/>
    <n v="2200"/>
    <n v="1450"/>
    <n v="17765"/>
    <n v="3265"/>
  </r>
  <r>
    <s v="ORD26020188"/>
    <x v="113"/>
    <s v="C0076"/>
    <s v="E012"/>
    <s v="P001"/>
    <n v="3"/>
    <n v="682.5"/>
    <n v="0"/>
    <x v="0"/>
    <s v="Website"/>
    <s v="Upi"/>
    <n v="2047.5"/>
    <s v="Indore"/>
    <n v="2047.5"/>
    <s v="Match"/>
    <x v="12"/>
    <x v="1"/>
    <s v="Kolkata"/>
    <s v="Sales Executive"/>
    <x v="0"/>
    <x v="0"/>
    <n v="650"/>
    <n v="390"/>
    <n v="2047.5"/>
    <n v="877.5"/>
  </r>
  <r>
    <s v="ORD26060189"/>
    <x v="86"/>
    <s v="C0105"/>
    <s v="E002"/>
    <s v="P004"/>
    <n v="1"/>
    <n v="11760"/>
    <n v="0.05"/>
    <x v="0"/>
    <s v="Phone"/>
    <s v="Credit"/>
    <n v="11172"/>
    <s v="Indore"/>
    <n v="11172"/>
    <s v="Match"/>
    <x v="0"/>
    <x v="0"/>
    <s v="Bengaluru"/>
    <s v="Sales Executive"/>
    <x v="1"/>
    <x v="1"/>
    <n v="11200"/>
    <n v="8300"/>
    <n v="11172"/>
    <n v="2872"/>
  </r>
  <r>
    <s v="ORD26050190"/>
    <x v="47"/>
    <s v="C0167"/>
    <s v="E014"/>
    <s v="P012"/>
    <n v="3"/>
    <n v="48500"/>
    <n v="0.2"/>
    <x v="0"/>
    <s v="Phone"/>
    <s v="Credit"/>
    <n v="116400"/>
    <s v="Pune"/>
    <n v="116400"/>
    <s v="Match"/>
    <x v="10"/>
    <x v="4"/>
    <s v="Indore"/>
    <s v="Sales Executive"/>
    <x v="2"/>
    <x v="2"/>
    <n v="48500"/>
    <n v="41200"/>
    <n v="116400"/>
    <n v="-7200"/>
  </r>
  <r>
    <s v="ORD26030191"/>
    <x v="114"/>
    <s v="C0248"/>
    <s v="E003"/>
    <s v="P008"/>
    <n v="5"/>
    <n v="7800"/>
    <n v="0.05"/>
    <x v="0"/>
    <s v="Website"/>
    <s v="Card"/>
    <n v="37050"/>
    <s v="Hyderabad"/>
    <n v="37050"/>
    <s v="Match"/>
    <x v="7"/>
    <x v="0"/>
    <s v="Hyderabad"/>
    <s v="Sales Executive"/>
    <x v="6"/>
    <x v="3"/>
    <n v="7800"/>
    <n v="5200"/>
    <n v="37050"/>
    <n v="11050"/>
  </r>
  <r>
    <s v="ORD26050192"/>
    <x v="115"/>
    <s v="C0251"/>
    <s v="E005"/>
    <s v="P004"/>
    <n v="8"/>
    <n v="11200"/>
    <n v="0.05"/>
    <x v="0"/>
    <s v="Marketplace"/>
    <s v="Cash"/>
    <n v="85120"/>
    <s v="Kolkata"/>
    <n v="85120"/>
    <s v="Match"/>
    <x v="3"/>
    <x v="0"/>
    <s v="Kochi"/>
    <s v="Sales Executive"/>
    <x v="1"/>
    <x v="1"/>
    <n v="11200"/>
    <n v="8300"/>
    <n v="85120"/>
    <n v="18720"/>
  </r>
  <r>
    <s v="ORD26050193"/>
    <x v="42"/>
    <s v="C0203"/>
    <s v="E015"/>
    <s v="P012"/>
    <n v="1"/>
    <n v="50925"/>
    <n v="0"/>
    <x v="0"/>
    <s v="Marketplace"/>
    <s v="Card"/>
    <n v="50925"/>
    <s v="Hyderabad"/>
    <n v="50925"/>
    <s v="Match"/>
    <x v="9"/>
    <x v="4"/>
    <s v="Bhopal"/>
    <s v="Sales Executive"/>
    <x v="2"/>
    <x v="2"/>
    <n v="48500"/>
    <n v="41200"/>
    <n v="50925"/>
    <n v="9725"/>
  </r>
  <r>
    <s v="ORD26010194"/>
    <x v="66"/>
    <s v="C0110"/>
    <s v="E005"/>
    <s v="Unknown"/>
    <n v="1"/>
    <n v="50925"/>
    <n v="0.1"/>
    <x v="0"/>
    <s v="Website"/>
    <s v="Credit"/>
    <n v="45832.5"/>
    <s v="Hyderabad"/>
    <n v="45832.5"/>
    <s v="Match"/>
    <x v="3"/>
    <x v="0"/>
    <s v="Kochi"/>
    <s v="Sales Executive"/>
    <x v="12"/>
    <x v="5"/>
    <m/>
    <m/>
    <n v="45832.5"/>
    <n v="45832.5"/>
  </r>
  <r>
    <s v="ORD26050195"/>
    <x v="42"/>
    <s v="C0125"/>
    <s v="E012"/>
    <s v="P005"/>
    <n v="1"/>
    <n v="16800"/>
    <n v="0.15"/>
    <x v="0"/>
    <s v="Direct"/>
    <s v="Credit"/>
    <n v="14280"/>
    <s v="Bengaluru"/>
    <n v="14280"/>
    <s v="Match"/>
    <x v="12"/>
    <x v="1"/>
    <s v="Kolkata"/>
    <s v="Sales Executive"/>
    <x v="9"/>
    <x v="1"/>
    <n v="16800"/>
    <n v="12600"/>
    <n v="14280"/>
    <n v="1680"/>
  </r>
  <r>
    <s v="ORD26060196"/>
    <x v="0"/>
    <s v="C0071"/>
    <s v="E004"/>
    <s v="P001"/>
    <n v="1"/>
    <n v="617.5"/>
    <n v="0.05"/>
    <x v="0"/>
    <s v="Direct"/>
    <s v="Credit"/>
    <n v="586.62"/>
    <s v="Delhi"/>
    <n v="586.625"/>
    <s v="Match"/>
    <x v="1"/>
    <x v="0"/>
    <s v="Coimbatore"/>
    <s v="Sales Executive"/>
    <x v="0"/>
    <x v="0"/>
    <n v="650"/>
    <n v="390"/>
    <n v="586.625"/>
    <n v="196.625"/>
  </r>
  <r>
    <s v="ORD26040197"/>
    <x v="55"/>
    <s v="C0165"/>
    <s v="E011"/>
    <s v="P008"/>
    <n v="2"/>
    <n v="7800"/>
    <n v="0"/>
    <x v="0"/>
    <s v="Marketplace"/>
    <s v="Upi"/>
    <n v="15600"/>
    <s v="Mumbai"/>
    <n v="15600"/>
    <s v="Match"/>
    <x v="11"/>
    <x v="3"/>
    <s v="Lucknow"/>
    <s v="Sales Executive"/>
    <x v="6"/>
    <x v="3"/>
    <n v="7800"/>
    <n v="5200"/>
    <n v="15600"/>
    <n v="5200"/>
  </r>
  <r>
    <s v="ORD26060198"/>
    <x v="52"/>
    <s v="C0090"/>
    <s v="E010"/>
    <s v="P004"/>
    <n v="2"/>
    <n v="10640"/>
    <n v="0.2"/>
    <x v="2"/>
    <s v="Phone"/>
    <s v="Card"/>
    <n v="17024"/>
    <s v="Chennai"/>
    <n v="17024"/>
    <s v="Match"/>
    <x v="6"/>
    <x v="3"/>
    <s v="Jaipur"/>
    <s v="Sales Executive"/>
    <x v="1"/>
    <x v="1"/>
    <n v="11200"/>
    <n v="8300"/>
    <n v="0"/>
    <n v="-16600"/>
  </r>
  <r>
    <s v="ORD26040199"/>
    <x v="50"/>
    <s v="C0020"/>
    <s v="E013"/>
    <s v="P008"/>
    <n v="1"/>
    <n v="7800"/>
    <n v="0.2"/>
    <x v="3"/>
    <s v="Direct"/>
    <s v="Bank Transfer"/>
    <n v="6240"/>
    <s v="Indore"/>
    <n v="6240"/>
    <s v="Match"/>
    <x v="2"/>
    <x v="1"/>
    <s v="Bhubaneswar"/>
    <s v="Sales Executive"/>
    <x v="6"/>
    <x v="3"/>
    <n v="7800"/>
    <n v="5200"/>
    <n v="0"/>
    <n v="-5200"/>
  </r>
  <r>
    <s v="ORD26060200"/>
    <x v="83"/>
    <s v="C0069"/>
    <s v="E002"/>
    <s v="P006"/>
    <n v="1"/>
    <n v="1470"/>
    <n v="0.2"/>
    <x v="0"/>
    <s v="Phone"/>
    <s v="Bank Transfer"/>
    <n v="1176"/>
    <s v="Bengaluru"/>
    <n v="1176"/>
    <s v="Match"/>
    <x v="0"/>
    <x v="0"/>
    <s v="Bengaluru"/>
    <s v="Sales Executive"/>
    <x v="4"/>
    <x v="0"/>
    <n v="1400"/>
    <n v="780"/>
    <n v="1176"/>
    <n v="396"/>
  </r>
  <r>
    <s v="ORD26010201"/>
    <x v="14"/>
    <s v="C0008"/>
    <s v="E006"/>
    <s v="P003"/>
    <n v="4"/>
    <n v="1800"/>
    <n v="0.2"/>
    <x v="0"/>
    <s v="Marketplace"/>
    <s v="Bank Transfer"/>
    <n v="5760"/>
    <s v="Indore"/>
    <n v="5760"/>
    <s v="Match"/>
    <x v="5"/>
    <x v="2"/>
    <s v="Mumbai"/>
    <s v="Sales Executive"/>
    <x v="3"/>
    <x v="0"/>
    <n v="1800"/>
    <n v="1120"/>
    <n v="5760"/>
    <n v="1280"/>
  </r>
  <r>
    <s v="ORD26060202"/>
    <x v="116"/>
    <s v="C0168"/>
    <s v="E013"/>
    <s v="P004"/>
    <n v="1"/>
    <n v="11760"/>
    <n v="0.2"/>
    <x v="2"/>
    <s v="Direct"/>
    <s v="Cash"/>
    <n v="9408"/>
    <s v="Mumbai"/>
    <n v="9408"/>
    <s v="Match"/>
    <x v="2"/>
    <x v="1"/>
    <s v="Bhubaneswar"/>
    <s v="Sales Executive"/>
    <x v="1"/>
    <x v="1"/>
    <n v="11200"/>
    <n v="8300"/>
    <n v="0"/>
    <n v="-8300"/>
  </r>
  <r>
    <s v="ORD26020203"/>
    <x v="117"/>
    <s v="C0121"/>
    <s v="E003"/>
    <s v="P008"/>
    <n v="2"/>
    <n v="8190"/>
    <n v="0"/>
    <x v="0"/>
    <s v="Phone"/>
    <s v="Bank Transfer"/>
    <n v="16380"/>
    <s v="Kolkata"/>
    <n v="16380"/>
    <s v="Match"/>
    <x v="7"/>
    <x v="0"/>
    <s v="Hyderabad"/>
    <s v="Sales Executive"/>
    <x v="6"/>
    <x v="3"/>
    <n v="7800"/>
    <n v="5200"/>
    <n v="16380"/>
    <n v="5980"/>
  </r>
  <r>
    <s v="ORD26030204"/>
    <x v="39"/>
    <s v="C0032"/>
    <s v="E010"/>
    <s v="P012"/>
    <n v="3"/>
    <n v="48500"/>
    <n v="0.05"/>
    <x v="0"/>
    <s v="Direct"/>
    <s v="Cash"/>
    <n v="138225"/>
    <s v="Hyderabad"/>
    <n v="138225"/>
    <s v="Match"/>
    <x v="6"/>
    <x v="3"/>
    <s v="Jaipur"/>
    <s v="Sales Executive"/>
    <x v="2"/>
    <x v="2"/>
    <n v="48500"/>
    <n v="41200"/>
    <n v="138225"/>
    <n v="14625"/>
  </r>
  <r>
    <s v="ORD26020205"/>
    <x v="26"/>
    <s v="C0152"/>
    <s v="E007"/>
    <s v="P011"/>
    <n v="2"/>
    <n v="2280"/>
    <n v="0.2"/>
    <x v="0"/>
    <s v="Marketplace"/>
    <s v="Credit"/>
    <n v="3648"/>
    <s v="Bengaluru"/>
    <n v="3648"/>
    <s v="Match"/>
    <x v="4"/>
    <x v="2"/>
    <s v="Pune"/>
    <s v="Sales Executive"/>
    <x v="7"/>
    <x v="4"/>
    <n v="2400"/>
    <n v="1480"/>
    <n v="3648"/>
    <n v="688"/>
  </r>
  <r>
    <s v="ORD26020206"/>
    <x v="56"/>
    <s v="C0213"/>
    <s v="E003"/>
    <s v="P008"/>
    <n v="1"/>
    <n v="7800"/>
    <n v="0.2"/>
    <x v="3"/>
    <s v="Phone"/>
    <s v="Credit"/>
    <n v="6240"/>
    <s v="Bengaluru"/>
    <n v="6240"/>
    <s v="Match"/>
    <x v="7"/>
    <x v="0"/>
    <s v="Hyderabad"/>
    <s v="Sales Executive"/>
    <x v="6"/>
    <x v="3"/>
    <n v="7800"/>
    <n v="5200"/>
    <n v="0"/>
    <n v="-5200"/>
  </r>
  <r>
    <s v="ORD26030207"/>
    <x v="118"/>
    <s v="C0040"/>
    <s v="E011"/>
    <s v="P010"/>
    <n v="5"/>
    <n v="3200"/>
    <n v="0"/>
    <x v="0"/>
    <s v="Direct"/>
    <s v="Upi"/>
    <n v="16000"/>
    <s v="Jaipur"/>
    <n v="16000"/>
    <s v="Match"/>
    <x v="11"/>
    <x v="3"/>
    <s v="Lucknow"/>
    <s v="Sales Executive"/>
    <x v="11"/>
    <x v="4"/>
    <n v="3200"/>
    <n v="2050"/>
    <n v="16000"/>
    <n v="5750"/>
  </r>
  <r>
    <s v="ORD26050208"/>
    <x v="99"/>
    <s v="C0060"/>
    <s v="E004"/>
    <s v="P010"/>
    <n v="2"/>
    <n v="3360"/>
    <n v="0"/>
    <x v="0"/>
    <s v="Website"/>
    <s v="Credit"/>
    <n v="6720"/>
    <s v="Unknown"/>
    <n v="6720"/>
    <s v="Match"/>
    <x v="1"/>
    <x v="0"/>
    <s v="Coimbatore"/>
    <s v="Sales Executive"/>
    <x v="11"/>
    <x v="4"/>
    <n v="3200"/>
    <n v="2050"/>
    <n v="6720"/>
    <n v="2620"/>
  </r>
  <r>
    <s v="ORD26010209"/>
    <x v="1"/>
    <s v="C0234"/>
    <s v="E015"/>
    <s v="P009"/>
    <n v="2"/>
    <n v="19425"/>
    <n v="0"/>
    <x v="0"/>
    <s v="Direct"/>
    <s v="Credit"/>
    <n v="38850"/>
    <s v="Kochi"/>
    <n v="38850"/>
    <s v="Match"/>
    <x v="9"/>
    <x v="4"/>
    <s v="Bhopal"/>
    <s v="Sales Executive"/>
    <x v="5"/>
    <x v="3"/>
    <n v="18500"/>
    <n v="13900"/>
    <n v="38850"/>
    <n v="11050"/>
  </r>
  <r>
    <s v="ORD26060210"/>
    <x v="116"/>
    <s v="C0112"/>
    <s v="E013"/>
    <s v="P005"/>
    <n v="3"/>
    <n v="15960"/>
    <n v="0.1"/>
    <x v="0"/>
    <s v="Direct"/>
    <s v="Upi"/>
    <n v="43092"/>
    <s v="Pune"/>
    <n v="43092"/>
    <s v="Match"/>
    <x v="2"/>
    <x v="1"/>
    <s v="Bhubaneswar"/>
    <s v="Sales Executive"/>
    <x v="9"/>
    <x v="1"/>
    <n v="16800"/>
    <n v="12600"/>
    <n v="43092"/>
    <n v="5292"/>
  </r>
  <r>
    <s v="ORD26030211"/>
    <x v="119"/>
    <s v="C0242"/>
    <s v="E012"/>
    <s v="P002"/>
    <n v="2"/>
    <n v="2090"/>
    <n v="0"/>
    <x v="1"/>
    <s v="Direct"/>
    <s v="Bank Transfer"/>
    <n v="4180"/>
    <s v="Pune"/>
    <n v="4180"/>
    <s v="Match"/>
    <x v="12"/>
    <x v="1"/>
    <s v="Kolkata"/>
    <s v="Sales Executive"/>
    <x v="8"/>
    <x v="0"/>
    <n v="2200"/>
    <n v="1450"/>
    <n v="0"/>
    <n v="-2900"/>
  </r>
  <r>
    <s v="ORD26020212"/>
    <x v="54"/>
    <s v="C0192"/>
    <s v="E013"/>
    <s v="P003"/>
    <n v="4"/>
    <n v="1890"/>
    <n v="0.2"/>
    <x v="0"/>
    <s v="Phone"/>
    <s v="Cash"/>
    <n v="6048"/>
    <s v="Pune"/>
    <n v="6048"/>
    <s v="Match"/>
    <x v="2"/>
    <x v="1"/>
    <s v="Bhubaneswar"/>
    <s v="Sales Executive"/>
    <x v="3"/>
    <x v="0"/>
    <n v="1800"/>
    <n v="1120"/>
    <n v="6048"/>
    <n v="1568"/>
  </r>
  <r>
    <s v="ORD26040213"/>
    <x v="97"/>
    <s v="C0061"/>
    <s v="E002"/>
    <s v="P011"/>
    <n v="8"/>
    <n v="2400"/>
    <n v="0.15"/>
    <x v="0"/>
    <s v="Website"/>
    <s v="Credit"/>
    <n v="16320"/>
    <s v="Pune"/>
    <n v="16320"/>
    <s v="Match"/>
    <x v="0"/>
    <x v="0"/>
    <s v="Bengaluru"/>
    <s v="Sales Executive"/>
    <x v="7"/>
    <x v="4"/>
    <n v="2400"/>
    <n v="1480"/>
    <n v="16320"/>
    <n v="4480"/>
  </r>
  <r>
    <s v="ORD26050214"/>
    <x v="120"/>
    <s v="C0238"/>
    <s v="E003"/>
    <s v="P012"/>
    <n v="10"/>
    <n v="48500"/>
    <n v="0"/>
    <x v="0"/>
    <s v="Phone"/>
    <s v="Credit"/>
    <n v="485000"/>
    <s v="Pune"/>
    <n v="485000"/>
    <s v="Match"/>
    <x v="7"/>
    <x v="0"/>
    <s v="Hyderabad"/>
    <s v="Sales Executive"/>
    <x v="2"/>
    <x v="2"/>
    <n v="48500"/>
    <n v="41200"/>
    <n v="485000"/>
    <n v="73000"/>
  </r>
  <r>
    <s v="ORD26020215"/>
    <x v="113"/>
    <s v="C0017"/>
    <s v="E004"/>
    <s v="P008"/>
    <n v="2"/>
    <n v="7410"/>
    <n v="0.05"/>
    <x v="0"/>
    <s v="Phone"/>
    <s v="Credit"/>
    <n v="14079"/>
    <s v="Chennai"/>
    <n v="14079"/>
    <s v="Match"/>
    <x v="1"/>
    <x v="0"/>
    <s v="Coimbatore"/>
    <s v="Sales Executive"/>
    <x v="6"/>
    <x v="3"/>
    <n v="7800"/>
    <n v="5200"/>
    <n v="14079"/>
    <n v="3679"/>
  </r>
  <r>
    <s v="ORD26030216"/>
    <x v="103"/>
    <s v="C0126"/>
    <s v="E004"/>
    <s v="P002"/>
    <n v="1"/>
    <n v="2090"/>
    <n v="0"/>
    <x v="0"/>
    <s v="Direct"/>
    <s v="Cash"/>
    <n v="2090"/>
    <s v="Kochi"/>
    <n v="2090"/>
    <s v="Match"/>
    <x v="1"/>
    <x v="0"/>
    <s v="Coimbatore"/>
    <s v="Sales Executive"/>
    <x v="8"/>
    <x v="0"/>
    <n v="2200"/>
    <n v="1450"/>
    <n v="2090"/>
    <n v="640"/>
  </r>
  <r>
    <s v="ORD26030217"/>
    <x v="80"/>
    <s v="C0120"/>
    <s v="E009"/>
    <s v="P004"/>
    <n v="4"/>
    <n v="11200"/>
    <n v="0"/>
    <x v="0"/>
    <s v="Marketplace"/>
    <s v="Credit"/>
    <n v="44800"/>
    <s v="Indore"/>
    <n v="44800"/>
    <s v="Match"/>
    <x v="13"/>
    <x v="3"/>
    <s v="Delhi"/>
    <s v="Sales Executive"/>
    <x v="1"/>
    <x v="1"/>
    <n v="11200"/>
    <n v="8300"/>
    <n v="44800"/>
    <n v="11600"/>
  </r>
  <r>
    <s v="ORD26060218"/>
    <x v="116"/>
    <s v="C0212"/>
    <s v="E014"/>
    <s v="P006"/>
    <n v="1"/>
    <n v="1400"/>
    <n v="0"/>
    <x v="3"/>
    <s v="Website"/>
    <s v="Bank Transfer"/>
    <n v="1400"/>
    <s v="Chennai"/>
    <n v="1400"/>
    <s v="Match"/>
    <x v="10"/>
    <x v="4"/>
    <s v="Indore"/>
    <s v="Sales Executive"/>
    <x v="4"/>
    <x v="0"/>
    <n v="1400"/>
    <n v="780"/>
    <n v="0"/>
    <n v="-780"/>
  </r>
  <r>
    <s v="ORD26050219"/>
    <x v="115"/>
    <s v="C0025"/>
    <s v="E010"/>
    <s v="P012"/>
    <n v="5"/>
    <n v="50925"/>
    <n v="0.2"/>
    <x v="0"/>
    <s v="Marketplace"/>
    <s v="Cash"/>
    <n v="203700"/>
    <s v="Jaipur"/>
    <n v="203700"/>
    <s v="Match"/>
    <x v="6"/>
    <x v="3"/>
    <s v="Jaipur"/>
    <s v="Sales Executive"/>
    <x v="2"/>
    <x v="2"/>
    <n v="48500"/>
    <n v="41200"/>
    <n v="203700"/>
    <n v="-2300"/>
  </r>
  <r>
    <s v="ORD26030220"/>
    <x v="72"/>
    <s v="C0124"/>
    <s v="E012"/>
    <s v="P007"/>
    <n v="2"/>
    <n v="2730"/>
    <n v="0.05"/>
    <x v="0"/>
    <s v="Website"/>
    <s v="Bank Transfer"/>
    <n v="5187"/>
    <s v="Delhi"/>
    <n v="5187"/>
    <s v="Match"/>
    <x v="12"/>
    <x v="1"/>
    <s v="Kolkata"/>
    <s v="Sales Executive"/>
    <x v="10"/>
    <x v="0"/>
    <n v="2600"/>
    <n v="1750"/>
    <n v="5187"/>
    <n v="1687"/>
  </r>
  <r>
    <s v="ORD26040221"/>
    <x v="109"/>
    <s v="C0199"/>
    <s v="E015"/>
    <s v="P001"/>
    <n v="3"/>
    <n v="650"/>
    <n v="0.1"/>
    <x v="0"/>
    <s v="Website"/>
    <s v="Bank Transfer"/>
    <n v="1755"/>
    <s v="Bengaluru"/>
    <n v="1755"/>
    <s v="Match"/>
    <x v="9"/>
    <x v="4"/>
    <s v="Bhopal"/>
    <s v="Sales Executive"/>
    <x v="0"/>
    <x v="0"/>
    <n v="650"/>
    <n v="390"/>
    <n v="1755"/>
    <n v="585"/>
  </r>
  <r>
    <s v="ORD26030222"/>
    <x v="34"/>
    <s v="C0027"/>
    <s v="E011"/>
    <s v="P002"/>
    <n v="8"/>
    <n v="2200"/>
    <n v="0.05"/>
    <x v="0"/>
    <s v="Marketplace"/>
    <s v="Cash"/>
    <n v="16720"/>
    <s v="Indore"/>
    <n v="16720"/>
    <s v="Match"/>
    <x v="11"/>
    <x v="3"/>
    <s v="Lucknow"/>
    <s v="Sales Executive"/>
    <x v="8"/>
    <x v="0"/>
    <n v="2200"/>
    <n v="1450"/>
    <n v="16720"/>
    <n v="5120"/>
  </r>
  <r>
    <s v="ORD26060223"/>
    <x v="83"/>
    <s v="C0246"/>
    <s v="E001"/>
    <s v="P002"/>
    <n v="1"/>
    <n v="2200"/>
    <n v="0.15"/>
    <x v="0"/>
    <s v="Website"/>
    <s v="Bank Transfer"/>
    <n v="1870"/>
    <s v="Hyderabad"/>
    <n v="1870"/>
    <s v="Match"/>
    <x v="14"/>
    <x v="0"/>
    <s v="Chennai"/>
    <s v="Sales Executive"/>
    <x v="8"/>
    <x v="0"/>
    <n v="2200"/>
    <n v="1450"/>
    <n v="1870"/>
    <n v="420"/>
  </r>
  <r>
    <s v="ORD26010224"/>
    <x v="19"/>
    <s v="C0125"/>
    <s v="E004"/>
    <s v="P004"/>
    <n v="8"/>
    <n v="11760"/>
    <n v="0"/>
    <x v="0"/>
    <s v="Website"/>
    <s v="Cash"/>
    <n v="94080"/>
    <s v="Bengaluru"/>
    <n v="94080"/>
    <s v="Match"/>
    <x v="1"/>
    <x v="0"/>
    <s v="Coimbatore"/>
    <s v="Sales Executive"/>
    <x v="1"/>
    <x v="1"/>
    <n v="11200"/>
    <n v="8300"/>
    <n v="94080"/>
    <n v="27680"/>
  </r>
  <r>
    <s v="ORD26050225"/>
    <x v="38"/>
    <s v="C0134"/>
    <s v="E006"/>
    <s v="P005"/>
    <n v="2"/>
    <n v="16800"/>
    <n v="0.15"/>
    <x v="0"/>
    <s v="Marketplace"/>
    <s v="Credit"/>
    <n v="28560"/>
    <s v="Kochi"/>
    <n v="28560"/>
    <s v="Match"/>
    <x v="5"/>
    <x v="2"/>
    <s v="Mumbai"/>
    <s v="Sales Executive"/>
    <x v="9"/>
    <x v="1"/>
    <n v="16800"/>
    <n v="12600"/>
    <n v="28560"/>
    <n v="3360"/>
  </r>
  <r>
    <s v="ORD26040226"/>
    <x v="77"/>
    <s v="C0161"/>
    <s v="E002"/>
    <s v="P012"/>
    <n v="2"/>
    <n v="48500"/>
    <n v="0.05"/>
    <x v="1"/>
    <s v="Phone"/>
    <s v="Upi"/>
    <n v="92150"/>
    <s v="Indore"/>
    <n v="92150"/>
    <s v="Match"/>
    <x v="0"/>
    <x v="0"/>
    <s v="Bengaluru"/>
    <s v="Sales Executive"/>
    <x v="2"/>
    <x v="2"/>
    <n v="48500"/>
    <n v="41200"/>
    <n v="0"/>
    <n v="-82400"/>
  </r>
  <r>
    <s v="ORD26020227"/>
    <x v="56"/>
    <s v="C0152"/>
    <s v="E012"/>
    <s v="P003"/>
    <n v="1"/>
    <n v="1890"/>
    <n v="0.15"/>
    <x v="1"/>
    <s v="Website"/>
    <s v="Card"/>
    <n v="1606.5"/>
    <s v="Kolkata"/>
    <n v="1606.5"/>
    <s v="Match"/>
    <x v="12"/>
    <x v="1"/>
    <s v="Kolkata"/>
    <s v="Sales Executive"/>
    <x v="3"/>
    <x v="0"/>
    <n v="1800"/>
    <n v="1120"/>
    <n v="0"/>
    <n v="-1120"/>
  </r>
  <r>
    <s v="ORD26020228"/>
    <x v="113"/>
    <s v="C0132"/>
    <s v="E007"/>
    <s v="P010"/>
    <n v="4"/>
    <n v="3200"/>
    <n v="0.1"/>
    <x v="0"/>
    <s v="Phone"/>
    <s v="Cash"/>
    <n v="11520"/>
    <s v="Kochi"/>
    <n v="11520"/>
    <s v="Match"/>
    <x v="4"/>
    <x v="2"/>
    <s v="Pune"/>
    <s v="Sales Executive"/>
    <x v="11"/>
    <x v="4"/>
    <n v="3200"/>
    <n v="2050"/>
    <n v="11520"/>
    <n v="3320"/>
  </r>
  <r>
    <s v="ORD26020229"/>
    <x v="121"/>
    <s v="Unknown"/>
    <s v="E012"/>
    <s v="P006"/>
    <n v="1"/>
    <n v="1400"/>
    <n v="0.2"/>
    <x v="0"/>
    <s v="Direct"/>
    <s v="Upi"/>
    <n v="1120"/>
    <s v="Chennai"/>
    <n v="1120"/>
    <s v="Match"/>
    <x v="12"/>
    <x v="1"/>
    <s v="Kolkata"/>
    <s v="Sales Executive"/>
    <x v="4"/>
    <x v="0"/>
    <n v="1400"/>
    <n v="780"/>
    <n v="1120"/>
    <n v="340"/>
  </r>
  <r>
    <s v="ORD26010230"/>
    <x v="3"/>
    <s v="C0005"/>
    <s v="E007"/>
    <s v="P003"/>
    <n v="4"/>
    <n v="1800"/>
    <n v="0"/>
    <x v="0"/>
    <s v="Website"/>
    <s v="Credit"/>
    <n v="7200"/>
    <s v="Kochi"/>
    <n v="7200"/>
    <s v="Match"/>
    <x v="4"/>
    <x v="2"/>
    <s v="Pune"/>
    <s v="Sales Executive"/>
    <x v="3"/>
    <x v="0"/>
    <n v="1800"/>
    <n v="1120"/>
    <n v="7200"/>
    <n v="2720"/>
  </r>
  <r>
    <s v="ORD26040231"/>
    <x v="122"/>
    <s v="C0009"/>
    <s v="E001"/>
    <s v="P010"/>
    <n v="3"/>
    <n v="3360"/>
    <n v="0.15"/>
    <x v="1"/>
    <s v="Direct"/>
    <s v="Credit"/>
    <n v="8568"/>
    <s v="Jaipur"/>
    <n v="8568"/>
    <s v="Match"/>
    <x v="14"/>
    <x v="0"/>
    <s v="Chennai"/>
    <s v="Sales Executive"/>
    <x v="11"/>
    <x v="4"/>
    <n v="3200"/>
    <n v="2050"/>
    <n v="0"/>
    <n v="-6150"/>
  </r>
  <r>
    <s v="ORD26040232"/>
    <x v="123"/>
    <s v="C0009"/>
    <s v="E001"/>
    <s v="P001"/>
    <n v="2"/>
    <n v="650"/>
    <n v="0.05"/>
    <x v="0"/>
    <s v="Phone"/>
    <s v="Card"/>
    <n v="1235"/>
    <s v="Mumbai"/>
    <n v="1235"/>
    <s v="Match"/>
    <x v="14"/>
    <x v="0"/>
    <s v="Chennai"/>
    <s v="Sales Executive"/>
    <x v="0"/>
    <x v="0"/>
    <n v="650"/>
    <n v="390"/>
    <n v="1235"/>
    <n v="455"/>
  </r>
  <r>
    <s v="ORD26010233"/>
    <x v="8"/>
    <s v="C0137"/>
    <s v="E009"/>
    <s v="P003"/>
    <n v="1"/>
    <n v="1800"/>
    <n v="0.15"/>
    <x v="0"/>
    <s v="Phone"/>
    <s v="Upi"/>
    <n v="1530"/>
    <s v="Kolkata"/>
    <n v="1530"/>
    <s v="Match"/>
    <x v="13"/>
    <x v="3"/>
    <s v="Delhi"/>
    <s v="Sales Executive"/>
    <x v="3"/>
    <x v="0"/>
    <n v="1800"/>
    <n v="1120"/>
    <n v="1530"/>
    <n v="410"/>
  </r>
  <r>
    <s v="ORD26040234"/>
    <x v="124"/>
    <s v="C0017"/>
    <s v="E008"/>
    <s v="P010"/>
    <n v="1"/>
    <n v="3040"/>
    <n v="0.2"/>
    <x v="0"/>
    <s v="Direct"/>
    <s v="Cash"/>
    <n v="2432"/>
    <s v="Pune"/>
    <n v="2432"/>
    <s v="Match"/>
    <x v="8"/>
    <x v="2"/>
    <s v="Ahmedabad"/>
    <s v="Sales Executive"/>
    <x v="11"/>
    <x v="4"/>
    <n v="3200"/>
    <n v="2050"/>
    <n v="2432"/>
    <n v="382"/>
  </r>
  <r>
    <s v="ORD26040235"/>
    <x v="97"/>
    <s v="C0256"/>
    <s v="E009"/>
    <s v="P008"/>
    <n v="1"/>
    <n v="7410"/>
    <n v="0"/>
    <x v="0"/>
    <s v="Phone"/>
    <s v="Bank Transfer"/>
    <n v="7410"/>
    <s v="Indore"/>
    <n v="7410"/>
    <s v="Match"/>
    <x v="13"/>
    <x v="3"/>
    <s v="Delhi"/>
    <s v="Sales Executive"/>
    <x v="6"/>
    <x v="3"/>
    <n v="7800"/>
    <n v="5200"/>
    <n v="7410"/>
    <n v="2210"/>
  </r>
  <r>
    <s v="ORD26010236"/>
    <x v="8"/>
    <s v="C0139"/>
    <s v="E015"/>
    <s v="P009"/>
    <n v="5"/>
    <n v="19425"/>
    <n v="0"/>
    <x v="0"/>
    <s v="Direct"/>
    <s v="Upi"/>
    <n v="97125"/>
    <s v="Hyderabad"/>
    <n v="97125"/>
    <s v="Match"/>
    <x v="9"/>
    <x v="4"/>
    <s v="Bhopal"/>
    <s v="Sales Executive"/>
    <x v="5"/>
    <x v="3"/>
    <n v="18500"/>
    <n v="13900"/>
    <n v="97125"/>
    <n v="27625"/>
  </r>
  <r>
    <s v="ORD26050237"/>
    <x v="63"/>
    <s v="C0074"/>
    <s v="E010"/>
    <s v="P011"/>
    <n v="1"/>
    <n v="2400"/>
    <n v="0.05"/>
    <x v="0"/>
    <s v="Phone"/>
    <s v="Upi"/>
    <n v="2280"/>
    <s v="Hyderabad"/>
    <n v="2280"/>
    <s v="Match"/>
    <x v="6"/>
    <x v="3"/>
    <s v="Jaipur"/>
    <s v="Sales Executive"/>
    <x v="7"/>
    <x v="4"/>
    <n v="2400"/>
    <n v="1480"/>
    <n v="2280"/>
    <n v="800"/>
  </r>
  <r>
    <s v="ORD26020238"/>
    <x v="29"/>
    <s v="C0197"/>
    <s v="E010"/>
    <s v="P004"/>
    <n v="3"/>
    <n v="11200"/>
    <n v="0.1"/>
    <x v="0"/>
    <s v="Website"/>
    <s v="Upi"/>
    <n v="30240"/>
    <s v="Jaipur"/>
    <n v="30240"/>
    <s v="Match"/>
    <x v="6"/>
    <x v="3"/>
    <s v="Jaipur"/>
    <s v="Sales Executive"/>
    <x v="1"/>
    <x v="1"/>
    <n v="11200"/>
    <n v="8300"/>
    <n v="30240"/>
    <n v="5340"/>
  </r>
  <r>
    <s v="ORD26030239"/>
    <x v="125"/>
    <s v="C0168"/>
    <s v="E001"/>
    <s v="P002"/>
    <n v="2"/>
    <n v="2310"/>
    <n v="0"/>
    <x v="0"/>
    <s v="Direct"/>
    <s v="Bank Transfer"/>
    <n v="4620"/>
    <s v="Kochi"/>
    <n v="4620"/>
    <s v="Match"/>
    <x v="14"/>
    <x v="0"/>
    <s v="Chennai"/>
    <s v="Sales Executive"/>
    <x v="8"/>
    <x v="0"/>
    <n v="2200"/>
    <n v="1450"/>
    <n v="4620"/>
    <n v="1720"/>
  </r>
  <r>
    <s v="ORD26050240"/>
    <x v="28"/>
    <s v="C0044"/>
    <s v="E004"/>
    <s v="P006"/>
    <n v="3"/>
    <n v="1470"/>
    <n v="0.1"/>
    <x v="0"/>
    <s v="Marketplace"/>
    <s v="Card"/>
    <n v="3969"/>
    <s v="Mumbai"/>
    <n v="3969"/>
    <s v="Match"/>
    <x v="1"/>
    <x v="0"/>
    <s v="Coimbatore"/>
    <s v="Sales Executive"/>
    <x v="4"/>
    <x v="0"/>
    <n v="1400"/>
    <n v="780"/>
    <n v="3969"/>
    <n v="1629"/>
  </r>
  <r>
    <s v="ORD26010241"/>
    <x v="61"/>
    <s v="C0163"/>
    <s v="E005"/>
    <s v="P003"/>
    <n v="2"/>
    <n v="1890"/>
    <n v="0.2"/>
    <x v="0"/>
    <s v="Marketplace"/>
    <s v="Upi"/>
    <n v="3024"/>
    <s v="Mumbai"/>
    <n v="3024"/>
    <s v="Match"/>
    <x v="3"/>
    <x v="0"/>
    <s v="Kochi"/>
    <s v="Sales Executive"/>
    <x v="3"/>
    <x v="0"/>
    <n v="1800"/>
    <n v="1120"/>
    <n v="3024"/>
    <n v="784"/>
  </r>
  <r>
    <s v="ORD26010242"/>
    <x v="3"/>
    <s v="C0096"/>
    <s v="E005"/>
    <s v="P008"/>
    <n v="2"/>
    <n v="7410"/>
    <n v="0.05"/>
    <x v="0"/>
    <s v="Phone"/>
    <s v="Cash"/>
    <n v="14079"/>
    <s v="Jaipur"/>
    <n v="14079"/>
    <s v="Match"/>
    <x v="3"/>
    <x v="0"/>
    <s v="Kochi"/>
    <s v="Sales Executive"/>
    <x v="6"/>
    <x v="3"/>
    <n v="7800"/>
    <n v="5200"/>
    <n v="14079"/>
    <n v="3679"/>
  </r>
  <r>
    <s v="ORD26050243"/>
    <x v="115"/>
    <s v="C0167"/>
    <s v="E009"/>
    <s v="P007"/>
    <n v="1"/>
    <n v="2470"/>
    <n v="0"/>
    <x v="0"/>
    <s v="Phone"/>
    <s v="Upi"/>
    <n v="2470"/>
    <s v="Hyderabad"/>
    <n v="2470"/>
    <s v="Match"/>
    <x v="13"/>
    <x v="3"/>
    <s v="Delhi"/>
    <s v="Sales Executive"/>
    <x v="10"/>
    <x v="0"/>
    <n v="2600"/>
    <n v="1750"/>
    <n v="2470"/>
    <n v="720"/>
  </r>
  <r>
    <s v="ORD26040244"/>
    <x v="123"/>
    <s v="C0087"/>
    <s v="E007"/>
    <s v="P002"/>
    <n v="3"/>
    <n v="2200"/>
    <n v="0.15"/>
    <x v="1"/>
    <s v="Phone"/>
    <s v="Card"/>
    <n v="5610"/>
    <s v="Delhi"/>
    <n v="5610"/>
    <s v="Match"/>
    <x v="4"/>
    <x v="2"/>
    <s v="Pune"/>
    <s v="Sales Executive"/>
    <x v="8"/>
    <x v="0"/>
    <n v="2200"/>
    <n v="1450"/>
    <n v="0"/>
    <n v="-4350"/>
  </r>
  <r>
    <s v="ORD26030245"/>
    <x v="69"/>
    <s v="C0216"/>
    <s v="E005"/>
    <s v="P005"/>
    <n v="2"/>
    <n v="16800"/>
    <n v="0"/>
    <x v="0"/>
    <s v="Marketplace"/>
    <s v="Cash"/>
    <n v="33600"/>
    <s v="Mumbai"/>
    <n v="33600"/>
    <s v="Match"/>
    <x v="3"/>
    <x v="0"/>
    <s v="Kochi"/>
    <s v="Sales Executive"/>
    <x v="9"/>
    <x v="1"/>
    <n v="16800"/>
    <n v="12600"/>
    <n v="33600"/>
    <n v="8400"/>
  </r>
  <r>
    <s v="ORD26040246"/>
    <x v="59"/>
    <s v="C0235"/>
    <s v="E005"/>
    <s v="P004"/>
    <n v="3"/>
    <n v="11200"/>
    <n v="0.1"/>
    <x v="0"/>
    <s v="Direct"/>
    <s v="Card"/>
    <n v="30240"/>
    <s v="Hyderabad"/>
    <n v="30240"/>
    <s v="Match"/>
    <x v="3"/>
    <x v="0"/>
    <s v="Kochi"/>
    <s v="Sales Executive"/>
    <x v="1"/>
    <x v="1"/>
    <n v="11200"/>
    <n v="8300"/>
    <n v="30240"/>
    <n v="5340"/>
  </r>
  <r>
    <s v="ORD26010247"/>
    <x v="3"/>
    <s v="C0226"/>
    <s v="E007"/>
    <s v="P006"/>
    <n v="4"/>
    <n v="1400"/>
    <n v="0.1"/>
    <x v="0"/>
    <s v="Marketplace"/>
    <s v="Cash"/>
    <n v="5040"/>
    <s v="Indore"/>
    <n v="5040"/>
    <s v="Match"/>
    <x v="4"/>
    <x v="2"/>
    <s v="Pune"/>
    <s v="Sales Executive"/>
    <x v="4"/>
    <x v="0"/>
    <n v="1400"/>
    <n v="780"/>
    <n v="5040"/>
    <n v="1920"/>
  </r>
  <r>
    <s v="ORD26020248"/>
    <x v="126"/>
    <s v="C0091"/>
    <s v="E005"/>
    <s v="P006"/>
    <n v="3"/>
    <n v="1400"/>
    <n v="0.2"/>
    <x v="0"/>
    <s v="Phone"/>
    <s v="Bank Transfer"/>
    <n v="3360"/>
    <s v="Hyderabad"/>
    <n v="3360"/>
    <s v="Match"/>
    <x v="3"/>
    <x v="0"/>
    <s v="Kochi"/>
    <s v="Sales Executive"/>
    <x v="4"/>
    <x v="0"/>
    <n v="1400"/>
    <n v="780"/>
    <n v="3360"/>
    <n v="1020"/>
  </r>
  <r>
    <s v="ORD26060249"/>
    <x v="127"/>
    <s v="C0202"/>
    <s v="E011"/>
    <s v="P008"/>
    <n v="8"/>
    <n v="7800"/>
    <n v="0"/>
    <x v="0"/>
    <s v="Marketplace"/>
    <s v="Bank Transfer"/>
    <n v="62400"/>
    <s v="Indore"/>
    <n v="62400"/>
    <s v="Match"/>
    <x v="11"/>
    <x v="3"/>
    <s v="Lucknow"/>
    <s v="Sales Executive"/>
    <x v="6"/>
    <x v="3"/>
    <n v="7800"/>
    <n v="5200"/>
    <n v="62400"/>
    <n v="20800"/>
  </r>
  <r>
    <s v="ORD26020250"/>
    <x v="128"/>
    <s v="C0108"/>
    <s v="E010"/>
    <s v="P009"/>
    <n v="1"/>
    <n v="19425"/>
    <n v="0.15"/>
    <x v="0"/>
    <s v="Phone"/>
    <s v="Bank Transfer"/>
    <n v="16511.25"/>
    <s v="Mumbai"/>
    <n v="16511.25"/>
    <s v="Match"/>
    <x v="6"/>
    <x v="3"/>
    <s v="Jaipur"/>
    <s v="Sales Executive"/>
    <x v="5"/>
    <x v="3"/>
    <n v="18500"/>
    <n v="13900"/>
    <n v="16511.25"/>
    <n v="2611.25"/>
  </r>
  <r>
    <s v="ORD26040251"/>
    <x v="55"/>
    <s v="C0217"/>
    <s v="E011"/>
    <s v="P008"/>
    <n v="1"/>
    <n v="7800"/>
    <n v="0.05"/>
    <x v="0"/>
    <s v="Phone"/>
    <s v="Upi"/>
    <n v="7410"/>
    <s v="Kochi"/>
    <n v="7410"/>
    <s v="Match"/>
    <x v="11"/>
    <x v="3"/>
    <s v="Lucknow"/>
    <s v="Sales Executive"/>
    <x v="6"/>
    <x v="3"/>
    <n v="7800"/>
    <n v="5200"/>
    <n v="7410"/>
    <n v="2210"/>
  </r>
  <r>
    <s v="ORD26060252"/>
    <x v="65"/>
    <s v="C0019"/>
    <s v="E008"/>
    <s v="P010"/>
    <n v="2"/>
    <n v="3360"/>
    <n v="0.15"/>
    <x v="1"/>
    <s v="Marketplace"/>
    <s v="Credit"/>
    <n v="5712"/>
    <s v="Indore"/>
    <n v="5712"/>
    <s v="Match"/>
    <x v="8"/>
    <x v="2"/>
    <s v="Ahmedabad"/>
    <s v="Sales Executive"/>
    <x v="11"/>
    <x v="4"/>
    <n v="3200"/>
    <n v="2050"/>
    <n v="0"/>
    <n v="-4100"/>
  </r>
  <r>
    <s v="ORD26060253"/>
    <x v="0"/>
    <s v="C0086"/>
    <s v="E015"/>
    <s v="P002"/>
    <n v="1"/>
    <n v="2200"/>
    <n v="0"/>
    <x v="0"/>
    <s v="Direct"/>
    <s v="Credit"/>
    <n v="2200"/>
    <s v="Pune"/>
    <n v="2200"/>
    <s v="Match"/>
    <x v="9"/>
    <x v="4"/>
    <s v="Bhopal"/>
    <s v="Sales Executive"/>
    <x v="8"/>
    <x v="0"/>
    <n v="2200"/>
    <n v="1450"/>
    <n v="2200"/>
    <n v="750"/>
  </r>
  <r>
    <s v="ORD26030254"/>
    <x v="34"/>
    <s v="C0229"/>
    <s v="E013"/>
    <s v="P007"/>
    <n v="1"/>
    <n v="2600"/>
    <n v="0"/>
    <x v="0"/>
    <s v="Marketplace"/>
    <s v="Cash"/>
    <n v="2600"/>
    <s v="Kochi"/>
    <n v="2600"/>
    <s v="Match"/>
    <x v="2"/>
    <x v="1"/>
    <s v="Bhubaneswar"/>
    <s v="Sales Executive"/>
    <x v="10"/>
    <x v="0"/>
    <n v="2600"/>
    <n v="1750"/>
    <n v="2600"/>
    <n v="850"/>
  </r>
  <r>
    <s v="ORD26060255"/>
    <x v="129"/>
    <s v="C0054"/>
    <s v="E010"/>
    <s v="P012"/>
    <n v="2"/>
    <n v="50925"/>
    <n v="0.05"/>
    <x v="3"/>
    <s v="Marketplace"/>
    <s v="Cash"/>
    <n v="96757.5"/>
    <s v="Mumbai"/>
    <n v="96757.5"/>
    <s v="Match"/>
    <x v="6"/>
    <x v="3"/>
    <s v="Jaipur"/>
    <s v="Sales Executive"/>
    <x v="2"/>
    <x v="2"/>
    <n v="48500"/>
    <n v="41200"/>
    <n v="0"/>
    <n v="-82400"/>
  </r>
  <r>
    <s v="ORD26010256"/>
    <x v="27"/>
    <s v="C0248"/>
    <s v="E014"/>
    <s v="P012"/>
    <n v="1"/>
    <n v="48500"/>
    <n v="0.05"/>
    <x v="0"/>
    <s v="Marketplace"/>
    <s v="Cash"/>
    <n v="46075"/>
    <s v="Mumbai"/>
    <n v="46075"/>
    <s v="Match"/>
    <x v="10"/>
    <x v="4"/>
    <s v="Indore"/>
    <s v="Sales Executive"/>
    <x v="2"/>
    <x v="2"/>
    <n v="48500"/>
    <n v="41200"/>
    <n v="46075"/>
    <n v="4875"/>
  </r>
  <r>
    <s v="ORD26040257"/>
    <x v="95"/>
    <s v="C0012"/>
    <s v="E012"/>
    <s v="P012"/>
    <n v="2"/>
    <n v="46075"/>
    <n v="0"/>
    <x v="0"/>
    <s v="Marketplace"/>
    <s v="Upi"/>
    <n v="92150"/>
    <s v="Delhi"/>
    <n v="92150"/>
    <s v="Match"/>
    <x v="12"/>
    <x v="1"/>
    <s v="Kolkata"/>
    <s v="Sales Executive"/>
    <x v="2"/>
    <x v="2"/>
    <n v="48500"/>
    <n v="41200"/>
    <n v="92150"/>
    <n v="9750"/>
  </r>
  <r>
    <s v="ORD26030258"/>
    <x v="108"/>
    <s v="C0119"/>
    <s v="E009"/>
    <s v="P003"/>
    <n v="3"/>
    <n v="1890"/>
    <n v="0.05"/>
    <x v="0"/>
    <s v="Phone"/>
    <s v="Card"/>
    <n v="5386.5"/>
    <s v="Delhi"/>
    <n v="5386.5"/>
    <s v="Match"/>
    <x v="13"/>
    <x v="3"/>
    <s v="Delhi"/>
    <s v="Sales Executive"/>
    <x v="3"/>
    <x v="0"/>
    <n v="1800"/>
    <n v="1120"/>
    <n v="5386.5"/>
    <n v="2026.5"/>
  </r>
  <r>
    <s v="ORD26060259"/>
    <x v="0"/>
    <s v="C0231"/>
    <s v="E011"/>
    <s v="Unknown"/>
    <n v="2"/>
    <n v="2600"/>
    <n v="0.2"/>
    <x v="0"/>
    <s v="Phone"/>
    <s v="Cash"/>
    <n v="4160"/>
    <s v="Chennai"/>
    <n v="4160"/>
    <s v="Match"/>
    <x v="11"/>
    <x v="3"/>
    <s v="Lucknow"/>
    <s v="Sales Executive"/>
    <x v="12"/>
    <x v="5"/>
    <m/>
    <m/>
    <n v="4160"/>
    <n v="4160"/>
  </r>
  <r>
    <s v="ORD26060260"/>
    <x v="89"/>
    <s v="C0053"/>
    <s v="E004"/>
    <s v="P004"/>
    <n v="1"/>
    <n v="10640"/>
    <n v="0.2"/>
    <x v="0"/>
    <s v="Website"/>
    <s v="Bank Transfer"/>
    <n v="8512"/>
    <s v="Kolkata"/>
    <n v="8512"/>
    <s v="Match"/>
    <x v="1"/>
    <x v="0"/>
    <s v="Coimbatore"/>
    <s v="Sales Executive"/>
    <x v="1"/>
    <x v="1"/>
    <n v="11200"/>
    <n v="8300"/>
    <n v="8512"/>
    <n v="212"/>
  </r>
  <r>
    <s v="ORD26020261"/>
    <x v="40"/>
    <s v="C0199"/>
    <s v="E008"/>
    <s v="P002"/>
    <n v="1"/>
    <n v="2200"/>
    <n v="0.1"/>
    <x v="0"/>
    <s v="Phone"/>
    <s v="Credit"/>
    <n v="1980"/>
    <s v="Mumbai"/>
    <n v="1980"/>
    <s v="Match"/>
    <x v="8"/>
    <x v="2"/>
    <s v="Ahmedabad"/>
    <s v="Sales Executive"/>
    <x v="8"/>
    <x v="0"/>
    <n v="2200"/>
    <n v="1450"/>
    <n v="1980"/>
    <n v="530"/>
  </r>
  <r>
    <s v="ORD26030262"/>
    <x v="130"/>
    <s v="C0044"/>
    <s v="E006"/>
    <s v="P008"/>
    <n v="3"/>
    <n v="7800"/>
    <n v="0.2"/>
    <x v="0"/>
    <s v="Website"/>
    <s v="Bank Transfer"/>
    <n v="18720"/>
    <s v="Mumbai"/>
    <n v="18720"/>
    <s v="Match"/>
    <x v="5"/>
    <x v="2"/>
    <s v="Mumbai"/>
    <s v="Sales Executive"/>
    <x v="6"/>
    <x v="3"/>
    <n v="7800"/>
    <n v="5200"/>
    <n v="18720"/>
    <n v="3120"/>
  </r>
  <r>
    <s v="ORD26030263"/>
    <x v="103"/>
    <s v="C0215"/>
    <s v="E005"/>
    <s v="P002"/>
    <n v="1"/>
    <n v="2310"/>
    <n v="0.2"/>
    <x v="0"/>
    <s v="Website"/>
    <s v="Credit"/>
    <n v="1848"/>
    <s v="Pune"/>
    <n v="1848"/>
    <s v="Match"/>
    <x v="3"/>
    <x v="0"/>
    <s v="Kochi"/>
    <s v="Sales Executive"/>
    <x v="8"/>
    <x v="0"/>
    <n v="2200"/>
    <n v="1450"/>
    <n v="1848"/>
    <n v="398"/>
  </r>
  <r>
    <s v="ORD26040264"/>
    <x v="131"/>
    <s v="C0086"/>
    <s v="E003"/>
    <s v="P008"/>
    <n v="3"/>
    <n v="7800"/>
    <n v="0.2"/>
    <x v="1"/>
    <s v="Marketplace"/>
    <s v="Bank Transfer"/>
    <n v="18720"/>
    <s v="Delhi"/>
    <n v="18720"/>
    <s v="Match"/>
    <x v="7"/>
    <x v="0"/>
    <s v="Hyderabad"/>
    <s v="Sales Executive"/>
    <x v="6"/>
    <x v="3"/>
    <n v="7800"/>
    <n v="5200"/>
    <n v="0"/>
    <n v="-15600"/>
  </r>
  <r>
    <s v="ORD26020265"/>
    <x v="117"/>
    <s v="C0070"/>
    <s v="E006"/>
    <s v="P008"/>
    <n v="3"/>
    <n v="8190"/>
    <n v="0.05"/>
    <x v="1"/>
    <s v="Website"/>
    <s v="Cash"/>
    <n v="23341.5"/>
    <s v="Jaipur"/>
    <n v="23341.5"/>
    <s v="Match"/>
    <x v="5"/>
    <x v="2"/>
    <s v="Mumbai"/>
    <s v="Sales Executive"/>
    <x v="6"/>
    <x v="3"/>
    <n v="7800"/>
    <n v="5200"/>
    <n v="0"/>
    <n v="-15600"/>
  </r>
  <r>
    <s v="ORD26050266"/>
    <x v="99"/>
    <s v="C0251"/>
    <s v="E011"/>
    <s v="P008"/>
    <n v="2"/>
    <n v="8190"/>
    <n v="0.1"/>
    <x v="0"/>
    <s v="Website"/>
    <s v="Upi"/>
    <n v="14742"/>
    <s v="Indore"/>
    <n v="14742"/>
    <s v="Match"/>
    <x v="11"/>
    <x v="3"/>
    <s v="Lucknow"/>
    <s v="Sales Executive"/>
    <x v="6"/>
    <x v="3"/>
    <n v="7800"/>
    <n v="5200"/>
    <n v="14742"/>
    <n v="4342"/>
  </r>
  <r>
    <s v="ORD26010267"/>
    <x v="132"/>
    <s v="C0087"/>
    <s v="E013"/>
    <s v="P004"/>
    <n v="1"/>
    <n v="11200"/>
    <n v="0.05"/>
    <x v="0"/>
    <s v="Phone"/>
    <s v="Credit"/>
    <n v="10640"/>
    <s v="Kochi"/>
    <n v="10640"/>
    <s v="Match"/>
    <x v="2"/>
    <x v="1"/>
    <s v="Bhubaneswar"/>
    <s v="Sales Executive"/>
    <x v="1"/>
    <x v="1"/>
    <n v="11200"/>
    <n v="8300"/>
    <n v="10640"/>
    <n v="2340"/>
  </r>
  <r>
    <s v="ORD26050268"/>
    <x v="133"/>
    <s v="C0022"/>
    <s v="E009"/>
    <s v="P002"/>
    <n v="3"/>
    <n v="2200"/>
    <n v="0.05"/>
    <x v="0"/>
    <s v="Phone"/>
    <s v="Credit"/>
    <n v="6270"/>
    <s v="Bengaluru"/>
    <n v="6270"/>
    <s v="Match"/>
    <x v="13"/>
    <x v="3"/>
    <s v="Delhi"/>
    <s v="Sales Executive"/>
    <x v="8"/>
    <x v="0"/>
    <n v="2200"/>
    <n v="1450"/>
    <n v="6270"/>
    <n v="1920"/>
  </r>
  <r>
    <s v="ORD26040269"/>
    <x v="131"/>
    <s v="C0231"/>
    <s v="E002"/>
    <s v="P012"/>
    <n v="4"/>
    <n v="46075"/>
    <n v="0"/>
    <x v="0"/>
    <s v="Marketplace"/>
    <s v="Bank Transfer"/>
    <n v="184300"/>
    <s v="Mumbai"/>
    <n v="184300"/>
    <s v="Match"/>
    <x v="0"/>
    <x v="0"/>
    <s v="Bengaluru"/>
    <s v="Sales Executive"/>
    <x v="2"/>
    <x v="2"/>
    <n v="48500"/>
    <n v="41200"/>
    <n v="184300"/>
    <n v="19500"/>
  </r>
  <r>
    <s v="ORD26040270"/>
    <x v="95"/>
    <s v="C0220"/>
    <s v="E014"/>
    <s v="P002"/>
    <n v="4"/>
    <n v="2200"/>
    <n v="0"/>
    <x v="0"/>
    <s v="Website"/>
    <s v="Credit"/>
    <n v="8800"/>
    <s v="Delhi"/>
    <n v="8800"/>
    <s v="Match"/>
    <x v="10"/>
    <x v="4"/>
    <s v="Indore"/>
    <s v="Sales Executive"/>
    <x v="8"/>
    <x v="0"/>
    <n v="2200"/>
    <n v="1450"/>
    <n v="8800"/>
    <n v="3000"/>
  </r>
  <r>
    <s v="ORD26020271"/>
    <x v="134"/>
    <s v="C0087"/>
    <s v="E014"/>
    <s v="P004"/>
    <n v="4"/>
    <n v="11200"/>
    <n v="0.15"/>
    <x v="0"/>
    <s v="Marketplace"/>
    <s v="Bank Transfer"/>
    <n v="38080"/>
    <s v="Hyderabad"/>
    <n v="38080"/>
    <s v="Match"/>
    <x v="10"/>
    <x v="4"/>
    <s v="Indore"/>
    <s v="Sales Executive"/>
    <x v="1"/>
    <x v="1"/>
    <n v="11200"/>
    <n v="8300"/>
    <n v="38080"/>
    <n v="4880"/>
  </r>
  <r>
    <s v="ORD26050272"/>
    <x v="135"/>
    <s v="C0211"/>
    <s v="E005"/>
    <s v="P009"/>
    <n v="10"/>
    <n v="18500"/>
    <n v="0.2"/>
    <x v="0"/>
    <s v="Direct"/>
    <s v="Bank Transfer"/>
    <n v="148000"/>
    <s v="Delhi"/>
    <n v="148000"/>
    <s v="Match"/>
    <x v="3"/>
    <x v="0"/>
    <s v="Kochi"/>
    <s v="Sales Executive"/>
    <x v="5"/>
    <x v="3"/>
    <n v="18500"/>
    <n v="13900"/>
    <n v="148000"/>
    <n v="9000"/>
  </r>
  <r>
    <s v="ORD26060273"/>
    <x v="86"/>
    <s v="C0202"/>
    <s v="E014"/>
    <s v="P003"/>
    <n v="1"/>
    <n v="1800"/>
    <n v="0.2"/>
    <x v="0"/>
    <s v="Phone"/>
    <s v="Card"/>
    <n v="1440"/>
    <s v="Indore"/>
    <n v="1440"/>
    <s v="Match"/>
    <x v="10"/>
    <x v="4"/>
    <s v="Indore"/>
    <s v="Sales Executive"/>
    <x v="3"/>
    <x v="0"/>
    <n v="1800"/>
    <n v="1120"/>
    <n v="1440"/>
    <n v="320"/>
  </r>
  <r>
    <s v="ORD26060274"/>
    <x v="136"/>
    <s v="C0207"/>
    <s v="E005"/>
    <s v="P011"/>
    <n v="2"/>
    <n v="2280"/>
    <n v="0.1"/>
    <x v="0"/>
    <s v="Marketplace"/>
    <s v="Bank Transfer"/>
    <n v="4104"/>
    <s v="Kochi"/>
    <n v="4104"/>
    <s v="Match"/>
    <x v="3"/>
    <x v="0"/>
    <s v="Kochi"/>
    <s v="Sales Executive"/>
    <x v="7"/>
    <x v="4"/>
    <n v="2400"/>
    <n v="1480"/>
    <n v="4104"/>
    <n v="1144"/>
  </r>
  <r>
    <s v="ORD26050275"/>
    <x v="137"/>
    <s v="C0184"/>
    <s v="E006"/>
    <s v="P010"/>
    <n v="1"/>
    <n v="3360"/>
    <n v="0.2"/>
    <x v="0"/>
    <s v="Direct"/>
    <s v="Credit"/>
    <n v="2688"/>
    <s v="Pune"/>
    <n v="2688"/>
    <s v="Match"/>
    <x v="5"/>
    <x v="2"/>
    <s v="Mumbai"/>
    <s v="Sales Executive"/>
    <x v="11"/>
    <x v="4"/>
    <n v="3200"/>
    <n v="2050"/>
    <n v="2688"/>
    <n v="638"/>
  </r>
  <r>
    <s v="ORD26020276"/>
    <x v="125"/>
    <s v="C0067"/>
    <s v="E007"/>
    <s v="P004"/>
    <n v="2"/>
    <n v="11200"/>
    <n v="0.05"/>
    <x v="0"/>
    <s v="Phone"/>
    <s v="Bank Transfer"/>
    <n v="21280"/>
    <s v="Chennai"/>
    <n v="21280"/>
    <s v="Match"/>
    <x v="4"/>
    <x v="2"/>
    <s v="Pune"/>
    <s v="Sales Executive"/>
    <x v="1"/>
    <x v="1"/>
    <n v="11200"/>
    <n v="8300"/>
    <n v="21280"/>
    <n v="4680"/>
  </r>
  <r>
    <s v="ORD26010277"/>
    <x v="138"/>
    <s v="C0226"/>
    <s v="E002"/>
    <s v="P011"/>
    <n v="4"/>
    <n v="2400"/>
    <n v="0.1"/>
    <x v="0"/>
    <s v="Phone"/>
    <s v="Upi"/>
    <n v="8640"/>
    <s v="Pune"/>
    <n v="8640"/>
    <s v="Match"/>
    <x v="0"/>
    <x v="0"/>
    <s v="Bengaluru"/>
    <s v="Sales Executive"/>
    <x v="7"/>
    <x v="4"/>
    <n v="2400"/>
    <n v="1480"/>
    <n v="8640"/>
    <n v="2720"/>
  </r>
  <r>
    <s v="ORD26020278"/>
    <x v="128"/>
    <s v="C0048"/>
    <s v="E012"/>
    <s v="P003"/>
    <n v="5"/>
    <n v="1800"/>
    <n v="0.05"/>
    <x v="0"/>
    <s v="Marketplace"/>
    <s v="Bank Transfer"/>
    <n v="8550"/>
    <s v="Mumbai"/>
    <n v="8550"/>
    <s v="Match"/>
    <x v="12"/>
    <x v="1"/>
    <s v="Kolkata"/>
    <s v="Sales Executive"/>
    <x v="3"/>
    <x v="0"/>
    <n v="1800"/>
    <n v="1120"/>
    <n v="8550"/>
    <n v="2950"/>
  </r>
  <r>
    <s v="ORD26040279"/>
    <x v="122"/>
    <s v="C0220"/>
    <s v="E011"/>
    <s v="P011"/>
    <n v="1"/>
    <n v="2400"/>
    <n v="0.1"/>
    <x v="0"/>
    <s v="Direct"/>
    <s v="Upi"/>
    <n v="2160"/>
    <s v="Chennai"/>
    <n v="2160"/>
    <s v="Match"/>
    <x v="11"/>
    <x v="3"/>
    <s v="Lucknow"/>
    <s v="Sales Executive"/>
    <x v="7"/>
    <x v="4"/>
    <n v="2400"/>
    <n v="1480"/>
    <n v="2160"/>
    <n v="680"/>
  </r>
  <r>
    <s v="ORD26020280"/>
    <x v="139"/>
    <s v="C0005"/>
    <s v="E008"/>
    <s v="P002"/>
    <n v="1"/>
    <n v="2310"/>
    <n v="0"/>
    <x v="0"/>
    <s v="Direct"/>
    <s v="Bank Transfer"/>
    <n v="2310"/>
    <s v="Mumbai"/>
    <n v="2310"/>
    <s v="Match"/>
    <x v="8"/>
    <x v="2"/>
    <s v="Ahmedabad"/>
    <s v="Sales Executive"/>
    <x v="8"/>
    <x v="0"/>
    <n v="2200"/>
    <n v="1450"/>
    <n v="2310"/>
    <n v="860"/>
  </r>
  <r>
    <s v="ORD26040281"/>
    <x v="131"/>
    <s v="C0053"/>
    <s v="E012"/>
    <s v="P003"/>
    <n v="2"/>
    <n v="1710"/>
    <n v="0"/>
    <x v="0"/>
    <s v="Marketplace"/>
    <s v="Bank Transfer"/>
    <n v="3420"/>
    <s v="Hyderabad"/>
    <n v="3420"/>
    <s v="Match"/>
    <x v="12"/>
    <x v="1"/>
    <s v="Kolkata"/>
    <s v="Sales Executive"/>
    <x v="3"/>
    <x v="0"/>
    <n v="1800"/>
    <n v="1120"/>
    <n v="3420"/>
    <n v="1180"/>
  </r>
  <r>
    <s v="ORD26020282"/>
    <x v="88"/>
    <s v="C0085"/>
    <s v="E007"/>
    <s v="P003"/>
    <n v="3"/>
    <n v="1710"/>
    <n v="0.2"/>
    <x v="0"/>
    <s v="Phone"/>
    <s v="Bank Transfer"/>
    <n v="4104"/>
    <s v="Bengaluru"/>
    <n v="4104"/>
    <s v="Match"/>
    <x v="4"/>
    <x v="2"/>
    <s v="Pune"/>
    <s v="Sales Executive"/>
    <x v="3"/>
    <x v="0"/>
    <n v="1800"/>
    <n v="1120"/>
    <n v="4104"/>
    <n v="744"/>
  </r>
  <r>
    <s v="ORD26060283"/>
    <x v="9"/>
    <s v="C0045"/>
    <s v="E012"/>
    <s v="P003"/>
    <n v="5"/>
    <n v="1800"/>
    <n v="0.15"/>
    <x v="0"/>
    <s v="Direct"/>
    <s v="Card"/>
    <n v="7650"/>
    <s v="Mumbai"/>
    <n v="7650"/>
    <s v="Match"/>
    <x v="12"/>
    <x v="1"/>
    <s v="Kolkata"/>
    <s v="Sales Executive"/>
    <x v="3"/>
    <x v="0"/>
    <n v="1800"/>
    <n v="1120"/>
    <n v="7650"/>
    <n v="2050"/>
  </r>
  <r>
    <s v="ORD26050284"/>
    <x v="62"/>
    <s v="C0127"/>
    <s v="E012"/>
    <s v="P007"/>
    <n v="2"/>
    <n v="2600"/>
    <n v="0.1"/>
    <x v="0"/>
    <s v="Marketplace"/>
    <s v="Upi"/>
    <n v="4680"/>
    <s v="Bengaluru"/>
    <n v="4680"/>
    <s v="Match"/>
    <x v="12"/>
    <x v="1"/>
    <s v="Kolkata"/>
    <s v="Sales Executive"/>
    <x v="10"/>
    <x v="0"/>
    <n v="2600"/>
    <n v="1750"/>
    <n v="4680"/>
    <n v="1180"/>
  </r>
  <r>
    <s v="ORD26050285"/>
    <x v="38"/>
    <s v="C0155"/>
    <s v="E010"/>
    <s v="P010"/>
    <n v="3"/>
    <n v="3040"/>
    <n v="0.05"/>
    <x v="0"/>
    <s v="Website"/>
    <s v="Credit"/>
    <n v="8664"/>
    <s v="Indore"/>
    <n v="8664"/>
    <s v="Match"/>
    <x v="6"/>
    <x v="3"/>
    <s v="Jaipur"/>
    <s v="Sales Executive"/>
    <x v="11"/>
    <x v="4"/>
    <n v="3200"/>
    <n v="2050"/>
    <n v="8664"/>
    <n v="2514"/>
  </r>
  <r>
    <s v="ORD26050286"/>
    <x v="12"/>
    <s v="C0254"/>
    <s v="E004"/>
    <s v="P012"/>
    <n v="2"/>
    <n v="48500"/>
    <n v="0.2"/>
    <x v="0"/>
    <s v="Phone"/>
    <s v="Upi"/>
    <n v="77600"/>
    <s v="Bengaluru"/>
    <n v="77600"/>
    <s v="Match"/>
    <x v="1"/>
    <x v="0"/>
    <s v="Coimbatore"/>
    <s v="Sales Executive"/>
    <x v="2"/>
    <x v="2"/>
    <n v="48500"/>
    <n v="41200"/>
    <n v="77600"/>
    <n v="-4800"/>
  </r>
  <r>
    <s v="ORD26050287"/>
    <x v="140"/>
    <s v="C0068"/>
    <s v="E011"/>
    <s v="P010"/>
    <n v="1"/>
    <n v="3200"/>
    <n v="0"/>
    <x v="3"/>
    <s v="Phone"/>
    <s v="Credit"/>
    <n v="3200"/>
    <s v="Pune"/>
    <n v="3200"/>
    <s v="Match"/>
    <x v="11"/>
    <x v="3"/>
    <s v="Lucknow"/>
    <s v="Sales Executive"/>
    <x v="11"/>
    <x v="4"/>
    <n v="3200"/>
    <n v="2050"/>
    <n v="0"/>
    <n v="-2050"/>
  </r>
  <r>
    <s v="ORD26040288"/>
    <x v="141"/>
    <s v="C0009"/>
    <s v="E009"/>
    <s v="P011"/>
    <n v="1"/>
    <n v="2280"/>
    <n v="0.1"/>
    <x v="1"/>
    <s v="Direct"/>
    <s v="Upi"/>
    <n v="2052"/>
    <s v="Hyderabad"/>
    <n v="2052"/>
    <s v="Match"/>
    <x v="13"/>
    <x v="3"/>
    <s v="Delhi"/>
    <s v="Sales Executive"/>
    <x v="7"/>
    <x v="4"/>
    <n v="2400"/>
    <n v="1480"/>
    <n v="0"/>
    <n v="-1480"/>
  </r>
  <r>
    <s v="ORD26020289"/>
    <x v="125"/>
    <s v="C0217"/>
    <s v="E001"/>
    <s v="P001"/>
    <n v="8"/>
    <n v="682.5"/>
    <n v="0.1"/>
    <x v="0"/>
    <s v="Phone"/>
    <s v="Upi"/>
    <n v="4914"/>
    <s v="Jaipur"/>
    <n v="4914"/>
    <s v="Match"/>
    <x v="14"/>
    <x v="0"/>
    <s v="Chennai"/>
    <s v="Sales Executive"/>
    <x v="0"/>
    <x v="0"/>
    <n v="650"/>
    <n v="390"/>
    <n v="4914"/>
    <n v="1794"/>
  </r>
  <r>
    <s v="ORD26050290"/>
    <x v="18"/>
    <s v="C0080"/>
    <s v="E010"/>
    <s v="P003"/>
    <n v="1"/>
    <n v="1800"/>
    <n v="0.05"/>
    <x v="0"/>
    <s v="Marketplace"/>
    <s v="Cash"/>
    <n v="1710"/>
    <s v="Indore"/>
    <n v="1710"/>
    <s v="Match"/>
    <x v="6"/>
    <x v="3"/>
    <s v="Jaipur"/>
    <s v="Sales Executive"/>
    <x v="3"/>
    <x v="0"/>
    <n v="1800"/>
    <n v="1120"/>
    <n v="1710"/>
    <n v="590"/>
  </r>
  <r>
    <s v="ORD26060291"/>
    <x v="10"/>
    <s v="C0123"/>
    <s v="E013"/>
    <s v="P011"/>
    <n v="3"/>
    <n v="2520"/>
    <n v="0"/>
    <x v="0"/>
    <s v="Direct"/>
    <s v="Card"/>
    <n v="7560"/>
    <s v="Mumbai"/>
    <n v="7560"/>
    <s v="Match"/>
    <x v="2"/>
    <x v="1"/>
    <s v="Bhubaneswar"/>
    <s v="Sales Executive"/>
    <x v="7"/>
    <x v="4"/>
    <n v="2400"/>
    <n v="1480"/>
    <n v="7560"/>
    <n v="3120"/>
  </r>
  <r>
    <s v="ORD26040292"/>
    <x v="91"/>
    <s v="C0062"/>
    <s v="E002"/>
    <s v="P008"/>
    <n v="3"/>
    <n v="7800"/>
    <n v="0"/>
    <x v="0"/>
    <s v="Direct"/>
    <s v="Card"/>
    <n v="23400"/>
    <s v="Chennai"/>
    <n v="23400"/>
    <s v="Match"/>
    <x v="0"/>
    <x v="0"/>
    <s v="Bengaluru"/>
    <s v="Sales Executive"/>
    <x v="6"/>
    <x v="3"/>
    <n v="7800"/>
    <n v="5200"/>
    <n v="23400"/>
    <n v="7800"/>
  </r>
  <r>
    <s v="ORD26020293"/>
    <x v="29"/>
    <s v="C0065"/>
    <s v="E008"/>
    <s v="P006"/>
    <n v="2"/>
    <n v="1400"/>
    <n v="0.2"/>
    <x v="0"/>
    <s v="Marketplace"/>
    <s v="Upi"/>
    <n v="2240"/>
    <s v="Chennai"/>
    <n v="2240"/>
    <s v="Match"/>
    <x v="8"/>
    <x v="2"/>
    <s v="Ahmedabad"/>
    <s v="Sales Executive"/>
    <x v="4"/>
    <x v="0"/>
    <n v="1400"/>
    <n v="780"/>
    <n v="2240"/>
    <n v="680"/>
  </r>
  <r>
    <s v="ORD26030294"/>
    <x v="96"/>
    <s v="C0255"/>
    <s v="E013"/>
    <s v="P007"/>
    <n v="1"/>
    <n v="2470"/>
    <n v="0"/>
    <x v="0"/>
    <s v="Phone"/>
    <s v="Credit"/>
    <n v="2470"/>
    <s v="Kolkata"/>
    <n v="2470"/>
    <s v="Match"/>
    <x v="2"/>
    <x v="1"/>
    <s v="Bhubaneswar"/>
    <s v="Sales Executive"/>
    <x v="10"/>
    <x v="0"/>
    <n v="2600"/>
    <n v="1750"/>
    <n v="2470"/>
    <n v="720"/>
  </r>
  <r>
    <s v="ORD26010295"/>
    <x v="21"/>
    <s v="C0060"/>
    <s v="E008"/>
    <s v="P010"/>
    <n v="1"/>
    <n v="3040"/>
    <n v="0"/>
    <x v="0"/>
    <s v="Website"/>
    <s v="Credit"/>
    <n v="3040"/>
    <s v="Chennai"/>
    <n v="3040"/>
    <s v="Match"/>
    <x v="8"/>
    <x v="2"/>
    <s v="Ahmedabad"/>
    <s v="Sales Executive"/>
    <x v="11"/>
    <x v="4"/>
    <n v="3200"/>
    <n v="2050"/>
    <n v="3040"/>
    <n v="990"/>
  </r>
  <r>
    <s v="ORD26010296"/>
    <x v="138"/>
    <s v="C0092"/>
    <s v="E014"/>
    <s v="P001"/>
    <n v="1"/>
    <n v="650"/>
    <n v="0.1"/>
    <x v="0"/>
    <s v="Direct"/>
    <s v="Credit"/>
    <n v="585"/>
    <s v="Pune"/>
    <n v="585"/>
    <s v="Match"/>
    <x v="10"/>
    <x v="4"/>
    <s v="Indore"/>
    <s v="Sales Executive"/>
    <x v="0"/>
    <x v="0"/>
    <n v="650"/>
    <n v="390"/>
    <n v="585"/>
    <n v="195"/>
  </r>
  <r>
    <s v="ORD26020297"/>
    <x v="142"/>
    <s v="C0191"/>
    <s v="E006"/>
    <s v="Unknown"/>
    <n v="2"/>
    <n v="10640"/>
    <n v="0.2"/>
    <x v="0"/>
    <s v="Direct"/>
    <s v="Credit"/>
    <n v="17024"/>
    <s v="Chennai"/>
    <n v="17024"/>
    <s v="Match"/>
    <x v="5"/>
    <x v="2"/>
    <s v="Mumbai"/>
    <s v="Sales Executive"/>
    <x v="12"/>
    <x v="5"/>
    <m/>
    <m/>
    <n v="17024"/>
    <n v="17024"/>
  </r>
  <r>
    <s v="ORD26020298"/>
    <x v="35"/>
    <s v="C0145"/>
    <s v="E004"/>
    <s v="P009"/>
    <n v="10"/>
    <n v="19425"/>
    <n v="0.1"/>
    <x v="0"/>
    <s v="Marketplace"/>
    <s v="Bank Transfer"/>
    <n v="174825"/>
    <s v="Mumbai"/>
    <n v="174825"/>
    <s v="Match"/>
    <x v="1"/>
    <x v="0"/>
    <s v="Coimbatore"/>
    <s v="Sales Executive"/>
    <x v="5"/>
    <x v="3"/>
    <n v="18500"/>
    <n v="13900"/>
    <n v="174825"/>
    <n v="35825"/>
  </r>
  <r>
    <s v="ORD26050299"/>
    <x v="38"/>
    <s v="C0125"/>
    <s v="E008"/>
    <s v="P001"/>
    <n v="2"/>
    <n v="650"/>
    <n v="0.05"/>
    <x v="0"/>
    <s v="Phone"/>
    <s v="Bank Transfer"/>
    <n v="1235"/>
    <s v="Indore"/>
    <n v="1235"/>
    <s v="Match"/>
    <x v="8"/>
    <x v="2"/>
    <s v="Ahmedabad"/>
    <s v="Sales Executive"/>
    <x v="0"/>
    <x v="0"/>
    <n v="650"/>
    <n v="390"/>
    <n v="1235"/>
    <n v="455"/>
  </r>
  <r>
    <s v="ORD26050300"/>
    <x v="143"/>
    <s v="C0078"/>
    <s v="E013"/>
    <s v="P004"/>
    <n v="4"/>
    <n v="11200"/>
    <n v="0.15"/>
    <x v="0"/>
    <s v="Direct"/>
    <s v="Cash"/>
    <n v="38080"/>
    <s v="Chennai"/>
    <n v="38080"/>
    <s v="Match"/>
    <x v="2"/>
    <x v="1"/>
    <s v="Bhubaneswar"/>
    <s v="Sales Executive"/>
    <x v="1"/>
    <x v="1"/>
    <n v="11200"/>
    <n v="8300"/>
    <n v="38080"/>
    <n v="4880"/>
  </r>
  <r>
    <s v="ORD26030301"/>
    <x v="80"/>
    <s v="C0001"/>
    <s v="E009"/>
    <s v="P006"/>
    <n v="3"/>
    <n v="1400"/>
    <n v="0.2"/>
    <x v="2"/>
    <s v="Phone"/>
    <s v="Bank Transfer"/>
    <n v="3360"/>
    <s v="Unknown"/>
    <n v="3360"/>
    <s v="Match"/>
    <x v="13"/>
    <x v="3"/>
    <s v="Delhi"/>
    <s v="Sales Executive"/>
    <x v="4"/>
    <x v="0"/>
    <n v="1400"/>
    <n v="780"/>
    <n v="0"/>
    <n v="-2340"/>
  </r>
  <r>
    <s v="ORD26020302"/>
    <x v="134"/>
    <s v="C0144"/>
    <s v="E009"/>
    <s v="P004"/>
    <n v="2"/>
    <n v="11200"/>
    <n v="0"/>
    <x v="3"/>
    <s v="Direct"/>
    <s v="Upi"/>
    <n v="22400"/>
    <s v="Bengaluru"/>
    <n v="22400"/>
    <s v="Match"/>
    <x v="13"/>
    <x v="3"/>
    <s v="Delhi"/>
    <s v="Sales Executive"/>
    <x v="1"/>
    <x v="1"/>
    <n v="11200"/>
    <n v="8300"/>
    <n v="0"/>
    <n v="-16600"/>
  </r>
  <r>
    <s v="ORD26050303"/>
    <x v="144"/>
    <s v="C0049"/>
    <s v="E007"/>
    <s v="P012"/>
    <n v="5"/>
    <n v="46075"/>
    <n v="0.1"/>
    <x v="3"/>
    <s v="Website"/>
    <s v="Cash"/>
    <n v="207337.5"/>
    <s v="Mumbai"/>
    <n v="207337.5"/>
    <s v="Match"/>
    <x v="4"/>
    <x v="2"/>
    <s v="Pune"/>
    <s v="Sales Executive"/>
    <x v="2"/>
    <x v="2"/>
    <n v="48500"/>
    <n v="41200"/>
    <n v="0"/>
    <n v="-206000"/>
  </r>
  <r>
    <s v="ORD26060304"/>
    <x v="73"/>
    <s v="C0162"/>
    <s v="E010"/>
    <s v="P001"/>
    <n v="2"/>
    <n v="650"/>
    <n v="0"/>
    <x v="0"/>
    <s v="Phone"/>
    <s v="Bank Transfer"/>
    <n v="1300"/>
    <s v="Kolkata"/>
    <n v="1300"/>
    <s v="Match"/>
    <x v="6"/>
    <x v="3"/>
    <s v="Jaipur"/>
    <s v="Sales Executive"/>
    <x v="0"/>
    <x v="0"/>
    <n v="650"/>
    <n v="390"/>
    <n v="1300"/>
    <n v="520"/>
  </r>
  <r>
    <s v="ORD26040305"/>
    <x v="93"/>
    <s v="C0080"/>
    <s v="E005"/>
    <s v="P004"/>
    <n v="1"/>
    <n v="10640"/>
    <n v="0"/>
    <x v="0"/>
    <s v="Direct"/>
    <s v="Card"/>
    <n v="10640"/>
    <s v="Kochi"/>
    <n v="10640"/>
    <s v="Match"/>
    <x v="3"/>
    <x v="0"/>
    <s v="Kochi"/>
    <s v="Sales Executive"/>
    <x v="1"/>
    <x v="1"/>
    <n v="11200"/>
    <n v="8300"/>
    <n v="10640"/>
    <n v="2340"/>
  </r>
  <r>
    <s v="ORD26040306"/>
    <x v="77"/>
    <s v="C0232"/>
    <s v="E006"/>
    <s v="P007"/>
    <n v="1"/>
    <n v="2600"/>
    <n v="0.05"/>
    <x v="3"/>
    <s v="Marketplace"/>
    <s v="Cash"/>
    <n v="2470"/>
    <s v="Hyderabad"/>
    <n v="2470"/>
    <s v="Match"/>
    <x v="5"/>
    <x v="2"/>
    <s v="Mumbai"/>
    <s v="Sales Executive"/>
    <x v="10"/>
    <x v="0"/>
    <n v="2600"/>
    <n v="1750"/>
    <n v="0"/>
    <n v="-1750"/>
  </r>
  <r>
    <s v="ORD26010307"/>
    <x v="145"/>
    <s v="C0111"/>
    <s v="E002"/>
    <s v="P003"/>
    <n v="4"/>
    <n v="1710"/>
    <n v="0.05"/>
    <x v="0"/>
    <s v="Marketplace"/>
    <s v="Card"/>
    <n v="6498"/>
    <s v="Mumbai"/>
    <n v="6498"/>
    <s v="Match"/>
    <x v="0"/>
    <x v="0"/>
    <s v="Bengaluru"/>
    <s v="Sales Executive"/>
    <x v="3"/>
    <x v="0"/>
    <n v="1800"/>
    <n v="1120"/>
    <n v="6498"/>
    <n v="2018"/>
  </r>
  <r>
    <s v="ORD26030308"/>
    <x v="118"/>
    <s v="C0016"/>
    <s v="E006"/>
    <s v="P007"/>
    <n v="2"/>
    <n v="2600"/>
    <n v="0.2"/>
    <x v="0"/>
    <s v="Phone"/>
    <s v="Card"/>
    <n v="4160"/>
    <s v="Jaipur"/>
    <n v="4160"/>
    <s v="Match"/>
    <x v="5"/>
    <x v="2"/>
    <s v="Mumbai"/>
    <s v="Sales Executive"/>
    <x v="10"/>
    <x v="0"/>
    <n v="2600"/>
    <n v="1750"/>
    <n v="4160"/>
    <n v="660"/>
  </r>
  <r>
    <s v="ORD26050309"/>
    <x v="133"/>
    <s v="C0114"/>
    <s v="E004"/>
    <s v="P002"/>
    <n v="2"/>
    <n v="2090"/>
    <n v="0"/>
    <x v="0"/>
    <s v="Website"/>
    <s v="Card"/>
    <n v="4180"/>
    <s v="Pune"/>
    <n v="4180"/>
    <s v="Match"/>
    <x v="1"/>
    <x v="0"/>
    <s v="Coimbatore"/>
    <s v="Sales Executive"/>
    <x v="8"/>
    <x v="0"/>
    <n v="2200"/>
    <n v="1450"/>
    <n v="4180"/>
    <n v="1280"/>
  </r>
  <r>
    <s v="ORD26040310"/>
    <x v="122"/>
    <s v="C0039"/>
    <s v="E011"/>
    <s v="P011"/>
    <n v="8"/>
    <n v="2400"/>
    <n v="0"/>
    <x v="0"/>
    <s v="Direct"/>
    <s v="Upi"/>
    <n v="19200"/>
    <s v="Bengaluru"/>
    <n v="19200"/>
    <s v="Match"/>
    <x v="11"/>
    <x v="3"/>
    <s v="Lucknow"/>
    <s v="Sales Executive"/>
    <x v="7"/>
    <x v="4"/>
    <n v="2400"/>
    <n v="1480"/>
    <n v="19200"/>
    <n v="7360"/>
  </r>
  <r>
    <s v="ORD26060311"/>
    <x v="146"/>
    <s v="C0026"/>
    <s v="E008"/>
    <s v="P003"/>
    <n v="1"/>
    <n v="1890"/>
    <n v="0.05"/>
    <x v="0"/>
    <s v="Website"/>
    <s v="Credit"/>
    <n v="1795.5"/>
    <s v="Pune"/>
    <n v="1795.5"/>
    <s v="Match"/>
    <x v="8"/>
    <x v="2"/>
    <s v="Ahmedabad"/>
    <s v="Sales Executive"/>
    <x v="3"/>
    <x v="0"/>
    <n v="1800"/>
    <n v="1120"/>
    <n v="1795.5"/>
    <n v="675.5"/>
  </r>
  <r>
    <s v="ORD26040312"/>
    <x v="50"/>
    <s v="C0096"/>
    <s v="E008"/>
    <s v="P001"/>
    <n v="2"/>
    <n v="650"/>
    <n v="0.1"/>
    <x v="0"/>
    <s v="Marketplace"/>
    <s v="Bank Transfer"/>
    <n v="1170"/>
    <s v="Kochi"/>
    <n v="1170"/>
    <s v="Match"/>
    <x v="8"/>
    <x v="2"/>
    <s v="Ahmedabad"/>
    <s v="Sales Executive"/>
    <x v="0"/>
    <x v="0"/>
    <n v="650"/>
    <n v="390"/>
    <n v="1170"/>
    <n v="390"/>
  </r>
  <r>
    <s v="ORD26020313"/>
    <x v="147"/>
    <s v="C0211"/>
    <s v="E001"/>
    <s v="P010"/>
    <n v="3"/>
    <n v="3360"/>
    <n v="0"/>
    <x v="0"/>
    <s v="Phone"/>
    <s v="Upi"/>
    <n v="10080"/>
    <s v="Mumbai"/>
    <n v="10080"/>
    <s v="Match"/>
    <x v="14"/>
    <x v="0"/>
    <s v="Chennai"/>
    <s v="Sales Executive"/>
    <x v="11"/>
    <x v="4"/>
    <n v="3200"/>
    <n v="2050"/>
    <n v="10080"/>
    <n v="3930"/>
  </r>
  <r>
    <s v="ORD26030314"/>
    <x v="148"/>
    <s v="C0010"/>
    <s v="E007"/>
    <s v="P003"/>
    <n v="2"/>
    <n v="1800"/>
    <n v="0.2"/>
    <x v="2"/>
    <s v="Phone"/>
    <s v="Bank Transfer"/>
    <n v="2880"/>
    <s v="Kochi"/>
    <n v="2880"/>
    <s v="Match"/>
    <x v="4"/>
    <x v="2"/>
    <s v="Pune"/>
    <s v="Sales Executive"/>
    <x v="3"/>
    <x v="0"/>
    <n v="1800"/>
    <n v="1120"/>
    <n v="0"/>
    <n v="-2240"/>
  </r>
  <r>
    <s v="ORD26050315"/>
    <x v="63"/>
    <s v="C0139"/>
    <s v="E013"/>
    <s v="P008"/>
    <n v="2"/>
    <n v="8190"/>
    <n v="0.15"/>
    <x v="0"/>
    <s v="Website"/>
    <s v="Upi"/>
    <n v="13923"/>
    <s v="Kolkata"/>
    <n v="13923"/>
    <s v="Match"/>
    <x v="2"/>
    <x v="1"/>
    <s v="Bhubaneswar"/>
    <s v="Sales Executive"/>
    <x v="6"/>
    <x v="3"/>
    <n v="7800"/>
    <n v="5200"/>
    <n v="13923"/>
    <n v="3523"/>
  </r>
  <r>
    <s v="ORD26060316"/>
    <x v="13"/>
    <s v="C0184"/>
    <s v="E004"/>
    <s v="P001"/>
    <n v="5"/>
    <n v="682.5"/>
    <n v="0.05"/>
    <x v="0"/>
    <s v="Website"/>
    <s v="Card"/>
    <n v="3241.88"/>
    <s v="Mumbai"/>
    <n v="3241.875"/>
    <s v="Match"/>
    <x v="1"/>
    <x v="0"/>
    <s v="Coimbatore"/>
    <s v="Sales Executive"/>
    <x v="0"/>
    <x v="0"/>
    <n v="650"/>
    <n v="390"/>
    <n v="3241.875"/>
    <n v="1291.875"/>
  </r>
  <r>
    <s v="ORD26030317"/>
    <x v="118"/>
    <s v="C0199"/>
    <s v="E011"/>
    <s v="P004"/>
    <n v="1"/>
    <n v="11200"/>
    <n v="0.2"/>
    <x v="0"/>
    <s v="Marketplace"/>
    <s v="Card"/>
    <n v="8960"/>
    <s v="Delhi"/>
    <n v="8960"/>
    <s v="Match"/>
    <x v="11"/>
    <x v="3"/>
    <s v="Lucknow"/>
    <s v="Sales Executive"/>
    <x v="1"/>
    <x v="1"/>
    <n v="11200"/>
    <n v="8300"/>
    <n v="8960"/>
    <n v="660"/>
  </r>
  <r>
    <s v="ORD26030318"/>
    <x v="149"/>
    <s v="C0181"/>
    <s v="E010"/>
    <s v="P006"/>
    <n v="4"/>
    <n v="1330"/>
    <n v="0.2"/>
    <x v="0"/>
    <s v="Website"/>
    <s v="Credit"/>
    <n v="4256"/>
    <s v="Bengaluru"/>
    <n v="4256"/>
    <s v="Match"/>
    <x v="6"/>
    <x v="3"/>
    <s v="Jaipur"/>
    <s v="Sales Executive"/>
    <x v="4"/>
    <x v="0"/>
    <n v="1400"/>
    <n v="780"/>
    <n v="4256"/>
    <n v="1136"/>
  </r>
  <r>
    <s v="ORD26050319"/>
    <x v="143"/>
    <s v="C0113"/>
    <s v="E009"/>
    <s v="P005"/>
    <n v="1"/>
    <n v="16800"/>
    <n v="0"/>
    <x v="0"/>
    <s v="Direct"/>
    <s v="Credit"/>
    <n v="16800"/>
    <s v="Kochi"/>
    <n v="16800"/>
    <s v="Match"/>
    <x v="13"/>
    <x v="3"/>
    <s v="Delhi"/>
    <s v="Sales Executive"/>
    <x v="9"/>
    <x v="1"/>
    <n v="16800"/>
    <n v="12600"/>
    <n v="16800"/>
    <n v="4200"/>
  </r>
  <r>
    <s v="ORD26010320"/>
    <x v="150"/>
    <s v="C0166"/>
    <s v="E006"/>
    <s v="P010"/>
    <n v="1"/>
    <n v="3200"/>
    <n v="0"/>
    <x v="0"/>
    <s v="Direct"/>
    <s v="Upi"/>
    <n v="3200"/>
    <s v="Delhi"/>
    <n v="3200"/>
    <s v="Match"/>
    <x v="5"/>
    <x v="2"/>
    <s v="Mumbai"/>
    <s v="Sales Executive"/>
    <x v="11"/>
    <x v="4"/>
    <n v="3200"/>
    <n v="2050"/>
    <n v="3200"/>
    <n v="1150"/>
  </r>
  <r>
    <s v="ORD26050321"/>
    <x v="62"/>
    <s v="C0192"/>
    <s v="E012"/>
    <s v="P003"/>
    <n v="4"/>
    <n v="1710"/>
    <n v="0.15"/>
    <x v="2"/>
    <s v="Phone"/>
    <s v="Credit"/>
    <n v="5814"/>
    <s v="Mumbai"/>
    <n v="5814"/>
    <s v="Match"/>
    <x v="12"/>
    <x v="1"/>
    <s v="Kolkata"/>
    <s v="Sales Executive"/>
    <x v="3"/>
    <x v="0"/>
    <n v="1800"/>
    <n v="1120"/>
    <n v="0"/>
    <n v="-4480"/>
  </r>
  <r>
    <s v="ORD26030322"/>
    <x v="84"/>
    <s v="C0250"/>
    <s v="E005"/>
    <s v="P006"/>
    <n v="1"/>
    <n v="1470"/>
    <n v="0"/>
    <x v="0"/>
    <s v="Marketplace"/>
    <s v="Card"/>
    <n v="1470"/>
    <s v="Jaipur"/>
    <n v="1470"/>
    <s v="Match"/>
    <x v="3"/>
    <x v="0"/>
    <s v="Kochi"/>
    <s v="Sales Executive"/>
    <x v="4"/>
    <x v="0"/>
    <n v="1400"/>
    <n v="780"/>
    <n v="1470"/>
    <n v="690"/>
  </r>
  <r>
    <s v="ORD26060323"/>
    <x v="127"/>
    <s v="C0194"/>
    <s v="E015"/>
    <s v="P010"/>
    <n v="4"/>
    <n v="3200"/>
    <n v="0"/>
    <x v="0"/>
    <s v="Marketplace"/>
    <s v="Bank Transfer"/>
    <n v="12800"/>
    <s v="Delhi"/>
    <n v="12800"/>
    <s v="Match"/>
    <x v="9"/>
    <x v="4"/>
    <s v="Bhopal"/>
    <s v="Sales Executive"/>
    <x v="11"/>
    <x v="4"/>
    <n v="3200"/>
    <n v="2050"/>
    <n v="12800"/>
    <n v="4600"/>
  </r>
  <r>
    <s v="ORD26020324"/>
    <x v="35"/>
    <s v="C0094"/>
    <s v="E012"/>
    <s v="P001"/>
    <n v="8"/>
    <n v="617.5"/>
    <n v="0.15"/>
    <x v="0"/>
    <s v="Marketplace"/>
    <s v="Credit"/>
    <n v="4199"/>
    <s v="Bengaluru"/>
    <n v="4199"/>
    <s v="Match"/>
    <x v="12"/>
    <x v="1"/>
    <s v="Kolkata"/>
    <s v="Sales Executive"/>
    <x v="0"/>
    <x v="0"/>
    <n v="650"/>
    <n v="390"/>
    <n v="4199"/>
    <n v="1079"/>
  </r>
  <r>
    <s v="ORD26060325"/>
    <x v="0"/>
    <s v="C0122"/>
    <s v="E010"/>
    <s v="P002"/>
    <n v="8"/>
    <n v="2090"/>
    <n v="0"/>
    <x v="0"/>
    <s v="Marketplace"/>
    <s v="Bank Transfer"/>
    <n v="16720"/>
    <s v="Delhi"/>
    <n v="16720"/>
    <s v="Match"/>
    <x v="6"/>
    <x v="3"/>
    <s v="Jaipur"/>
    <s v="Sales Executive"/>
    <x v="8"/>
    <x v="0"/>
    <n v="2200"/>
    <n v="1450"/>
    <n v="16720"/>
    <n v="5120"/>
  </r>
  <r>
    <s v="ORD26060326"/>
    <x v="10"/>
    <s v="C0229"/>
    <s v="E015"/>
    <s v="P002"/>
    <n v="4"/>
    <n v="2200"/>
    <n v="0.2"/>
    <x v="0"/>
    <s v="Direct"/>
    <s v="Bank Transfer"/>
    <n v="7040"/>
    <s v="Bengaluru"/>
    <n v="7040"/>
    <s v="Match"/>
    <x v="9"/>
    <x v="4"/>
    <s v="Bhopal"/>
    <s v="Sales Executive"/>
    <x v="8"/>
    <x v="0"/>
    <n v="2200"/>
    <n v="1450"/>
    <n v="7040"/>
    <n v="1240"/>
  </r>
  <r>
    <s v="ORD26030327"/>
    <x v="118"/>
    <s v="C0198"/>
    <s v="E012"/>
    <s v="P002"/>
    <n v="2"/>
    <n v="2090"/>
    <n v="0"/>
    <x v="0"/>
    <s v="Phone"/>
    <s v="Cash"/>
    <n v="4180"/>
    <s v="Delhi"/>
    <n v="4180"/>
    <s v="Match"/>
    <x v="12"/>
    <x v="1"/>
    <s v="Kolkata"/>
    <s v="Sales Executive"/>
    <x v="8"/>
    <x v="0"/>
    <n v="2200"/>
    <n v="1450"/>
    <n v="4180"/>
    <n v="1280"/>
  </r>
  <r>
    <s v="ORD26040328"/>
    <x v="123"/>
    <s v="C0116"/>
    <s v="E008"/>
    <s v="P007"/>
    <n v="2"/>
    <n v="2730"/>
    <n v="0.1"/>
    <x v="0"/>
    <s v="Website"/>
    <s v="Cash"/>
    <n v="4914"/>
    <s v="Mumbai"/>
    <n v="4914"/>
    <s v="Match"/>
    <x v="8"/>
    <x v="2"/>
    <s v="Ahmedabad"/>
    <s v="Sales Executive"/>
    <x v="10"/>
    <x v="0"/>
    <n v="2600"/>
    <n v="1750"/>
    <n v="4914"/>
    <n v="1414"/>
  </r>
  <r>
    <s v="ORD26010329"/>
    <x v="7"/>
    <s v="C0193"/>
    <s v="E005"/>
    <s v="P001"/>
    <n v="2"/>
    <n v="650"/>
    <n v="0"/>
    <x v="0"/>
    <s v="Website"/>
    <s v="Upi"/>
    <n v="1300"/>
    <s v="Jaipur"/>
    <n v="1300"/>
    <s v="Match"/>
    <x v="3"/>
    <x v="0"/>
    <s v="Kochi"/>
    <s v="Sales Executive"/>
    <x v="0"/>
    <x v="0"/>
    <n v="650"/>
    <n v="390"/>
    <n v="1300"/>
    <n v="520"/>
  </r>
  <r>
    <s v="ORD26010330"/>
    <x v="1"/>
    <s v="C0085"/>
    <s v="E006"/>
    <s v="P010"/>
    <n v="10"/>
    <n v="3360"/>
    <n v="0.1"/>
    <x v="0"/>
    <s v="Direct"/>
    <s v="Card"/>
    <n v="30240"/>
    <s v="Chennai"/>
    <n v="30240"/>
    <s v="Match"/>
    <x v="5"/>
    <x v="2"/>
    <s v="Mumbai"/>
    <s v="Sales Executive"/>
    <x v="11"/>
    <x v="4"/>
    <n v="3200"/>
    <n v="2050"/>
    <n v="30240"/>
    <n v="9740"/>
  </r>
  <r>
    <s v="ORD26010331"/>
    <x v="25"/>
    <s v="C0145"/>
    <s v="E006"/>
    <s v="P004"/>
    <n v="10"/>
    <n v="11200"/>
    <n v="0.1"/>
    <x v="0"/>
    <s v="Marketplace"/>
    <s v="Card"/>
    <n v="100800"/>
    <s v="Mumbai"/>
    <n v="100800"/>
    <s v="Match"/>
    <x v="5"/>
    <x v="2"/>
    <s v="Mumbai"/>
    <s v="Sales Executive"/>
    <x v="1"/>
    <x v="1"/>
    <n v="11200"/>
    <n v="8300"/>
    <n v="100800"/>
    <n v="17800"/>
  </r>
  <r>
    <s v="ORD26010332"/>
    <x v="111"/>
    <s v="C0002"/>
    <s v="E007"/>
    <s v="P010"/>
    <n v="2"/>
    <n v="3200"/>
    <n v="0.1"/>
    <x v="0"/>
    <s v="Phone"/>
    <s v="Upi"/>
    <n v="5760"/>
    <s v="Hyderabad"/>
    <n v="5760"/>
    <s v="Match"/>
    <x v="4"/>
    <x v="2"/>
    <s v="Pune"/>
    <s v="Sales Executive"/>
    <x v="11"/>
    <x v="4"/>
    <n v="3200"/>
    <n v="2050"/>
    <n v="5760"/>
    <n v="1660"/>
  </r>
  <r>
    <s v="ORD26060333"/>
    <x v="67"/>
    <s v="C0150"/>
    <s v="E011"/>
    <s v="P010"/>
    <n v="2"/>
    <n v="3200"/>
    <n v="0"/>
    <x v="0"/>
    <s v="Direct"/>
    <s v="Cash"/>
    <n v="6400"/>
    <s v="Mumbai"/>
    <n v="6400"/>
    <s v="Match"/>
    <x v="11"/>
    <x v="3"/>
    <s v="Lucknow"/>
    <s v="Sales Executive"/>
    <x v="11"/>
    <x v="4"/>
    <n v="3200"/>
    <n v="2050"/>
    <n v="6400"/>
    <n v="2300"/>
  </r>
  <r>
    <s v="ORD26030334"/>
    <x v="151"/>
    <s v="C0095"/>
    <s v="E013"/>
    <s v="P007"/>
    <n v="2"/>
    <n v="2730"/>
    <n v="0.2"/>
    <x v="0"/>
    <s v="Marketplace"/>
    <s v="Cash"/>
    <n v="4368"/>
    <s v="Kolkata"/>
    <n v="4368"/>
    <s v="Match"/>
    <x v="2"/>
    <x v="1"/>
    <s v="Bhubaneswar"/>
    <s v="Sales Executive"/>
    <x v="10"/>
    <x v="0"/>
    <n v="2600"/>
    <n v="1750"/>
    <n v="4368"/>
    <n v="868"/>
  </r>
  <r>
    <s v="ORD26020335"/>
    <x v="117"/>
    <s v="C0032"/>
    <s v="E008"/>
    <s v="P001"/>
    <n v="1"/>
    <n v="650"/>
    <n v="0.1"/>
    <x v="0"/>
    <s v="Direct"/>
    <s v="Upi"/>
    <n v="585"/>
    <s v="Mumbai"/>
    <n v="585"/>
    <s v="Match"/>
    <x v="8"/>
    <x v="2"/>
    <s v="Ahmedabad"/>
    <s v="Sales Executive"/>
    <x v="0"/>
    <x v="0"/>
    <n v="650"/>
    <n v="390"/>
    <n v="585"/>
    <n v="195"/>
  </r>
  <r>
    <s v="ORD26060336"/>
    <x v="152"/>
    <s v="C0199"/>
    <s v="E006"/>
    <s v="P009"/>
    <n v="2"/>
    <n v="17575"/>
    <n v="0.15"/>
    <x v="0"/>
    <s v="Phone"/>
    <s v="Credit"/>
    <n v="29877.5"/>
    <s v="Kochi"/>
    <n v="29877.5"/>
    <s v="Match"/>
    <x v="5"/>
    <x v="2"/>
    <s v="Mumbai"/>
    <s v="Sales Executive"/>
    <x v="5"/>
    <x v="3"/>
    <n v="18500"/>
    <n v="13900"/>
    <n v="29877.5"/>
    <n v="2077.5"/>
  </r>
  <r>
    <s v="ORD26050337"/>
    <x v="135"/>
    <s v="C0258"/>
    <s v="E015"/>
    <s v="P004"/>
    <n v="2"/>
    <n v="10640"/>
    <n v="0"/>
    <x v="0"/>
    <s v="Website"/>
    <s v="Upi"/>
    <n v="21280"/>
    <s v="Kochi"/>
    <n v="21280"/>
    <s v="Match"/>
    <x v="9"/>
    <x v="4"/>
    <s v="Bhopal"/>
    <s v="Sales Executive"/>
    <x v="1"/>
    <x v="1"/>
    <n v="11200"/>
    <n v="8300"/>
    <n v="21280"/>
    <n v="4680"/>
  </r>
  <r>
    <s v="ORD26020338"/>
    <x v="153"/>
    <s v="C0223"/>
    <s v="E003"/>
    <s v="P004"/>
    <n v="4"/>
    <n v="10640"/>
    <n v="0"/>
    <x v="0"/>
    <s v="Website"/>
    <s v="Card"/>
    <n v="42560"/>
    <s v="Indore"/>
    <n v="42560"/>
    <s v="Match"/>
    <x v="7"/>
    <x v="0"/>
    <s v="Hyderabad"/>
    <s v="Sales Executive"/>
    <x v="1"/>
    <x v="1"/>
    <n v="11200"/>
    <n v="8300"/>
    <n v="42560"/>
    <n v="9360"/>
  </r>
  <r>
    <s v="ORD26030339"/>
    <x v="43"/>
    <s v="C0167"/>
    <s v="E006"/>
    <s v="P012"/>
    <n v="5"/>
    <n v="50925"/>
    <n v="0"/>
    <x v="0"/>
    <s v="Marketplace"/>
    <s v="Credit"/>
    <n v="254625"/>
    <s v="Kochi"/>
    <n v="254625"/>
    <s v="Match"/>
    <x v="5"/>
    <x v="2"/>
    <s v="Mumbai"/>
    <s v="Sales Executive"/>
    <x v="2"/>
    <x v="2"/>
    <n v="48500"/>
    <n v="41200"/>
    <n v="254625"/>
    <n v="48625"/>
  </r>
  <r>
    <s v="ORD26010340"/>
    <x v="19"/>
    <s v="C0213"/>
    <s v="E013"/>
    <s v="P012"/>
    <n v="3"/>
    <n v="46075"/>
    <n v="0.15"/>
    <x v="0"/>
    <s v="Website"/>
    <s v="Card"/>
    <n v="117491.25"/>
    <s v="Indore"/>
    <n v="117491.25"/>
    <s v="Match"/>
    <x v="2"/>
    <x v="1"/>
    <s v="Bhubaneswar"/>
    <s v="Sales Executive"/>
    <x v="2"/>
    <x v="2"/>
    <n v="48500"/>
    <n v="41200"/>
    <n v="117491.25"/>
    <n v="-6108.75"/>
  </r>
  <r>
    <s v="ORD26050341"/>
    <x v="62"/>
    <s v="C0177"/>
    <s v="E010"/>
    <s v="P002"/>
    <n v="8"/>
    <n v="2200"/>
    <n v="0.15"/>
    <x v="0"/>
    <s v="Phone"/>
    <s v="Bank Transfer"/>
    <n v="14960"/>
    <s v="Pune"/>
    <n v="14960"/>
    <s v="Match"/>
    <x v="6"/>
    <x v="3"/>
    <s v="Jaipur"/>
    <s v="Sales Executive"/>
    <x v="8"/>
    <x v="0"/>
    <n v="2200"/>
    <n v="1450"/>
    <n v="14960"/>
    <n v="3360"/>
  </r>
  <r>
    <s v="ORD26060342"/>
    <x v="154"/>
    <s v="C0074"/>
    <s v="E008"/>
    <s v="P010"/>
    <n v="3"/>
    <n v="3360"/>
    <n v="0"/>
    <x v="0"/>
    <s v="Phone"/>
    <s v="Upi"/>
    <n v="10080"/>
    <s v="Pune"/>
    <n v="10080"/>
    <s v="Match"/>
    <x v="8"/>
    <x v="2"/>
    <s v="Ahmedabad"/>
    <s v="Sales Executive"/>
    <x v="11"/>
    <x v="4"/>
    <n v="3200"/>
    <n v="2050"/>
    <n v="10080"/>
    <n v="3930"/>
  </r>
  <r>
    <s v="ORD26030343"/>
    <x v="34"/>
    <s v="C0011"/>
    <s v="E012"/>
    <s v="P004"/>
    <n v="1"/>
    <n v="11200"/>
    <n v="0.1"/>
    <x v="1"/>
    <s v="Marketplace"/>
    <s v="Bank Transfer"/>
    <n v="10080"/>
    <s v="Hyderabad"/>
    <n v="10080"/>
    <s v="Match"/>
    <x v="12"/>
    <x v="1"/>
    <s v="Kolkata"/>
    <s v="Sales Executive"/>
    <x v="1"/>
    <x v="1"/>
    <n v="11200"/>
    <n v="8300"/>
    <n v="0"/>
    <n v="-8300"/>
  </r>
  <r>
    <s v="ORD26030344"/>
    <x v="148"/>
    <s v="C0069"/>
    <s v="E014"/>
    <s v="P008"/>
    <n v="5"/>
    <n v="7800"/>
    <n v="0.2"/>
    <x v="0"/>
    <s v="Marketplace"/>
    <s v="Cash"/>
    <n v="31200"/>
    <s v="Kolkata"/>
    <n v="31200"/>
    <s v="Match"/>
    <x v="10"/>
    <x v="4"/>
    <s v="Indore"/>
    <s v="Sales Executive"/>
    <x v="6"/>
    <x v="3"/>
    <n v="7800"/>
    <n v="5200"/>
    <n v="31200"/>
    <n v="5200"/>
  </r>
  <r>
    <s v="ORD26030345"/>
    <x v="69"/>
    <s v="C0209"/>
    <s v="E012"/>
    <s v="P007"/>
    <n v="3"/>
    <n v="2600"/>
    <n v="0"/>
    <x v="0"/>
    <s v="Phone"/>
    <s v="Credit"/>
    <n v="7800"/>
    <s v="Kolkata"/>
    <n v="7800"/>
    <s v="Match"/>
    <x v="12"/>
    <x v="1"/>
    <s v="Kolkata"/>
    <s v="Sales Executive"/>
    <x v="10"/>
    <x v="0"/>
    <n v="2600"/>
    <n v="1750"/>
    <n v="7800"/>
    <n v="2550"/>
  </r>
  <r>
    <s v="ORD26010346"/>
    <x v="21"/>
    <s v="C0015"/>
    <s v="E009"/>
    <s v="P003"/>
    <n v="1"/>
    <n v="1800"/>
    <n v="0.2"/>
    <x v="0"/>
    <s v="Website"/>
    <s v="Card"/>
    <n v="1440"/>
    <s v="Bengaluru"/>
    <n v="1440"/>
    <s v="Match"/>
    <x v="13"/>
    <x v="3"/>
    <s v="Delhi"/>
    <s v="Sales Executive"/>
    <x v="3"/>
    <x v="0"/>
    <n v="1800"/>
    <n v="1120"/>
    <n v="1440"/>
    <n v="320"/>
  </r>
  <r>
    <s v="ORD26010347"/>
    <x v="21"/>
    <s v="C0189"/>
    <s v="E004"/>
    <s v="P001"/>
    <n v="2"/>
    <n v="650"/>
    <n v="0.05"/>
    <x v="0"/>
    <s v="Phone"/>
    <s v="Credit"/>
    <n v="1235"/>
    <s v="Pune"/>
    <n v="1235"/>
    <s v="Match"/>
    <x v="1"/>
    <x v="0"/>
    <s v="Coimbatore"/>
    <s v="Sales Executive"/>
    <x v="0"/>
    <x v="0"/>
    <n v="650"/>
    <n v="390"/>
    <n v="1235"/>
    <n v="455"/>
  </r>
  <r>
    <s v="ORD26060348"/>
    <x v="10"/>
    <s v="C0091"/>
    <s v="E015"/>
    <s v="P002"/>
    <n v="3"/>
    <n v="2310"/>
    <n v="0"/>
    <x v="0"/>
    <s v="Phone"/>
    <s v="Credit"/>
    <n v="6930"/>
    <s v="Jaipur"/>
    <n v="6930"/>
    <s v="Match"/>
    <x v="9"/>
    <x v="4"/>
    <s v="Bhopal"/>
    <s v="Sales Executive"/>
    <x v="8"/>
    <x v="0"/>
    <n v="2200"/>
    <n v="1450"/>
    <n v="6930"/>
    <n v="2580"/>
  </r>
  <r>
    <s v="ORD26030349"/>
    <x v="130"/>
    <s v="C0146"/>
    <s v="E006"/>
    <s v="P003"/>
    <n v="4"/>
    <n v="1710"/>
    <n v="0.05"/>
    <x v="0"/>
    <s v="Direct"/>
    <s v="Cash"/>
    <n v="6498"/>
    <s v="Chennai"/>
    <n v="6498"/>
    <s v="Match"/>
    <x v="5"/>
    <x v="2"/>
    <s v="Mumbai"/>
    <s v="Sales Executive"/>
    <x v="3"/>
    <x v="0"/>
    <n v="1800"/>
    <n v="1120"/>
    <n v="6498"/>
    <n v="2018"/>
  </r>
  <r>
    <s v="ORD26020350"/>
    <x v="29"/>
    <s v="C0106"/>
    <s v="E014"/>
    <s v="P010"/>
    <n v="4"/>
    <n v="3200"/>
    <n v="0"/>
    <x v="2"/>
    <s v="Marketplace"/>
    <s v="Cash"/>
    <n v="12800"/>
    <s v="Jaipur"/>
    <n v="12800"/>
    <s v="Match"/>
    <x v="10"/>
    <x v="4"/>
    <s v="Indore"/>
    <s v="Sales Executive"/>
    <x v="11"/>
    <x v="4"/>
    <n v="3200"/>
    <n v="2050"/>
    <n v="0"/>
    <n v="-8200"/>
  </r>
  <r>
    <s v="ORD26010351"/>
    <x v="48"/>
    <s v="C0115"/>
    <s v="E014"/>
    <s v="P011"/>
    <n v="1"/>
    <n v="2280"/>
    <n v="0"/>
    <x v="0"/>
    <s v="Marketplace"/>
    <s v="Credit"/>
    <n v="2280"/>
    <s v="Hyderabad"/>
    <n v="2280"/>
    <s v="Match"/>
    <x v="10"/>
    <x v="4"/>
    <s v="Indore"/>
    <s v="Sales Executive"/>
    <x v="7"/>
    <x v="4"/>
    <n v="2400"/>
    <n v="1480"/>
    <n v="2280"/>
    <n v="800"/>
  </r>
  <r>
    <s v="ORD26060352"/>
    <x v="101"/>
    <s v="C0239"/>
    <s v="E005"/>
    <s v="P007"/>
    <n v="5"/>
    <n v="2600"/>
    <n v="0.05"/>
    <x v="0"/>
    <s v="Marketplace"/>
    <s v="Credit"/>
    <n v="12350"/>
    <s v="Indore"/>
    <n v="12350"/>
    <s v="Match"/>
    <x v="3"/>
    <x v="0"/>
    <s v="Kochi"/>
    <s v="Sales Executive"/>
    <x v="10"/>
    <x v="0"/>
    <n v="2600"/>
    <n v="1750"/>
    <n v="12350"/>
    <n v="3600"/>
  </r>
  <r>
    <s v="ORD26040353"/>
    <x v="50"/>
    <s v="C0145"/>
    <s v="E010"/>
    <s v="P002"/>
    <n v="1"/>
    <n v="2200"/>
    <n v="0.2"/>
    <x v="3"/>
    <s v="Marketplace"/>
    <s v="Upi"/>
    <n v="1760"/>
    <s v="Kochi"/>
    <n v="1760"/>
    <s v="Match"/>
    <x v="6"/>
    <x v="3"/>
    <s v="Jaipur"/>
    <s v="Sales Executive"/>
    <x v="8"/>
    <x v="0"/>
    <n v="2200"/>
    <n v="1450"/>
    <n v="0"/>
    <n v="-1450"/>
  </r>
  <r>
    <s v="ORD26010354"/>
    <x v="15"/>
    <s v="C0097"/>
    <s v="E006"/>
    <s v="P005"/>
    <n v="3"/>
    <n v="16800"/>
    <n v="0.05"/>
    <x v="0"/>
    <s v="Website"/>
    <s v="Credit"/>
    <n v="47880"/>
    <s v="Bengaluru"/>
    <n v="47880"/>
    <s v="Match"/>
    <x v="5"/>
    <x v="2"/>
    <s v="Mumbai"/>
    <s v="Sales Executive"/>
    <x v="9"/>
    <x v="1"/>
    <n v="16800"/>
    <n v="12600"/>
    <n v="47880"/>
    <n v="10080"/>
  </r>
  <r>
    <s v="ORD26010355"/>
    <x v="21"/>
    <s v="C0255"/>
    <s v="E013"/>
    <s v="P010"/>
    <n v="2"/>
    <n v="3040"/>
    <n v="0.05"/>
    <x v="0"/>
    <s v="Marketplace"/>
    <s v="Bank Transfer"/>
    <n v="5776"/>
    <s v="Pune"/>
    <n v="5776"/>
    <s v="Match"/>
    <x v="2"/>
    <x v="1"/>
    <s v="Bhubaneswar"/>
    <s v="Sales Executive"/>
    <x v="11"/>
    <x v="4"/>
    <n v="3200"/>
    <n v="2050"/>
    <n v="5776"/>
    <n v="1676"/>
  </r>
  <r>
    <s v="ORD26040356"/>
    <x v="124"/>
    <s v="C0176"/>
    <s v="E007"/>
    <s v="P012"/>
    <n v="1"/>
    <n v="48500"/>
    <n v="0.2"/>
    <x v="3"/>
    <s v="Website"/>
    <s v="Credit"/>
    <n v="38800"/>
    <s v="Kochi"/>
    <n v="38800"/>
    <s v="Match"/>
    <x v="4"/>
    <x v="2"/>
    <s v="Pune"/>
    <s v="Sales Executive"/>
    <x v="2"/>
    <x v="2"/>
    <n v="48500"/>
    <n v="41200"/>
    <n v="0"/>
    <n v="-41200"/>
  </r>
  <r>
    <s v="ORD26060357"/>
    <x v="152"/>
    <s v="C0151"/>
    <s v="E006"/>
    <s v="P009"/>
    <n v="2"/>
    <n v="18500"/>
    <n v="0"/>
    <x v="2"/>
    <s v="Direct"/>
    <s v="Cash"/>
    <n v="37000"/>
    <s v="Delhi"/>
    <n v="37000"/>
    <s v="Match"/>
    <x v="5"/>
    <x v="2"/>
    <s v="Mumbai"/>
    <s v="Sales Executive"/>
    <x v="5"/>
    <x v="3"/>
    <n v="18500"/>
    <n v="13900"/>
    <n v="0"/>
    <n v="-27800"/>
  </r>
  <r>
    <s v="ORD26030358"/>
    <x v="43"/>
    <s v="C0046"/>
    <s v="E012"/>
    <s v="P009"/>
    <n v="4"/>
    <n v="18500"/>
    <n v="0"/>
    <x v="1"/>
    <s v="Website"/>
    <s v="Bank Transfer"/>
    <n v="74000"/>
    <s v="Bengaluru"/>
    <n v="74000"/>
    <s v="Match"/>
    <x v="12"/>
    <x v="1"/>
    <s v="Kolkata"/>
    <s v="Sales Executive"/>
    <x v="5"/>
    <x v="3"/>
    <n v="18500"/>
    <n v="13900"/>
    <n v="0"/>
    <n v="-55600"/>
  </r>
  <r>
    <s v="ORD26030359"/>
    <x v="151"/>
    <s v="C0241"/>
    <s v="Unknown"/>
    <s v="P006"/>
    <n v="2"/>
    <n v="1330"/>
    <n v="0.15"/>
    <x v="0"/>
    <s v="Direct"/>
    <s v="Credit"/>
    <n v="2261"/>
    <s v="Indore"/>
    <n v="2261"/>
    <s v="Match"/>
    <x v="15"/>
    <x v="5"/>
    <m/>
    <m/>
    <x v="4"/>
    <x v="0"/>
    <n v="1400"/>
    <n v="780"/>
    <n v="2261"/>
    <n v="701"/>
  </r>
  <r>
    <s v="ORD26060360"/>
    <x v="155"/>
    <s v="C0153"/>
    <s v="E002"/>
    <s v="P008"/>
    <n v="5"/>
    <n v="8190"/>
    <n v="0.15"/>
    <x v="0"/>
    <s v="Phone"/>
    <s v="Upi"/>
    <n v="34807.5"/>
    <s v="Delhi"/>
    <n v="34807.5"/>
    <s v="Match"/>
    <x v="0"/>
    <x v="0"/>
    <s v="Bengaluru"/>
    <s v="Sales Executive"/>
    <x v="6"/>
    <x v="3"/>
    <n v="7800"/>
    <n v="5200"/>
    <n v="34807.5"/>
    <n v="8807.5"/>
  </r>
  <r>
    <s v="ORD26020361"/>
    <x v="88"/>
    <s v="C0074"/>
    <s v="E004"/>
    <s v="P006"/>
    <n v="2"/>
    <n v="1470"/>
    <n v="0.15"/>
    <x v="2"/>
    <s v="Marketplace"/>
    <s v="Card"/>
    <n v="2499"/>
    <s v="Mumbai"/>
    <n v="2499"/>
    <s v="Match"/>
    <x v="1"/>
    <x v="0"/>
    <s v="Coimbatore"/>
    <s v="Sales Executive"/>
    <x v="4"/>
    <x v="0"/>
    <n v="1400"/>
    <n v="780"/>
    <n v="0"/>
    <n v="-1560"/>
  </r>
  <r>
    <s v="ORD26050362"/>
    <x v="137"/>
    <s v="C0232"/>
    <s v="E006"/>
    <s v="P011"/>
    <n v="10"/>
    <n v="2280"/>
    <n v="0.05"/>
    <x v="0"/>
    <s v="Marketplace"/>
    <s v="Card"/>
    <n v="21660"/>
    <s v="Delhi"/>
    <n v="21660"/>
    <s v="Match"/>
    <x v="5"/>
    <x v="2"/>
    <s v="Mumbai"/>
    <s v="Sales Executive"/>
    <x v="7"/>
    <x v="4"/>
    <n v="2400"/>
    <n v="1480"/>
    <n v="21660"/>
    <n v="6860"/>
  </r>
  <r>
    <s v="ORD26050363"/>
    <x v="45"/>
    <s v="C0220"/>
    <s v="E013"/>
    <s v="P003"/>
    <n v="2"/>
    <n v="1890"/>
    <n v="0"/>
    <x v="0"/>
    <s v="Phone"/>
    <s v="Cash"/>
    <n v="3780"/>
    <s v="Kochi"/>
    <n v="3780"/>
    <s v="Match"/>
    <x v="2"/>
    <x v="1"/>
    <s v="Bhubaneswar"/>
    <s v="Sales Executive"/>
    <x v="3"/>
    <x v="0"/>
    <n v="1800"/>
    <n v="1120"/>
    <n v="3780"/>
    <n v="1540"/>
  </r>
  <r>
    <s v="ORD26040364"/>
    <x v="156"/>
    <s v="C0165"/>
    <s v="E001"/>
    <s v="P001"/>
    <n v="2"/>
    <n v="617.5"/>
    <n v="0.2"/>
    <x v="0"/>
    <s v="Website"/>
    <s v="Upi"/>
    <n v="988"/>
    <s v="Chennai"/>
    <n v="988"/>
    <s v="Match"/>
    <x v="14"/>
    <x v="0"/>
    <s v="Chennai"/>
    <s v="Sales Executive"/>
    <x v="0"/>
    <x v="0"/>
    <n v="650"/>
    <n v="390"/>
    <n v="988"/>
    <n v="208"/>
  </r>
  <r>
    <s v="ORD26060365"/>
    <x v="9"/>
    <s v="C0197"/>
    <s v="E012"/>
    <s v="P004"/>
    <n v="1"/>
    <n v="10640"/>
    <n v="0.05"/>
    <x v="0"/>
    <s v="Marketplace"/>
    <s v="Card"/>
    <n v="10108"/>
    <s v="Mumbai"/>
    <n v="10108"/>
    <s v="Match"/>
    <x v="12"/>
    <x v="1"/>
    <s v="Kolkata"/>
    <s v="Sales Executive"/>
    <x v="1"/>
    <x v="1"/>
    <n v="11200"/>
    <n v="8300"/>
    <n v="10108"/>
    <n v="1808"/>
  </r>
  <r>
    <s v="ORD26010366"/>
    <x v="138"/>
    <s v="C0223"/>
    <s v="E005"/>
    <s v="P005"/>
    <n v="2"/>
    <n v="16800"/>
    <n v="0.15"/>
    <x v="0"/>
    <s v="Website"/>
    <s v="Bank Transfer"/>
    <n v="28560"/>
    <s v="Kochi"/>
    <n v="28560"/>
    <s v="Match"/>
    <x v="3"/>
    <x v="0"/>
    <s v="Kochi"/>
    <s v="Sales Executive"/>
    <x v="9"/>
    <x v="1"/>
    <n v="16800"/>
    <n v="12600"/>
    <n v="28560"/>
    <n v="3360"/>
  </r>
  <r>
    <s v="ORD26040367"/>
    <x v="76"/>
    <s v="Unknown"/>
    <s v="E013"/>
    <s v="P004"/>
    <n v="1"/>
    <n v="11200"/>
    <n v="0.1"/>
    <x v="0"/>
    <s v="Website"/>
    <s v="Upi"/>
    <n v="10080"/>
    <s v="Indore"/>
    <n v="10080"/>
    <s v="Match"/>
    <x v="2"/>
    <x v="1"/>
    <s v="Bhubaneswar"/>
    <s v="Sales Executive"/>
    <x v="1"/>
    <x v="1"/>
    <n v="11200"/>
    <n v="8300"/>
    <n v="10080"/>
    <n v="1780"/>
  </r>
  <r>
    <s v="ORD26050368"/>
    <x v="99"/>
    <s v="C0131"/>
    <s v="E003"/>
    <s v="P002"/>
    <n v="2"/>
    <n v="2310"/>
    <n v="0.2"/>
    <x v="0"/>
    <s v="Direct"/>
    <s v="Credit"/>
    <n v="3696"/>
    <s v="Chennai"/>
    <n v="3696"/>
    <s v="Match"/>
    <x v="7"/>
    <x v="0"/>
    <s v="Hyderabad"/>
    <s v="Sales Executive"/>
    <x v="8"/>
    <x v="0"/>
    <n v="2200"/>
    <n v="1450"/>
    <n v="3696"/>
    <n v="796"/>
  </r>
  <r>
    <s v="ORD26060369"/>
    <x v="67"/>
    <s v="C0228"/>
    <s v="E002"/>
    <s v="P011"/>
    <n v="4"/>
    <n v="2520"/>
    <n v="0"/>
    <x v="0"/>
    <s v="Phone"/>
    <s v="Upi"/>
    <n v="10080"/>
    <s v="Jaipur"/>
    <n v="10080"/>
    <s v="Match"/>
    <x v="0"/>
    <x v="0"/>
    <s v="Bengaluru"/>
    <s v="Sales Executive"/>
    <x v="7"/>
    <x v="4"/>
    <n v="2400"/>
    <n v="1480"/>
    <n v="10080"/>
    <n v="4160"/>
  </r>
  <r>
    <s v="ORD26030370"/>
    <x v="104"/>
    <s v="C0155"/>
    <s v="E008"/>
    <s v="P012"/>
    <n v="1"/>
    <n v="46075"/>
    <n v="0.2"/>
    <x v="0"/>
    <s v="Phone"/>
    <s v="Upi"/>
    <n v="36860"/>
    <s v="Jaipur"/>
    <n v="36860"/>
    <s v="Match"/>
    <x v="8"/>
    <x v="2"/>
    <s v="Ahmedabad"/>
    <s v="Sales Executive"/>
    <x v="2"/>
    <x v="2"/>
    <n v="48500"/>
    <n v="41200"/>
    <n v="36860"/>
    <n v="-4340"/>
  </r>
  <r>
    <s v="ORD26030371"/>
    <x v="46"/>
    <s v="C0061"/>
    <s v="E010"/>
    <s v="P010"/>
    <n v="3"/>
    <n v="3040"/>
    <n v="0.1"/>
    <x v="2"/>
    <s v="Marketplace"/>
    <s v="Upi"/>
    <n v="8208"/>
    <s v="Mumbai"/>
    <n v="8208"/>
    <s v="Match"/>
    <x v="6"/>
    <x v="3"/>
    <s v="Jaipur"/>
    <s v="Sales Executive"/>
    <x v="11"/>
    <x v="4"/>
    <n v="3200"/>
    <n v="2050"/>
    <n v="0"/>
    <n v="-6150"/>
  </r>
  <r>
    <s v="ORD26050372"/>
    <x v="140"/>
    <s v="C0184"/>
    <s v="E004"/>
    <s v="P010"/>
    <n v="1"/>
    <n v="3200"/>
    <n v="0.05"/>
    <x v="2"/>
    <s v="Phone"/>
    <s v="Bank Transfer"/>
    <n v="3040"/>
    <s v="Delhi"/>
    <n v="3040"/>
    <s v="Match"/>
    <x v="1"/>
    <x v="0"/>
    <s v="Coimbatore"/>
    <s v="Sales Executive"/>
    <x v="11"/>
    <x v="4"/>
    <n v="3200"/>
    <n v="2050"/>
    <n v="0"/>
    <n v="-2050"/>
  </r>
  <r>
    <s v="ORD26010373"/>
    <x v="66"/>
    <s v="C0121"/>
    <s v="E009"/>
    <s v="P008"/>
    <n v="5"/>
    <n v="7800"/>
    <n v="0.2"/>
    <x v="1"/>
    <s v="Direct"/>
    <s v="Upi"/>
    <n v="31200"/>
    <s v="Mumbai"/>
    <n v="31200"/>
    <s v="Match"/>
    <x v="13"/>
    <x v="3"/>
    <s v="Delhi"/>
    <s v="Sales Executive"/>
    <x v="6"/>
    <x v="3"/>
    <n v="7800"/>
    <n v="5200"/>
    <n v="0"/>
    <n v="-26000"/>
  </r>
  <r>
    <s v="ORD26010374"/>
    <x v="14"/>
    <s v="C0052"/>
    <s v="E014"/>
    <s v="P010"/>
    <n v="3"/>
    <n v="3040"/>
    <n v="0"/>
    <x v="1"/>
    <s v="Marketplace"/>
    <s v="Card"/>
    <n v="9120"/>
    <s v="Kochi"/>
    <n v="9120"/>
    <s v="Match"/>
    <x v="10"/>
    <x v="4"/>
    <s v="Indore"/>
    <s v="Sales Executive"/>
    <x v="11"/>
    <x v="4"/>
    <n v="3200"/>
    <n v="2050"/>
    <n v="0"/>
    <n v="-6150"/>
  </r>
  <r>
    <s v="ORD26030375"/>
    <x v="6"/>
    <s v="C0185"/>
    <s v="E005"/>
    <s v="P008"/>
    <n v="1"/>
    <n v="7800"/>
    <n v="0"/>
    <x v="2"/>
    <s v="Marketplace"/>
    <s v="Cash"/>
    <n v="7800"/>
    <s v="Mumbai"/>
    <n v="7800"/>
    <s v="Match"/>
    <x v="3"/>
    <x v="0"/>
    <s v="Kochi"/>
    <s v="Sales Executive"/>
    <x v="6"/>
    <x v="3"/>
    <n v="7800"/>
    <n v="5200"/>
    <n v="0"/>
    <n v="-5200"/>
  </r>
  <r>
    <s v="ORD26010376"/>
    <x v="8"/>
    <s v="C0169"/>
    <s v="E014"/>
    <s v="P001"/>
    <n v="1"/>
    <n v="650"/>
    <n v="0"/>
    <x v="0"/>
    <s v="Marketplace"/>
    <s v="Cash"/>
    <n v="650"/>
    <s v="Indore"/>
    <n v="650"/>
    <s v="Match"/>
    <x v="10"/>
    <x v="4"/>
    <s v="Indore"/>
    <s v="Sales Executive"/>
    <x v="0"/>
    <x v="0"/>
    <n v="650"/>
    <n v="390"/>
    <n v="650"/>
    <n v="260"/>
  </r>
  <r>
    <s v="ORD26030377"/>
    <x v="69"/>
    <s v="C0205"/>
    <s v="E015"/>
    <s v="P012"/>
    <n v="1"/>
    <n v="50925"/>
    <m/>
    <x v="0"/>
    <s v="Phone"/>
    <s v="Bank Transfer"/>
    <n v="48378.75"/>
    <s v="Pune"/>
    <m/>
    <s v="Invalid Inputs"/>
    <x v="9"/>
    <x v="4"/>
    <s v="Bhopal"/>
    <s v="Sales Executive"/>
    <x v="2"/>
    <x v="2"/>
    <n v="48500"/>
    <n v="41200"/>
    <n v="0"/>
    <n v="-41200"/>
  </r>
  <r>
    <s v="ORD26060378"/>
    <x v="2"/>
    <s v="C0058"/>
    <s v="E014"/>
    <s v="P008"/>
    <n v="4"/>
    <n v="7800"/>
    <n v="0.2"/>
    <x v="2"/>
    <s v="Website"/>
    <s v="Upi"/>
    <n v="24960"/>
    <s v="Delhi"/>
    <n v="24960"/>
    <s v="Match"/>
    <x v="10"/>
    <x v="4"/>
    <s v="Indore"/>
    <s v="Sales Executive"/>
    <x v="6"/>
    <x v="3"/>
    <n v="7800"/>
    <n v="5200"/>
    <n v="0"/>
    <n v="-20800"/>
  </r>
  <r>
    <s v="ORD26010379"/>
    <x v="60"/>
    <s v="C0195"/>
    <s v="E007"/>
    <s v="P010"/>
    <n v="2"/>
    <n v="3200"/>
    <n v="0.15"/>
    <x v="0"/>
    <s v="Marketplace"/>
    <s v="Credit"/>
    <n v="5440"/>
    <s v="Chennai"/>
    <n v="5440"/>
    <s v="Match"/>
    <x v="4"/>
    <x v="2"/>
    <s v="Pune"/>
    <s v="Sales Executive"/>
    <x v="11"/>
    <x v="4"/>
    <n v="3200"/>
    <n v="2050"/>
    <n v="5440"/>
    <n v="1340"/>
  </r>
  <r>
    <s v="ORD26060380"/>
    <x v="85"/>
    <s v="C0058"/>
    <s v="E015"/>
    <s v="P012"/>
    <n v="10"/>
    <n v="50925"/>
    <n v="0"/>
    <x v="0"/>
    <s v="Phone"/>
    <s v="Cash"/>
    <n v="509250"/>
    <s v="Chennai"/>
    <n v="509250"/>
    <s v="Match"/>
    <x v="9"/>
    <x v="4"/>
    <s v="Bhopal"/>
    <s v="Sales Executive"/>
    <x v="2"/>
    <x v="2"/>
    <n v="48500"/>
    <n v="41200"/>
    <n v="509250"/>
    <n v="97250"/>
  </r>
  <r>
    <s v="ORD26010381"/>
    <x v="15"/>
    <s v="C0174"/>
    <s v="E005"/>
    <s v="P011"/>
    <n v="2"/>
    <n v="2400"/>
    <n v="0.2"/>
    <x v="2"/>
    <s v="Direct"/>
    <s v="Cash"/>
    <n v="3840"/>
    <s v="Bengaluru"/>
    <n v="3840"/>
    <s v="Match"/>
    <x v="3"/>
    <x v="0"/>
    <s v="Kochi"/>
    <s v="Sales Executive"/>
    <x v="7"/>
    <x v="4"/>
    <n v="2400"/>
    <n v="1480"/>
    <n v="0"/>
    <n v="-2960"/>
  </r>
  <r>
    <s v="ORD26050382"/>
    <x v="157"/>
    <s v="C0006"/>
    <s v="E006"/>
    <s v="P011"/>
    <n v="3"/>
    <n v="2280"/>
    <n v="0.1"/>
    <x v="0"/>
    <s v="Website"/>
    <s v="Credit"/>
    <n v="6156"/>
    <s v="Kochi"/>
    <n v="6156"/>
    <s v="Match"/>
    <x v="5"/>
    <x v="2"/>
    <s v="Mumbai"/>
    <s v="Sales Executive"/>
    <x v="7"/>
    <x v="4"/>
    <n v="2400"/>
    <n v="1480"/>
    <n v="6156"/>
    <n v="1716"/>
  </r>
  <r>
    <s v="ORD26050383"/>
    <x v="143"/>
    <s v="C0143"/>
    <s v="E014"/>
    <s v="P003"/>
    <n v="1"/>
    <n v="1800"/>
    <n v="0.1"/>
    <x v="0"/>
    <s v="Direct"/>
    <s v="Credit"/>
    <n v="1620"/>
    <s v="Bengaluru"/>
    <n v="1620"/>
    <s v="Match"/>
    <x v="10"/>
    <x v="4"/>
    <s v="Indore"/>
    <s v="Sales Executive"/>
    <x v="3"/>
    <x v="0"/>
    <n v="1800"/>
    <n v="1120"/>
    <n v="1620"/>
    <n v="500"/>
  </r>
  <r>
    <s v="ORD26050384"/>
    <x v="133"/>
    <s v="C0230"/>
    <s v="E011"/>
    <s v="P007"/>
    <n v="2"/>
    <n v="2730"/>
    <n v="0"/>
    <x v="0"/>
    <s v="Direct"/>
    <s v="Cash"/>
    <n v="5460"/>
    <s v="Kochi"/>
    <n v="5460"/>
    <s v="Match"/>
    <x v="11"/>
    <x v="3"/>
    <s v="Lucknow"/>
    <s v="Sales Executive"/>
    <x v="10"/>
    <x v="0"/>
    <n v="2600"/>
    <n v="1750"/>
    <n v="5460"/>
    <n v="1960"/>
  </r>
  <r>
    <s v="ORD26030385"/>
    <x v="114"/>
    <s v="C0019"/>
    <s v="E002"/>
    <s v="P008"/>
    <n v="4"/>
    <n v="8190"/>
    <n v="0"/>
    <x v="0"/>
    <s v="Direct"/>
    <s v="Upi"/>
    <n v="32760"/>
    <s v="Indore"/>
    <n v="32760"/>
    <s v="Match"/>
    <x v="0"/>
    <x v="0"/>
    <s v="Bengaluru"/>
    <s v="Sales Executive"/>
    <x v="6"/>
    <x v="3"/>
    <n v="7800"/>
    <n v="5200"/>
    <n v="32760"/>
    <n v="11960"/>
  </r>
  <r>
    <s v="ORD26060386"/>
    <x v="155"/>
    <s v="C0175"/>
    <s v="E011"/>
    <s v="P005"/>
    <n v="5"/>
    <n v="17640"/>
    <n v="0.15"/>
    <x v="0"/>
    <s v="Marketplace"/>
    <s v="Upi"/>
    <n v="74970"/>
    <s v="Bengaluru"/>
    <n v="74970"/>
    <s v="Match"/>
    <x v="11"/>
    <x v="3"/>
    <s v="Lucknow"/>
    <s v="Sales Executive"/>
    <x v="9"/>
    <x v="1"/>
    <n v="16800"/>
    <n v="12600"/>
    <n v="74970"/>
    <n v="11970"/>
  </r>
  <r>
    <s v="ORD26040387"/>
    <x v="158"/>
    <s v="C0232"/>
    <s v="E006"/>
    <s v="P009"/>
    <n v="4"/>
    <n v="18500"/>
    <n v="0.15"/>
    <x v="0"/>
    <s v="Direct"/>
    <s v="Upi"/>
    <n v="62900"/>
    <s v="Bengaluru"/>
    <n v="62900"/>
    <s v="Match"/>
    <x v="5"/>
    <x v="2"/>
    <s v="Mumbai"/>
    <s v="Sales Executive"/>
    <x v="5"/>
    <x v="3"/>
    <n v="18500"/>
    <n v="13900"/>
    <n v="62900"/>
    <n v="7300"/>
  </r>
  <r>
    <s v="ORD26010388"/>
    <x v="150"/>
    <s v="C0055"/>
    <s v="E006"/>
    <s v="P006"/>
    <n v="4"/>
    <n v="1400"/>
    <n v="0.05"/>
    <x v="0"/>
    <s v="Direct"/>
    <s v="Card"/>
    <n v="5320"/>
    <s v="Kochi"/>
    <n v="5320"/>
    <s v="Match"/>
    <x v="5"/>
    <x v="2"/>
    <s v="Mumbai"/>
    <s v="Sales Executive"/>
    <x v="4"/>
    <x v="0"/>
    <n v="1400"/>
    <n v="780"/>
    <n v="5320"/>
    <n v="2200"/>
  </r>
  <r>
    <s v="ORD26020389"/>
    <x v="88"/>
    <s v="C0097"/>
    <s v="E014"/>
    <s v="P012"/>
    <n v="4"/>
    <n v="48500"/>
    <n v="0.1"/>
    <x v="0"/>
    <s v="Direct"/>
    <s v="Cash"/>
    <n v="174600"/>
    <s v="Bengaluru"/>
    <n v="174600"/>
    <s v="Match"/>
    <x v="10"/>
    <x v="4"/>
    <s v="Indore"/>
    <s v="Sales Executive"/>
    <x v="2"/>
    <x v="2"/>
    <n v="48500"/>
    <n v="41200"/>
    <n v="174600"/>
    <n v="9800"/>
  </r>
  <r>
    <s v="ORD26040390"/>
    <x v="90"/>
    <s v="C0064"/>
    <s v="E014"/>
    <s v="P004"/>
    <n v="3"/>
    <n v="10640"/>
    <n v="0"/>
    <x v="0"/>
    <s v="Phone"/>
    <s v="Cash"/>
    <n v="31920"/>
    <s v="Indore"/>
    <n v="31920"/>
    <s v="Match"/>
    <x v="10"/>
    <x v="4"/>
    <s v="Indore"/>
    <s v="Sales Executive"/>
    <x v="1"/>
    <x v="1"/>
    <n v="11200"/>
    <n v="8300"/>
    <n v="31920"/>
    <n v="7020"/>
  </r>
  <r>
    <s v="ORD26050391"/>
    <x v="99"/>
    <s v="C0248"/>
    <s v="E003"/>
    <s v="P008"/>
    <n v="1"/>
    <n v="8190"/>
    <n v="0.2"/>
    <x v="0"/>
    <s v="Website"/>
    <s v="Credit"/>
    <n v="6552"/>
    <s v="Delhi"/>
    <n v="6552"/>
    <s v="Match"/>
    <x v="7"/>
    <x v="0"/>
    <s v="Hyderabad"/>
    <s v="Sales Executive"/>
    <x v="6"/>
    <x v="3"/>
    <n v="7800"/>
    <n v="5200"/>
    <n v="6552"/>
    <n v="1352"/>
  </r>
  <r>
    <s v="ORD26020392"/>
    <x v="159"/>
    <s v="C0215"/>
    <s v="E002"/>
    <s v="P007"/>
    <n v="3"/>
    <n v="2730"/>
    <n v="0.15"/>
    <x v="2"/>
    <s v="Website"/>
    <s v="Bank Transfer"/>
    <n v="6961.5"/>
    <s v="Pune"/>
    <n v="6961.5"/>
    <s v="Match"/>
    <x v="0"/>
    <x v="0"/>
    <s v="Bengaluru"/>
    <s v="Sales Executive"/>
    <x v="10"/>
    <x v="0"/>
    <n v="2600"/>
    <n v="1750"/>
    <n v="0"/>
    <n v="-5250"/>
  </r>
  <r>
    <s v="ORD26030393"/>
    <x v="106"/>
    <s v="C0161"/>
    <s v="E005"/>
    <s v="P008"/>
    <n v="4"/>
    <n v="7800"/>
    <n v="0"/>
    <x v="0"/>
    <s v="Website"/>
    <s v="Card"/>
    <n v="31200"/>
    <s v="Bengaluru"/>
    <n v="31200"/>
    <s v="Match"/>
    <x v="3"/>
    <x v="0"/>
    <s v="Kochi"/>
    <s v="Sales Executive"/>
    <x v="6"/>
    <x v="3"/>
    <n v="7800"/>
    <n v="5200"/>
    <n v="31200"/>
    <n v="10400"/>
  </r>
  <r>
    <s v="ORD26060394"/>
    <x v="37"/>
    <s v="C0258"/>
    <s v="E012"/>
    <s v="P005"/>
    <n v="3"/>
    <n v="16800"/>
    <n v="0.2"/>
    <x v="0"/>
    <s v="Marketplace"/>
    <s v="Upi"/>
    <n v="40320"/>
    <s v="Kolkata"/>
    <n v="40320"/>
    <s v="Match"/>
    <x v="12"/>
    <x v="1"/>
    <s v="Kolkata"/>
    <s v="Sales Executive"/>
    <x v="9"/>
    <x v="1"/>
    <n v="16800"/>
    <n v="12600"/>
    <n v="40320"/>
    <n v="2520"/>
  </r>
  <r>
    <s v="ORD26050395"/>
    <x v="42"/>
    <s v="C0217"/>
    <s v="E008"/>
    <s v="P010"/>
    <n v="3"/>
    <n v="3200"/>
    <n v="0.2"/>
    <x v="0"/>
    <s v="Direct"/>
    <s v="Credit"/>
    <n v="7680"/>
    <s v="Mumbai"/>
    <n v="7680"/>
    <s v="Match"/>
    <x v="8"/>
    <x v="2"/>
    <s v="Ahmedabad"/>
    <s v="Sales Executive"/>
    <x v="11"/>
    <x v="4"/>
    <n v="3200"/>
    <n v="2050"/>
    <n v="7680"/>
    <n v="1530"/>
  </r>
  <r>
    <s v="ORD26010396"/>
    <x v="32"/>
    <s v="C0147"/>
    <s v="E007"/>
    <s v="P003"/>
    <n v="1"/>
    <n v="1800"/>
    <n v="0"/>
    <x v="0"/>
    <s v="Marketplace"/>
    <s v="Card"/>
    <n v="1800"/>
    <s v="Chennai"/>
    <n v="1800"/>
    <s v="Match"/>
    <x v="4"/>
    <x v="2"/>
    <s v="Pune"/>
    <s v="Sales Executive"/>
    <x v="3"/>
    <x v="0"/>
    <n v="1800"/>
    <n v="1120"/>
    <n v="1800"/>
    <n v="680"/>
  </r>
  <r>
    <s v="ORD26060397"/>
    <x v="2"/>
    <s v="C0053"/>
    <s v="E013"/>
    <s v="P005"/>
    <n v="1"/>
    <n v="17640"/>
    <n v="0.15"/>
    <x v="0"/>
    <s v="Website"/>
    <s v="Credit"/>
    <n v="14994"/>
    <s v="Pune"/>
    <n v="14994"/>
    <s v="Match"/>
    <x v="2"/>
    <x v="1"/>
    <s v="Bhubaneswar"/>
    <s v="Sales Executive"/>
    <x v="9"/>
    <x v="1"/>
    <n v="16800"/>
    <n v="12600"/>
    <n v="14994"/>
    <n v="2394"/>
  </r>
  <r>
    <s v="ORD26030398"/>
    <x v="149"/>
    <s v="C0199"/>
    <s v="E009"/>
    <s v="P012"/>
    <n v="1"/>
    <n v="50925"/>
    <n v="0.2"/>
    <x v="0"/>
    <s v="Phone"/>
    <s v="Bank Transfer"/>
    <n v="40740"/>
    <s v="Jaipur"/>
    <n v="40740"/>
    <s v="Match"/>
    <x v="13"/>
    <x v="3"/>
    <s v="Delhi"/>
    <s v="Sales Executive"/>
    <x v="2"/>
    <x v="2"/>
    <n v="48500"/>
    <n v="41200"/>
    <n v="40740"/>
    <n v="-460"/>
  </r>
  <r>
    <s v="ORD26010399"/>
    <x v="17"/>
    <s v="C0116"/>
    <s v="E001"/>
    <s v="P012"/>
    <n v="1"/>
    <n v="50925"/>
    <n v="0.15"/>
    <x v="2"/>
    <s v="Marketplace"/>
    <s v="Credit"/>
    <n v="43286.25"/>
    <s v="Jaipur"/>
    <n v="43286.25"/>
    <s v="Match"/>
    <x v="14"/>
    <x v="0"/>
    <s v="Chennai"/>
    <s v="Sales Executive"/>
    <x v="2"/>
    <x v="2"/>
    <n v="48500"/>
    <n v="41200"/>
    <n v="0"/>
    <n v="-41200"/>
  </r>
  <r>
    <s v="ORD26060400"/>
    <x v="83"/>
    <s v="C0096"/>
    <s v="E004"/>
    <s v="P012"/>
    <n v="8"/>
    <n v="46075"/>
    <n v="0.05"/>
    <x v="0"/>
    <s v="Website"/>
    <s v="Credit"/>
    <n v="350170"/>
    <s v="Mumbai"/>
    <n v="350170"/>
    <s v="Match"/>
    <x v="1"/>
    <x v="0"/>
    <s v="Coimbatore"/>
    <s v="Sales Executive"/>
    <x v="2"/>
    <x v="2"/>
    <n v="48500"/>
    <n v="41200"/>
    <n v="350170"/>
    <n v="20570"/>
  </r>
  <r>
    <s v="ORD26040401"/>
    <x v="97"/>
    <s v="C0003"/>
    <s v="E001"/>
    <s v="P007"/>
    <n v="1"/>
    <n v="2600"/>
    <n v="0.05"/>
    <x v="0"/>
    <s v="Marketplace"/>
    <s v="Cash"/>
    <n v="2470"/>
    <s v="Delhi"/>
    <n v="2470"/>
    <s v="Match"/>
    <x v="14"/>
    <x v="0"/>
    <s v="Chennai"/>
    <s v="Sales Executive"/>
    <x v="10"/>
    <x v="0"/>
    <n v="2600"/>
    <n v="1750"/>
    <n v="2470"/>
    <n v="720"/>
  </r>
  <r>
    <s v="ORD26010402"/>
    <x v="66"/>
    <s v="C0252"/>
    <s v="E003"/>
    <s v="P006"/>
    <n v="3"/>
    <n v="1400"/>
    <n v="0.2"/>
    <x v="0"/>
    <s v="Marketplace"/>
    <s v="Upi"/>
    <n v="3360"/>
    <s v="Kolkata"/>
    <n v="3360"/>
    <s v="Match"/>
    <x v="7"/>
    <x v="0"/>
    <s v="Hyderabad"/>
    <s v="Sales Executive"/>
    <x v="4"/>
    <x v="0"/>
    <n v="1400"/>
    <n v="780"/>
    <n v="3360"/>
    <n v="1020"/>
  </r>
  <r>
    <s v="ORD26050403"/>
    <x v="87"/>
    <s v="C0048"/>
    <s v="E004"/>
    <s v="P003"/>
    <n v="2"/>
    <n v="1890"/>
    <n v="0.15"/>
    <x v="0"/>
    <s v="Marketplace"/>
    <s v="Card"/>
    <n v="3213"/>
    <s v="Bengaluru"/>
    <n v="3213"/>
    <s v="Match"/>
    <x v="1"/>
    <x v="0"/>
    <s v="Coimbatore"/>
    <s v="Sales Executive"/>
    <x v="3"/>
    <x v="0"/>
    <n v="1800"/>
    <n v="1120"/>
    <n v="3213"/>
    <n v="973"/>
  </r>
  <r>
    <s v="ORD26060404"/>
    <x v="67"/>
    <s v="C0005"/>
    <s v="E006"/>
    <s v="P006"/>
    <n v="2"/>
    <n v="1470"/>
    <n v="0"/>
    <x v="1"/>
    <s v="Direct"/>
    <s v="Bank Transfer"/>
    <n v="2940"/>
    <s v="Kochi"/>
    <n v="2940"/>
    <s v="Match"/>
    <x v="5"/>
    <x v="2"/>
    <s v="Mumbai"/>
    <s v="Sales Executive"/>
    <x v="4"/>
    <x v="0"/>
    <n v="1400"/>
    <n v="780"/>
    <n v="0"/>
    <n v="-1560"/>
  </r>
  <r>
    <s v="ORD26030405"/>
    <x v="103"/>
    <s v="C0165"/>
    <s v="E015"/>
    <s v="P011"/>
    <n v="3"/>
    <n v="2280"/>
    <n v="0.15"/>
    <x v="0"/>
    <s v="Phone"/>
    <s v="Bank Transfer"/>
    <n v="5814"/>
    <s v="Pune"/>
    <n v="5814"/>
    <s v="Match"/>
    <x v="9"/>
    <x v="4"/>
    <s v="Bhopal"/>
    <s v="Sales Executive"/>
    <x v="7"/>
    <x v="4"/>
    <n v="2400"/>
    <n v="1480"/>
    <n v="5814"/>
    <n v="1374"/>
  </r>
  <r>
    <s v="ORD26030406"/>
    <x v="160"/>
    <s v="C0229"/>
    <s v="E009"/>
    <s v="P012"/>
    <n v="1"/>
    <n v="48500"/>
    <n v="0.15"/>
    <x v="0"/>
    <s v="Phone"/>
    <s v="Upi"/>
    <n v="41225"/>
    <s v="Hyderabad"/>
    <n v="41225"/>
    <s v="Match"/>
    <x v="13"/>
    <x v="3"/>
    <s v="Delhi"/>
    <s v="Sales Executive"/>
    <x v="2"/>
    <x v="2"/>
    <n v="48500"/>
    <n v="41200"/>
    <n v="41225"/>
    <n v="25"/>
  </r>
  <r>
    <s v="ORD26060407"/>
    <x v="52"/>
    <s v="C0034"/>
    <s v="E004"/>
    <s v="P006"/>
    <n v="2"/>
    <n v="1330"/>
    <n v="0"/>
    <x v="0"/>
    <s v="Website"/>
    <s v="Card"/>
    <n v="2660"/>
    <s v="Pune"/>
    <n v="2660"/>
    <s v="Match"/>
    <x v="1"/>
    <x v="0"/>
    <s v="Coimbatore"/>
    <s v="Sales Executive"/>
    <x v="4"/>
    <x v="0"/>
    <n v="1400"/>
    <n v="780"/>
    <n v="2660"/>
    <n v="1100"/>
  </r>
  <r>
    <s v="ORD26010408"/>
    <x v="60"/>
    <s v="C0079"/>
    <s v="E004"/>
    <s v="P009"/>
    <n v="4"/>
    <n v="17575"/>
    <n v="0.2"/>
    <x v="0"/>
    <s v="Direct"/>
    <s v="Cash"/>
    <n v="56240"/>
    <s v="Kolkata"/>
    <n v="56240"/>
    <s v="Match"/>
    <x v="1"/>
    <x v="0"/>
    <s v="Coimbatore"/>
    <s v="Sales Executive"/>
    <x v="5"/>
    <x v="3"/>
    <n v="18500"/>
    <n v="13900"/>
    <n v="56240"/>
    <n v="640"/>
  </r>
  <r>
    <s v="ORD26010409"/>
    <x v="33"/>
    <s v="C0133"/>
    <s v="E002"/>
    <s v="P002"/>
    <n v="1"/>
    <n v="2200"/>
    <n v="0.05"/>
    <x v="0"/>
    <s v="Phone"/>
    <s v="Cash"/>
    <n v="2090"/>
    <s v="Kochi"/>
    <n v="2090"/>
    <s v="Match"/>
    <x v="0"/>
    <x v="0"/>
    <s v="Bengaluru"/>
    <s v="Sales Executive"/>
    <x v="8"/>
    <x v="0"/>
    <n v="2200"/>
    <n v="1450"/>
    <n v="2090"/>
    <n v="640"/>
  </r>
  <r>
    <s v="ORD26060410"/>
    <x v="136"/>
    <s v="C0033"/>
    <s v="E007"/>
    <s v="P007"/>
    <n v="2"/>
    <n v="2470"/>
    <n v="0.1"/>
    <x v="0"/>
    <s v="Direct"/>
    <s v="Upi"/>
    <n v="4446"/>
    <s v="Kolkata"/>
    <n v="4446"/>
    <s v="Match"/>
    <x v="4"/>
    <x v="2"/>
    <s v="Pune"/>
    <s v="Sales Executive"/>
    <x v="10"/>
    <x v="0"/>
    <n v="2600"/>
    <n v="1750"/>
    <n v="4446"/>
    <n v="946"/>
  </r>
  <r>
    <s v="ORD26050411"/>
    <x v="161"/>
    <s v="C0225"/>
    <s v="E002"/>
    <s v="P005"/>
    <n v="4"/>
    <n v="16800"/>
    <n v="0.05"/>
    <x v="0"/>
    <s v="Phone"/>
    <s v="Cash"/>
    <n v="63840"/>
    <s v="Chennai"/>
    <n v="63840"/>
    <s v="Match"/>
    <x v="0"/>
    <x v="0"/>
    <s v="Bengaluru"/>
    <s v="Sales Executive"/>
    <x v="9"/>
    <x v="1"/>
    <n v="16800"/>
    <n v="12600"/>
    <n v="63840"/>
    <n v="13440"/>
  </r>
  <r>
    <s v="ORD26050412"/>
    <x v="16"/>
    <s v="C0074"/>
    <s v="E003"/>
    <s v="P009"/>
    <n v="1"/>
    <n v="18500"/>
    <n v="0.2"/>
    <x v="0"/>
    <s v="Marketplace"/>
    <s v="Bank Transfer"/>
    <n v="14800"/>
    <s v="Chennai"/>
    <n v="14800"/>
    <s v="Match"/>
    <x v="7"/>
    <x v="0"/>
    <s v="Hyderabad"/>
    <s v="Sales Executive"/>
    <x v="5"/>
    <x v="3"/>
    <n v="18500"/>
    <n v="13900"/>
    <n v="14800"/>
    <n v="900"/>
  </r>
  <r>
    <s v="ORD26050413"/>
    <x v="38"/>
    <s v="C0044"/>
    <s v="E014"/>
    <s v="P009"/>
    <n v="1"/>
    <n v="19425"/>
    <n v="0"/>
    <x v="0"/>
    <s v="Marketplace"/>
    <s v="Card"/>
    <n v="19425"/>
    <s v="Kolkata"/>
    <n v="19425"/>
    <s v="Match"/>
    <x v="10"/>
    <x v="4"/>
    <s v="Indore"/>
    <s v="Sales Executive"/>
    <x v="5"/>
    <x v="3"/>
    <n v="18500"/>
    <n v="13900"/>
    <n v="19425"/>
    <n v="5525"/>
  </r>
  <r>
    <s v="ORD26020414"/>
    <x v="139"/>
    <s v="C0130"/>
    <s v="E007"/>
    <s v="P011"/>
    <n v="5"/>
    <n v="2400"/>
    <n v="0"/>
    <x v="0"/>
    <s v="Website"/>
    <s v="Upi"/>
    <n v="12000"/>
    <s v="Delhi"/>
    <n v="12000"/>
    <s v="Match"/>
    <x v="4"/>
    <x v="2"/>
    <s v="Pune"/>
    <s v="Sales Executive"/>
    <x v="7"/>
    <x v="4"/>
    <n v="2400"/>
    <n v="1480"/>
    <n v="12000"/>
    <n v="4600"/>
  </r>
  <r>
    <s v="ORD26060415"/>
    <x v="152"/>
    <s v="C0149"/>
    <s v="E013"/>
    <s v="P010"/>
    <n v="5"/>
    <n v="3040"/>
    <n v="0.15"/>
    <x v="0"/>
    <s v="Direct"/>
    <s v="Bank Transfer"/>
    <n v="12920"/>
    <s v="Mumbai"/>
    <n v="12920"/>
    <s v="Match"/>
    <x v="2"/>
    <x v="1"/>
    <s v="Bhubaneswar"/>
    <s v="Sales Executive"/>
    <x v="11"/>
    <x v="4"/>
    <n v="3200"/>
    <n v="2050"/>
    <n v="12920"/>
    <n v="2670"/>
  </r>
  <r>
    <s v="ORD26020416"/>
    <x v="40"/>
    <s v="C0052"/>
    <s v="E012"/>
    <s v="P010"/>
    <n v="2"/>
    <n v="3200"/>
    <n v="0.05"/>
    <x v="0"/>
    <s v="Marketplace"/>
    <s v="Credit"/>
    <n v="6080"/>
    <s v="Mumbai"/>
    <n v="6080"/>
    <s v="Match"/>
    <x v="12"/>
    <x v="1"/>
    <s v="Kolkata"/>
    <s v="Sales Executive"/>
    <x v="11"/>
    <x v="4"/>
    <n v="3200"/>
    <n v="2050"/>
    <n v="6080"/>
    <n v="1980"/>
  </r>
  <r>
    <s v="ORD26020417"/>
    <x v="58"/>
    <s v="C0187"/>
    <s v="E006"/>
    <s v="P008"/>
    <n v="2"/>
    <n v="7800"/>
    <n v="0.15"/>
    <x v="0"/>
    <s v="Marketplace"/>
    <s v="Cash"/>
    <n v="13260"/>
    <s v="Delhi"/>
    <n v="13260"/>
    <s v="Match"/>
    <x v="5"/>
    <x v="2"/>
    <s v="Mumbai"/>
    <s v="Sales Executive"/>
    <x v="6"/>
    <x v="3"/>
    <n v="7800"/>
    <n v="5200"/>
    <n v="13260"/>
    <n v="2860"/>
  </r>
  <r>
    <s v="ORD26010418"/>
    <x v="3"/>
    <s v="C0142"/>
    <s v="E006"/>
    <s v="P004"/>
    <n v="4"/>
    <n v="11760"/>
    <n v="0.2"/>
    <x v="0"/>
    <s v="Marketplace"/>
    <s v="Card"/>
    <n v="37632"/>
    <s v="Kolkata"/>
    <n v="37632"/>
    <s v="Match"/>
    <x v="5"/>
    <x v="2"/>
    <s v="Mumbai"/>
    <s v="Sales Executive"/>
    <x v="1"/>
    <x v="1"/>
    <n v="11200"/>
    <n v="8300"/>
    <n v="37632"/>
    <n v="4432"/>
  </r>
  <r>
    <s v="ORD26050419"/>
    <x v="162"/>
    <s v="C0090"/>
    <s v="E008"/>
    <s v="P008"/>
    <n v="2"/>
    <n v="7410"/>
    <n v="0.05"/>
    <x v="0"/>
    <s v="Direct"/>
    <s v="Bank Transfer"/>
    <n v="14079"/>
    <s v="Delhi"/>
    <n v="14079"/>
    <s v="Match"/>
    <x v="8"/>
    <x v="2"/>
    <s v="Ahmedabad"/>
    <s v="Sales Executive"/>
    <x v="6"/>
    <x v="3"/>
    <n v="7800"/>
    <n v="5200"/>
    <n v="14079"/>
    <n v="3679"/>
  </r>
  <r>
    <s v="ORD26050420"/>
    <x v="18"/>
    <s v="C0010"/>
    <s v="E004"/>
    <s v="P005"/>
    <n v="4"/>
    <n v="15960"/>
    <n v="0.2"/>
    <x v="0"/>
    <s v="Direct"/>
    <s v="Credit"/>
    <n v="51072"/>
    <s v="Indore"/>
    <n v="51072"/>
    <s v="Match"/>
    <x v="1"/>
    <x v="0"/>
    <s v="Coimbatore"/>
    <s v="Sales Executive"/>
    <x v="9"/>
    <x v="1"/>
    <n v="16800"/>
    <n v="12600"/>
    <n v="51072"/>
    <n v="672"/>
  </r>
  <r>
    <s v="ORD26040421"/>
    <x v="124"/>
    <s v="C0077"/>
    <s v="E013"/>
    <s v="P010"/>
    <n v="1"/>
    <n v="3360"/>
    <n v="0"/>
    <x v="0"/>
    <s v="Marketplace"/>
    <s v="Cash"/>
    <n v="3360"/>
    <s v="Bengaluru"/>
    <n v="3360"/>
    <s v="Match"/>
    <x v="2"/>
    <x v="1"/>
    <s v="Bhubaneswar"/>
    <s v="Sales Executive"/>
    <x v="11"/>
    <x v="4"/>
    <n v="3200"/>
    <n v="2050"/>
    <n v="3360"/>
    <n v="1310"/>
  </r>
  <r>
    <s v="ORD26050422"/>
    <x v="62"/>
    <s v="C0187"/>
    <s v="E012"/>
    <s v="P005"/>
    <n v="1"/>
    <n v="17640"/>
    <n v="0.15"/>
    <x v="0"/>
    <s v="Direct"/>
    <s v="Card"/>
    <n v="14994"/>
    <s v="Indore"/>
    <n v="14994"/>
    <s v="Match"/>
    <x v="12"/>
    <x v="1"/>
    <s v="Kolkata"/>
    <s v="Sales Executive"/>
    <x v="9"/>
    <x v="1"/>
    <n v="16800"/>
    <n v="12600"/>
    <n v="14994"/>
    <n v="2394"/>
  </r>
  <r>
    <s v="ORD26060423"/>
    <x v="85"/>
    <s v="C0248"/>
    <s v="E003"/>
    <s v="P009"/>
    <n v="1"/>
    <n v="18500"/>
    <n v="0"/>
    <x v="0"/>
    <s v="Marketplace"/>
    <s v="Upi"/>
    <n v="18500"/>
    <s v="Bengaluru"/>
    <n v="18500"/>
    <s v="Match"/>
    <x v="7"/>
    <x v="0"/>
    <s v="Hyderabad"/>
    <s v="Sales Executive"/>
    <x v="5"/>
    <x v="3"/>
    <n v="18500"/>
    <n v="13900"/>
    <n v="18500"/>
    <n v="4600"/>
  </r>
  <r>
    <s v="ORD26050424"/>
    <x v="137"/>
    <s v="C0185"/>
    <s v="E004"/>
    <s v="P002"/>
    <n v="1"/>
    <n v="2200"/>
    <n v="0"/>
    <x v="0"/>
    <s v="Phone"/>
    <s v="Cash"/>
    <n v="2200"/>
    <s v="Kochi"/>
    <n v="2200"/>
    <s v="Match"/>
    <x v="1"/>
    <x v="0"/>
    <s v="Coimbatore"/>
    <s v="Sales Executive"/>
    <x v="8"/>
    <x v="0"/>
    <n v="2200"/>
    <n v="1450"/>
    <n v="2200"/>
    <n v="750"/>
  </r>
  <r>
    <s v="ORD26010425"/>
    <x v="138"/>
    <s v="C0135"/>
    <s v="E001"/>
    <s v="P011"/>
    <n v="2"/>
    <n v="2400"/>
    <n v="0.2"/>
    <x v="3"/>
    <s v="Website"/>
    <s v="Cash"/>
    <n v="3840"/>
    <s v="Pune"/>
    <n v="3840"/>
    <s v="Match"/>
    <x v="14"/>
    <x v="0"/>
    <s v="Chennai"/>
    <s v="Sales Executive"/>
    <x v="7"/>
    <x v="4"/>
    <n v="2400"/>
    <n v="1480"/>
    <n v="0"/>
    <n v="-2960"/>
  </r>
  <r>
    <s v="ORD26040426"/>
    <x v="141"/>
    <s v="C0115"/>
    <s v="E010"/>
    <s v="P011"/>
    <n v="5"/>
    <n v="2520"/>
    <n v="0"/>
    <x v="0"/>
    <s v="Phone"/>
    <s v="Bank Transfer"/>
    <n v="12600"/>
    <s v="Kolkata"/>
    <n v="12600"/>
    <s v="Match"/>
    <x v="6"/>
    <x v="3"/>
    <s v="Jaipur"/>
    <s v="Sales Executive"/>
    <x v="7"/>
    <x v="4"/>
    <n v="2400"/>
    <n v="1480"/>
    <n v="12600"/>
    <n v="5200"/>
  </r>
  <r>
    <s v="ORD26050427"/>
    <x v="137"/>
    <s v="C0226"/>
    <s v="E013"/>
    <s v="P008"/>
    <n v="5"/>
    <n v="7800"/>
    <n v="0"/>
    <x v="0"/>
    <s v="Website"/>
    <s v="Card"/>
    <n v="39000"/>
    <s v="Mumbai"/>
    <n v="39000"/>
    <s v="Match"/>
    <x v="2"/>
    <x v="1"/>
    <s v="Bhubaneswar"/>
    <s v="Sales Executive"/>
    <x v="6"/>
    <x v="3"/>
    <n v="7800"/>
    <n v="5200"/>
    <n v="39000"/>
    <n v="13000"/>
  </r>
  <r>
    <s v="ORD26050428"/>
    <x v="110"/>
    <s v="C0118"/>
    <s v="E011"/>
    <s v="P005"/>
    <n v="1"/>
    <n v="15960"/>
    <n v="0"/>
    <x v="0"/>
    <s v="Phone"/>
    <s v="Bank Transfer"/>
    <n v="15960"/>
    <s v="Mumbai"/>
    <n v="15960"/>
    <s v="Match"/>
    <x v="11"/>
    <x v="3"/>
    <s v="Lucknow"/>
    <s v="Sales Executive"/>
    <x v="9"/>
    <x v="1"/>
    <n v="16800"/>
    <n v="12600"/>
    <n v="15960"/>
    <n v="3360"/>
  </r>
  <r>
    <s v="ORD26050429"/>
    <x v="157"/>
    <s v="C0012"/>
    <s v="E011"/>
    <s v="P008"/>
    <n v="2"/>
    <n v="8190"/>
    <n v="0.15"/>
    <x v="0"/>
    <s v="Website"/>
    <s v="Upi"/>
    <n v="13923"/>
    <s v="Delhi"/>
    <n v="13923"/>
    <s v="Match"/>
    <x v="11"/>
    <x v="3"/>
    <s v="Lucknow"/>
    <s v="Sales Executive"/>
    <x v="6"/>
    <x v="3"/>
    <n v="7800"/>
    <n v="5200"/>
    <n v="13923"/>
    <n v="3523"/>
  </r>
  <r>
    <s v="ORD26050430"/>
    <x v="135"/>
    <s v="C0029"/>
    <s v="E010"/>
    <s v="P003"/>
    <n v="1"/>
    <n v="1800"/>
    <n v="0.15"/>
    <x v="0"/>
    <s v="Website"/>
    <s v="Bank Transfer"/>
    <n v="1530"/>
    <s v="Delhi"/>
    <n v="1530"/>
    <s v="Match"/>
    <x v="6"/>
    <x v="3"/>
    <s v="Jaipur"/>
    <s v="Sales Executive"/>
    <x v="3"/>
    <x v="0"/>
    <n v="1800"/>
    <n v="1120"/>
    <n v="1530"/>
    <n v="410"/>
  </r>
  <r>
    <s v="ORD26050431"/>
    <x v="163"/>
    <s v="C0044"/>
    <s v="E007"/>
    <s v="P010"/>
    <n v="8"/>
    <n v="3200"/>
    <n v="0.2"/>
    <x v="0"/>
    <s v="Website"/>
    <s v="Cash"/>
    <n v="20480"/>
    <s v="Indore"/>
    <n v="20480"/>
    <s v="Match"/>
    <x v="4"/>
    <x v="2"/>
    <s v="Pune"/>
    <s v="Sales Executive"/>
    <x v="11"/>
    <x v="4"/>
    <n v="3200"/>
    <n v="2050"/>
    <n v="20480"/>
    <n v="4080"/>
  </r>
  <r>
    <s v="ORD26050432"/>
    <x v="47"/>
    <s v="C0136"/>
    <s v="E014"/>
    <s v="P008"/>
    <n v="1"/>
    <n v="7800"/>
    <n v="0.1"/>
    <x v="0"/>
    <s v="Website"/>
    <s v="Bank Transfer"/>
    <n v="7020"/>
    <s v="Kochi"/>
    <n v="7020"/>
    <s v="Match"/>
    <x v="10"/>
    <x v="4"/>
    <s v="Indore"/>
    <s v="Sales Executive"/>
    <x v="6"/>
    <x v="3"/>
    <n v="7800"/>
    <n v="5200"/>
    <n v="7020"/>
    <n v="1820"/>
  </r>
  <r>
    <s v="ORD26060433"/>
    <x v="13"/>
    <s v="C0104"/>
    <s v="E010"/>
    <s v="P002"/>
    <n v="1"/>
    <n v="2090"/>
    <n v="0.1"/>
    <x v="0"/>
    <s v="Phone"/>
    <s v="Card"/>
    <n v="1881"/>
    <s v="Indore"/>
    <n v="1881"/>
    <s v="Match"/>
    <x v="6"/>
    <x v="3"/>
    <s v="Jaipur"/>
    <s v="Sales Executive"/>
    <x v="8"/>
    <x v="0"/>
    <n v="2200"/>
    <n v="1450"/>
    <n v="1881"/>
    <n v="431"/>
  </r>
  <r>
    <s v="ORD26010434"/>
    <x v="8"/>
    <s v="C0048"/>
    <s v="E003"/>
    <s v="P008"/>
    <n v="5"/>
    <n v="7410"/>
    <n v="0.15"/>
    <x v="0"/>
    <s v="Phone"/>
    <s v="Card"/>
    <n v="31492.5"/>
    <s v="Indore"/>
    <n v="31492.5"/>
    <s v="Match"/>
    <x v="7"/>
    <x v="0"/>
    <s v="Hyderabad"/>
    <s v="Sales Executive"/>
    <x v="6"/>
    <x v="3"/>
    <n v="7800"/>
    <n v="5200"/>
    <n v="31492.5"/>
    <n v="5492.5"/>
  </r>
  <r>
    <s v="ORD26050435"/>
    <x v="75"/>
    <s v="C0190"/>
    <s v="E014"/>
    <s v="P001"/>
    <n v="5"/>
    <n v="682.5"/>
    <n v="0.2"/>
    <x v="0"/>
    <s v="Direct"/>
    <s v="Credit"/>
    <n v="2730"/>
    <s v="Pune"/>
    <n v="2730"/>
    <s v="Match"/>
    <x v="10"/>
    <x v="4"/>
    <s v="Indore"/>
    <s v="Sales Executive"/>
    <x v="0"/>
    <x v="0"/>
    <n v="650"/>
    <n v="390"/>
    <n v="2730"/>
    <n v="780"/>
  </r>
  <r>
    <s v="ORD26020436"/>
    <x v="113"/>
    <s v="C0218"/>
    <s v="E013"/>
    <s v="P008"/>
    <n v="4"/>
    <n v="7410"/>
    <n v="0.1"/>
    <x v="0"/>
    <s v="Website"/>
    <s v="Bank Transfer"/>
    <n v="26676"/>
    <s v="Kochi"/>
    <n v="26676"/>
    <s v="Match"/>
    <x v="2"/>
    <x v="1"/>
    <s v="Bhubaneswar"/>
    <s v="Sales Executive"/>
    <x v="6"/>
    <x v="3"/>
    <n v="7800"/>
    <n v="5200"/>
    <n v="26676"/>
    <n v="5876"/>
  </r>
  <r>
    <s v="ORD26030437"/>
    <x v="80"/>
    <s v="C0003"/>
    <s v="E015"/>
    <s v="P002"/>
    <n v="1"/>
    <n v="2200"/>
    <n v="0.15"/>
    <x v="0"/>
    <s v="Direct"/>
    <s v="Credit"/>
    <n v="1870"/>
    <s v="Jaipur"/>
    <n v="1870"/>
    <s v="Match"/>
    <x v="9"/>
    <x v="4"/>
    <s v="Bhopal"/>
    <s v="Sales Executive"/>
    <x v="8"/>
    <x v="0"/>
    <n v="2200"/>
    <n v="1450"/>
    <n v="1870"/>
    <n v="420"/>
  </r>
  <r>
    <s v="ORD26010438"/>
    <x v="145"/>
    <s v="C0210"/>
    <s v="E009"/>
    <s v="P001"/>
    <n v="2"/>
    <n v="650"/>
    <n v="0"/>
    <x v="0"/>
    <s v="Marketplace"/>
    <s v="Upi"/>
    <n v="1300"/>
    <s v="Delhi"/>
    <n v="1300"/>
    <s v="Match"/>
    <x v="13"/>
    <x v="3"/>
    <s v="Delhi"/>
    <s v="Sales Executive"/>
    <x v="0"/>
    <x v="0"/>
    <n v="650"/>
    <n v="390"/>
    <n v="1300"/>
    <n v="520"/>
  </r>
  <r>
    <s v="ORD26040439"/>
    <x v="164"/>
    <s v="C0142"/>
    <s v="E011"/>
    <s v="P010"/>
    <n v="1"/>
    <n v="3200"/>
    <n v="0.15"/>
    <x v="0"/>
    <s v="Phone"/>
    <s v="Card"/>
    <n v="2720"/>
    <s v="Pune"/>
    <n v="2720"/>
    <s v="Match"/>
    <x v="11"/>
    <x v="3"/>
    <s v="Lucknow"/>
    <s v="Sales Executive"/>
    <x v="11"/>
    <x v="4"/>
    <n v="3200"/>
    <n v="2050"/>
    <n v="2720"/>
    <n v="670"/>
  </r>
  <r>
    <s v="ORD26050440"/>
    <x v="38"/>
    <s v="C0130"/>
    <s v="E013"/>
    <s v="P009"/>
    <n v="2"/>
    <n v="19425"/>
    <n v="0.05"/>
    <x v="0"/>
    <s v="Marketplace"/>
    <s v="Credit"/>
    <n v="36907.5"/>
    <s v="Kolkata"/>
    <n v="36907.5"/>
    <s v="Match"/>
    <x v="2"/>
    <x v="1"/>
    <s v="Bhubaneswar"/>
    <s v="Sales Executive"/>
    <x v="5"/>
    <x v="3"/>
    <n v="18500"/>
    <n v="13900"/>
    <n v="36907.5"/>
    <n v="9107.5"/>
  </r>
  <r>
    <s v="ORD26060441"/>
    <x v="89"/>
    <s v="C0229"/>
    <s v="E007"/>
    <s v="P012"/>
    <n v="1"/>
    <n v="48500"/>
    <n v="0.2"/>
    <x v="0"/>
    <s v="Website"/>
    <s v="Upi"/>
    <n v="38800"/>
    <s v="Bengaluru"/>
    <n v="38800"/>
    <s v="Match"/>
    <x v="4"/>
    <x v="2"/>
    <s v="Pune"/>
    <s v="Sales Executive"/>
    <x v="2"/>
    <x v="2"/>
    <n v="48500"/>
    <n v="41200"/>
    <n v="38800"/>
    <n v="-2400"/>
  </r>
  <r>
    <s v="ORD26050442"/>
    <x v="12"/>
    <s v="C0083"/>
    <s v="E007"/>
    <s v="P006"/>
    <n v="4"/>
    <n v="1330"/>
    <n v="0.15"/>
    <x v="0"/>
    <s v="Phone"/>
    <s v="Upi"/>
    <n v="4522"/>
    <s v="Mumbai"/>
    <n v="4522"/>
    <s v="Match"/>
    <x v="4"/>
    <x v="2"/>
    <s v="Pune"/>
    <s v="Sales Executive"/>
    <x v="4"/>
    <x v="0"/>
    <n v="1400"/>
    <n v="780"/>
    <n v="4522"/>
    <n v="1402"/>
  </r>
  <r>
    <s v="ORD26020443"/>
    <x v="92"/>
    <s v="C0041"/>
    <s v="E008"/>
    <s v="P010"/>
    <n v="2"/>
    <n v="3200"/>
    <n v="0"/>
    <x v="0"/>
    <s v="Direct"/>
    <s v="Cash"/>
    <n v="6400"/>
    <s v="Pune"/>
    <n v="6400"/>
    <s v="Match"/>
    <x v="8"/>
    <x v="2"/>
    <s v="Ahmedabad"/>
    <s v="Sales Executive"/>
    <x v="11"/>
    <x v="4"/>
    <n v="3200"/>
    <n v="2050"/>
    <n v="6400"/>
    <n v="2300"/>
  </r>
  <r>
    <s v="ORD26060444"/>
    <x v="79"/>
    <s v="C0254"/>
    <s v="E011"/>
    <s v="P009"/>
    <n v="1"/>
    <n v="18500"/>
    <n v="0.15"/>
    <x v="0"/>
    <s v="Phone"/>
    <s v="Upi"/>
    <n v="15725"/>
    <s v="Bengaluru"/>
    <n v="15725"/>
    <s v="Match"/>
    <x v="11"/>
    <x v="3"/>
    <s v="Lucknow"/>
    <s v="Sales Executive"/>
    <x v="5"/>
    <x v="3"/>
    <n v="18500"/>
    <n v="13900"/>
    <n v="15725"/>
    <n v="1825"/>
  </r>
  <r>
    <s v="ORD26060445"/>
    <x v="68"/>
    <s v="C0087"/>
    <s v="E015"/>
    <s v="P009"/>
    <n v="1"/>
    <n v="18500"/>
    <n v="0"/>
    <x v="0"/>
    <s v="Direct"/>
    <s v="Bank Transfer"/>
    <n v="18500"/>
    <s v="Bengaluru"/>
    <n v="18500"/>
    <s v="Match"/>
    <x v="9"/>
    <x v="4"/>
    <s v="Bhopal"/>
    <s v="Sales Executive"/>
    <x v="5"/>
    <x v="3"/>
    <n v="18500"/>
    <n v="13900"/>
    <n v="18500"/>
    <n v="4600"/>
  </r>
  <r>
    <s v="ORD26060446"/>
    <x v="154"/>
    <s v="C0203"/>
    <s v="E001"/>
    <s v="P003"/>
    <n v="1"/>
    <n v="1800"/>
    <n v="0.05"/>
    <x v="0"/>
    <s v="Phone"/>
    <s v="Credit"/>
    <n v="1710"/>
    <s v="Bengaluru"/>
    <n v="1710"/>
    <s v="Match"/>
    <x v="14"/>
    <x v="0"/>
    <s v="Chennai"/>
    <s v="Sales Executive"/>
    <x v="3"/>
    <x v="0"/>
    <n v="1800"/>
    <n v="1120"/>
    <n v="1710"/>
    <n v="590"/>
  </r>
  <r>
    <s v="ORD26050447"/>
    <x v="163"/>
    <s v="C0178"/>
    <s v="E001"/>
    <s v="P012"/>
    <n v="3"/>
    <n v="48500"/>
    <n v="0"/>
    <x v="0"/>
    <s v="Marketplace"/>
    <s v="Card"/>
    <n v="145500"/>
    <s v="Indore"/>
    <n v="145500"/>
    <s v="Match"/>
    <x v="14"/>
    <x v="0"/>
    <s v="Chennai"/>
    <s v="Sales Executive"/>
    <x v="2"/>
    <x v="2"/>
    <n v="48500"/>
    <n v="41200"/>
    <n v="145500"/>
    <n v="21900"/>
  </r>
  <r>
    <s v="ORD26020448"/>
    <x v="58"/>
    <s v="C0038"/>
    <s v="E008"/>
    <s v="P007"/>
    <n v="3"/>
    <n v="2470"/>
    <n v="0.05"/>
    <x v="0"/>
    <s v="Marketplace"/>
    <s v="Bank Transfer"/>
    <n v="7039.5"/>
    <s v="Mumbai"/>
    <n v="7039.5"/>
    <s v="Match"/>
    <x v="8"/>
    <x v="2"/>
    <s v="Ahmedabad"/>
    <s v="Sales Executive"/>
    <x v="10"/>
    <x v="0"/>
    <n v="2600"/>
    <n v="1750"/>
    <n v="7039.5"/>
    <n v="1789.5"/>
  </r>
  <r>
    <s v="ORD26050449"/>
    <x v="110"/>
    <s v="C0194"/>
    <s v="E005"/>
    <s v="P009"/>
    <n v="4"/>
    <n v="19425"/>
    <n v="0.15"/>
    <x v="0"/>
    <s v="Phone"/>
    <s v="Card"/>
    <n v="66045"/>
    <s v="Kolkata"/>
    <n v="66045"/>
    <s v="Match"/>
    <x v="3"/>
    <x v="0"/>
    <s v="Kochi"/>
    <s v="Sales Executive"/>
    <x v="5"/>
    <x v="3"/>
    <n v="18500"/>
    <n v="13900"/>
    <n v="66045"/>
    <n v="10445"/>
  </r>
  <r>
    <s v="ORD26040450"/>
    <x v="90"/>
    <s v="C0035"/>
    <s v="E011"/>
    <s v="P008"/>
    <n v="5"/>
    <n v="7800"/>
    <n v="0"/>
    <x v="0"/>
    <s v="Phone"/>
    <s v="Card"/>
    <n v="39000"/>
    <s v="Bengaluru"/>
    <n v="39000"/>
    <s v="Match"/>
    <x v="11"/>
    <x v="3"/>
    <s v="Lucknow"/>
    <s v="Sales Executive"/>
    <x v="6"/>
    <x v="3"/>
    <n v="7800"/>
    <n v="5200"/>
    <n v="39000"/>
    <n v="13000"/>
  </r>
  <r>
    <s v="ORD26030451"/>
    <x v="114"/>
    <s v="C0128"/>
    <s v="E007"/>
    <s v="P006"/>
    <n v="2"/>
    <n v="1400"/>
    <n v="0"/>
    <x v="0"/>
    <s v="Marketplace"/>
    <s v="Upi"/>
    <n v="2800"/>
    <s v="Pune"/>
    <n v="2800"/>
    <s v="Match"/>
    <x v="4"/>
    <x v="2"/>
    <s v="Pune"/>
    <s v="Sales Executive"/>
    <x v="4"/>
    <x v="0"/>
    <n v="1400"/>
    <n v="780"/>
    <n v="2800"/>
    <n v="1240"/>
  </r>
  <r>
    <s v="ORD26060452"/>
    <x v="116"/>
    <s v="C0112"/>
    <s v="E012"/>
    <s v="P006"/>
    <n v="1"/>
    <n v="1400"/>
    <n v="0"/>
    <x v="0"/>
    <s v="Marketplace"/>
    <s v="Card"/>
    <n v="1400"/>
    <s v="Bengaluru"/>
    <n v="1400"/>
    <s v="Match"/>
    <x v="12"/>
    <x v="1"/>
    <s v="Kolkata"/>
    <s v="Sales Executive"/>
    <x v="4"/>
    <x v="0"/>
    <n v="1400"/>
    <n v="780"/>
    <n v="1400"/>
    <n v="620"/>
  </r>
  <r>
    <s v="ORD26050453"/>
    <x v="140"/>
    <s v="C0118"/>
    <s v="E012"/>
    <s v="P004"/>
    <n v="1"/>
    <n v="11200"/>
    <n v="0"/>
    <x v="2"/>
    <s v="Website"/>
    <s v="Card"/>
    <n v="11200"/>
    <s v="Indore"/>
    <n v="11200"/>
    <s v="Match"/>
    <x v="12"/>
    <x v="1"/>
    <s v="Kolkata"/>
    <s v="Sales Executive"/>
    <x v="1"/>
    <x v="1"/>
    <n v="11200"/>
    <n v="8300"/>
    <n v="0"/>
    <n v="-8300"/>
  </r>
  <r>
    <s v="ORD26040454"/>
    <x v="76"/>
    <s v="C0004"/>
    <s v="E003"/>
    <s v="P002"/>
    <n v="1"/>
    <n v="2310"/>
    <n v="0"/>
    <x v="0"/>
    <s v="Direct"/>
    <s v="Cash"/>
    <n v="2310"/>
    <s v="Kolkata"/>
    <n v="2310"/>
    <s v="Match"/>
    <x v="7"/>
    <x v="0"/>
    <s v="Hyderabad"/>
    <s v="Sales Executive"/>
    <x v="8"/>
    <x v="0"/>
    <n v="2200"/>
    <n v="1450"/>
    <n v="2310"/>
    <n v="860"/>
  </r>
  <r>
    <s v="ORD26060455"/>
    <x v="155"/>
    <s v="C0094"/>
    <s v="E006"/>
    <s v="P008"/>
    <n v="5"/>
    <n v="8190"/>
    <n v="0.15"/>
    <x v="1"/>
    <s v="Marketplace"/>
    <s v="Cash"/>
    <n v="34807.5"/>
    <s v="Bengaluru"/>
    <n v="34807.5"/>
    <s v="Match"/>
    <x v="5"/>
    <x v="2"/>
    <s v="Mumbai"/>
    <s v="Sales Executive"/>
    <x v="6"/>
    <x v="3"/>
    <n v="7800"/>
    <n v="5200"/>
    <n v="0"/>
    <n v="-26000"/>
  </r>
  <r>
    <s v="ORD26050456"/>
    <x v="45"/>
    <s v="C0258"/>
    <s v="E003"/>
    <s v="P001"/>
    <n v="2"/>
    <n v="617.5"/>
    <n v="0.1"/>
    <x v="0"/>
    <s v="Marketplace"/>
    <s v="Cash"/>
    <n v="1111.5"/>
    <s v="Delhi"/>
    <n v="1111.5"/>
    <s v="Match"/>
    <x v="7"/>
    <x v="0"/>
    <s v="Hyderabad"/>
    <s v="Sales Executive"/>
    <x v="0"/>
    <x v="0"/>
    <n v="650"/>
    <n v="390"/>
    <n v="1111.5"/>
    <n v="331.5"/>
  </r>
  <r>
    <s v="ORD26040457"/>
    <x v="90"/>
    <s v="C0108"/>
    <s v="E002"/>
    <s v="P012"/>
    <n v="2"/>
    <n v="46075"/>
    <n v="0.05"/>
    <x v="0"/>
    <s v="Phone"/>
    <s v="Credit"/>
    <n v="87542.5"/>
    <s v="Mumbai"/>
    <n v="87542.5"/>
    <s v="Match"/>
    <x v="0"/>
    <x v="0"/>
    <s v="Bengaluru"/>
    <s v="Sales Executive"/>
    <x v="2"/>
    <x v="2"/>
    <n v="48500"/>
    <n v="41200"/>
    <n v="87542.5"/>
    <n v="5142.5"/>
  </r>
  <r>
    <s v="ORD26030458"/>
    <x v="105"/>
    <s v="C0138"/>
    <s v="E006"/>
    <s v="P010"/>
    <n v="5"/>
    <n v="3200"/>
    <n v="0"/>
    <x v="0"/>
    <s v="Phone"/>
    <s v="Credit"/>
    <n v="16000"/>
    <s v="Kolkata"/>
    <n v="16000"/>
    <s v="Match"/>
    <x v="5"/>
    <x v="2"/>
    <s v="Mumbai"/>
    <s v="Sales Executive"/>
    <x v="11"/>
    <x v="4"/>
    <n v="3200"/>
    <n v="2050"/>
    <n v="16000"/>
    <n v="5750"/>
  </r>
  <r>
    <s v="ORD26040459"/>
    <x v="141"/>
    <s v="C0187"/>
    <s v="E003"/>
    <s v="P008"/>
    <n v="2"/>
    <n v="7800"/>
    <n v="0.1"/>
    <x v="0"/>
    <s v="Phone"/>
    <s v="Bank Transfer"/>
    <n v="14040"/>
    <s v="Kochi"/>
    <n v="14040"/>
    <s v="Match"/>
    <x v="7"/>
    <x v="0"/>
    <s v="Hyderabad"/>
    <s v="Sales Executive"/>
    <x v="6"/>
    <x v="3"/>
    <n v="7800"/>
    <n v="5200"/>
    <n v="14040"/>
    <n v="3640"/>
  </r>
  <r>
    <s v="ORD26020460"/>
    <x v="54"/>
    <s v="C0139"/>
    <s v="E010"/>
    <s v="P003"/>
    <n v="10"/>
    <n v="1710"/>
    <n v="0.2"/>
    <x v="0"/>
    <s v="Website"/>
    <s v="Credit"/>
    <n v="13680"/>
    <s v="Pune"/>
    <n v="13680"/>
    <s v="Match"/>
    <x v="6"/>
    <x v="3"/>
    <s v="Jaipur"/>
    <s v="Sales Executive"/>
    <x v="3"/>
    <x v="0"/>
    <n v="1800"/>
    <n v="1120"/>
    <n v="13680"/>
    <n v="2480"/>
  </r>
  <r>
    <s v="ORD26040461"/>
    <x v="11"/>
    <s v="C0091"/>
    <s v="E004"/>
    <s v="P003"/>
    <n v="4"/>
    <n v="1710"/>
    <n v="0.2"/>
    <x v="0"/>
    <s v="Phone"/>
    <s v="Cash"/>
    <n v="5472"/>
    <s v="Delhi"/>
    <n v="5472"/>
    <s v="Match"/>
    <x v="1"/>
    <x v="0"/>
    <s v="Coimbatore"/>
    <s v="Sales Executive"/>
    <x v="3"/>
    <x v="0"/>
    <n v="1800"/>
    <n v="1120"/>
    <n v="5472"/>
    <n v="992"/>
  </r>
  <r>
    <s v="ORD26060462"/>
    <x v="136"/>
    <s v="C0204"/>
    <s v="E009"/>
    <s v="P009"/>
    <n v="3"/>
    <n v="17575"/>
    <n v="0.1"/>
    <x v="0"/>
    <s v="Direct"/>
    <s v="Card"/>
    <n v="47452.5"/>
    <s v="Chennai"/>
    <n v="47452.5"/>
    <s v="Match"/>
    <x v="13"/>
    <x v="3"/>
    <s v="Delhi"/>
    <s v="Sales Executive"/>
    <x v="5"/>
    <x v="3"/>
    <n v="18500"/>
    <n v="13900"/>
    <n v="47452.5"/>
    <n v="5752.5"/>
  </r>
  <r>
    <s v="ORD26020463"/>
    <x v="125"/>
    <s v="C0134"/>
    <s v="E014"/>
    <s v="P005"/>
    <n v="2"/>
    <n v="16800"/>
    <n v="0.2"/>
    <x v="0"/>
    <s v="Marketplace"/>
    <s v="Bank Transfer"/>
    <n v="26880"/>
    <s v="Jaipur"/>
    <n v="26880"/>
    <s v="Match"/>
    <x v="10"/>
    <x v="4"/>
    <s v="Indore"/>
    <s v="Sales Executive"/>
    <x v="9"/>
    <x v="1"/>
    <n v="16800"/>
    <n v="12600"/>
    <n v="26880"/>
    <n v="1680"/>
  </r>
  <r>
    <s v="ORD26050464"/>
    <x v="115"/>
    <s v="C0090"/>
    <s v="E015"/>
    <s v="P005"/>
    <n v="2"/>
    <n v="16800"/>
    <n v="0.1"/>
    <x v="0"/>
    <s v="Marketplace"/>
    <s v="Bank Transfer"/>
    <n v="30240"/>
    <s v="Kolkata"/>
    <n v="30240"/>
    <s v="Match"/>
    <x v="9"/>
    <x v="4"/>
    <s v="Bhopal"/>
    <s v="Sales Executive"/>
    <x v="9"/>
    <x v="1"/>
    <n v="16800"/>
    <n v="12600"/>
    <n v="30240"/>
    <n v="5040"/>
  </r>
  <r>
    <s v="ORD26060465"/>
    <x v="116"/>
    <s v="C0147"/>
    <s v="E009"/>
    <s v="P008"/>
    <n v="4"/>
    <n v="8190"/>
    <n v="0.1"/>
    <x v="2"/>
    <s v="Phone"/>
    <s v="Card"/>
    <n v="29484"/>
    <s v="Delhi"/>
    <n v="29484"/>
    <s v="Match"/>
    <x v="13"/>
    <x v="3"/>
    <s v="Delhi"/>
    <s v="Sales Executive"/>
    <x v="6"/>
    <x v="3"/>
    <n v="7800"/>
    <n v="5200"/>
    <n v="0"/>
    <n v="-20800"/>
  </r>
  <r>
    <s v="ORD26060466"/>
    <x v="0"/>
    <s v="C0041"/>
    <s v="E013"/>
    <s v="P006"/>
    <n v="2"/>
    <n v="1330"/>
    <n v="0.15"/>
    <x v="0"/>
    <s v="Website"/>
    <s v="Bank Transfer"/>
    <n v="2261"/>
    <s v="Bengaluru"/>
    <n v="2261"/>
    <s v="Match"/>
    <x v="2"/>
    <x v="1"/>
    <s v="Bhubaneswar"/>
    <s v="Sales Executive"/>
    <x v="4"/>
    <x v="0"/>
    <n v="1400"/>
    <n v="780"/>
    <n v="2261"/>
    <n v="701"/>
  </r>
  <r>
    <s v="ORD26030467"/>
    <x v="114"/>
    <s v="C0139"/>
    <s v="E006"/>
    <s v="P011"/>
    <n v="1"/>
    <n v="2520"/>
    <n v="0.05"/>
    <x v="0"/>
    <s v="Phone"/>
    <s v="Bank Transfer"/>
    <n v="2394"/>
    <s v="Indore"/>
    <n v="2394"/>
    <s v="Match"/>
    <x v="5"/>
    <x v="2"/>
    <s v="Mumbai"/>
    <s v="Sales Executive"/>
    <x v="7"/>
    <x v="4"/>
    <n v="2400"/>
    <n v="1480"/>
    <n v="2394"/>
    <n v="914"/>
  </r>
  <r>
    <s v="ORD26050468"/>
    <x v="144"/>
    <s v="C0129"/>
    <s v="E008"/>
    <s v="P007"/>
    <n v="1"/>
    <n v="2600"/>
    <n v="0"/>
    <x v="0"/>
    <s v="Direct"/>
    <s v="Card"/>
    <n v="2600"/>
    <s v="Delhi"/>
    <n v="2600"/>
    <s v="Match"/>
    <x v="8"/>
    <x v="2"/>
    <s v="Ahmedabad"/>
    <s v="Sales Executive"/>
    <x v="10"/>
    <x v="0"/>
    <n v="2600"/>
    <n v="1750"/>
    <n v="2600"/>
    <n v="850"/>
  </r>
  <r>
    <s v="ORD26040469"/>
    <x v="50"/>
    <s v="C0204"/>
    <s v="E002"/>
    <s v="P002"/>
    <n v="1"/>
    <n v="2090"/>
    <n v="0.1"/>
    <x v="0"/>
    <s v="Direct"/>
    <s v="Upi"/>
    <n v="1881"/>
    <s v="Hyderabad"/>
    <n v="1881"/>
    <s v="Match"/>
    <x v="0"/>
    <x v="0"/>
    <s v="Bengaluru"/>
    <s v="Sales Executive"/>
    <x v="8"/>
    <x v="0"/>
    <n v="2200"/>
    <n v="1450"/>
    <n v="1881"/>
    <n v="431"/>
  </r>
  <r>
    <s v="ORD26060470"/>
    <x v="155"/>
    <s v="C0146"/>
    <s v="E003"/>
    <s v="P002"/>
    <n v="3"/>
    <n v="2200"/>
    <n v="0.1"/>
    <x v="0"/>
    <s v="Phone"/>
    <s v="Card"/>
    <n v="5940"/>
    <s v="Delhi"/>
    <n v="5940"/>
    <s v="Match"/>
    <x v="7"/>
    <x v="0"/>
    <s v="Hyderabad"/>
    <s v="Sales Executive"/>
    <x v="8"/>
    <x v="0"/>
    <n v="2200"/>
    <n v="1450"/>
    <n v="5940"/>
    <n v="1590"/>
  </r>
  <r>
    <s v="ORD26050471"/>
    <x v="87"/>
    <s v="C0244"/>
    <s v="E014"/>
    <s v="P003"/>
    <n v="1"/>
    <n v="1800"/>
    <n v="0.2"/>
    <x v="0"/>
    <s v="Phone"/>
    <s v="Credit"/>
    <n v="1440"/>
    <s v="Hyderabad"/>
    <n v="1440"/>
    <s v="Match"/>
    <x v="10"/>
    <x v="4"/>
    <s v="Indore"/>
    <s v="Sales Executive"/>
    <x v="3"/>
    <x v="0"/>
    <n v="1800"/>
    <n v="1120"/>
    <n v="1440"/>
    <n v="320"/>
  </r>
  <r>
    <s v="ORD26050472"/>
    <x v="133"/>
    <s v="C0223"/>
    <s v="E008"/>
    <s v="P003"/>
    <n v="8"/>
    <n v="1890"/>
    <n v="0.2"/>
    <x v="0"/>
    <s v="Marketplace"/>
    <s v="Bank Transfer"/>
    <n v="12096"/>
    <s v="Kochi"/>
    <n v="12096"/>
    <s v="Match"/>
    <x v="8"/>
    <x v="2"/>
    <s v="Ahmedabad"/>
    <s v="Sales Executive"/>
    <x v="3"/>
    <x v="0"/>
    <n v="1800"/>
    <n v="1120"/>
    <n v="12096"/>
    <n v="3136"/>
  </r>
  <r>
    <s v="ORD26050473"/>
    <x v="75"/>
    <s v="C0156"/>
    <s v="E004"/>
    <s v="P002"/>
    <n v="2"/>
    <n v="2200"/>
    <n v="0.05"/>
    <x v="0"/>
    <s v="Direct"/>
    <s v="Upi"/>
    <n v="4180"/>
    <s v="Jaipur"/>
    <n v="4180"/>
    <s v="Match"/>
    <x v="1"/>
    <x v="0"/>
    <s v="Coimbatore"/>
    <s v="Sales Executive"/>
    <x v="8"/>
    <x v="0"/>
    <n v="2200"/>
    <n v="1450"/>
    <n v="4180"/>
    <n v="1280"/>
  </r>
  <r>
    <s v="ORD26020474"/>
    <x v="126"/>
    <s v="C0245"/>
    <s v="E006"/>
    <s v="P005"/>
    <n v="2"/>
    <n v="17640"/>
    <n v="0"/>
    <x v="0"/>
    <s v="Marketplace"/>
    <s v="Upi"/>
    <n v="35280"/>
    <s v="Pune"/>
    <n v="35280"/>
    <s v="Match"/>
    <x v="5"/>
    <x v="2"/>
    <s v="Mumbai"/>
    <s v="Sales Executive"/>
    <x v="9"/>
    <x v="1"/>
    <n v="16800"/>
    <n v="12600"/>
    <n v="35280"/>
    <n v="10080"/>
  </r>
  <r>
    <s v="ORD26030475"/>
    <x v="70"/>
    <s v="C0224"/>
    <s v="E010"/>
    <s v="P004"/>
    <n v="4"/>
    <n v="11760"/>
    <n v="0.15"/>
    <x v="0"/>
    <s v="Phone"/>
    <s v="Card"/>
    <n v="39984"/>
    <s v="Delhi"/>
    <n v="39984"/>
    <s v="Match"/>
    <x v="6"/>
    <x v="3"/>
    <s v="Jaipur"/>
    <s v="Sales Executive"/>
    <x v="1"/>
    <x v="1"/>
    <n v="11200"/>
    <n v="8300"/>
    <n v="39984"/>
    <n v="6784"/>
  </r>
  <r>
    <s v="ORD26060476"/>
    <x v="146"/>
    <s v="C0140"/>
    <s v="E007"/>
    <s v="P007"/>
    <n v="1"/>
    <n v="2600"/>
    <n v="0"/>
    <x v="0"/>
    <s v="Marketplace"/>
    <s v="Credit"/>
    <n v="2600"/>
    <s v="Hyderabad"/>
    <n v="2600"/>
    <s v="Match"/>
    <x v="4"/>
    <x v="2"/>
    <s v="Pune"/>
    <s v="Sales Executive"/>
    <x v="10"/>
    <x v="0"/>
    <n v="2600"/>
    <n v="1750"/>
    <n v="2600"/>
    <n v="850"/>
  </r>
  <r>
    <s v="ORD26040477"/>
    <x v="123"/>
    <s v="C0232"/>
    <s v="E004"/>
    <s v="P002"/>
    <n v="1"/>
    <n v="2310"/>
    <n v="0.05"/>
    <x v="0"/>
    <s v="Marketplace"/>
    <s v="Credit"/>
    <n v="2194.5"/>
    <s v="Kochi"/>
    <n v="2194.5"/>
    <s v="Match"/>
    <x v="1"/>
    <x v="0"/>
    <s v="Coimbatore"/>
    <s v="Sales Executive"/>
    <x v="8"/>
    <x v="0"/>
    <n v="2200"/>
    <n v="1450"/>
    <n v="2194.5"/>
    <n v="744.5"/>
  </r>
  <r>
    <s v="ORD26020478"/>
    <x v="36"/>
    <s v="C0145"/>
    <s v="E006"/>
    <s v="P001"/>
    <n v="1"/>
    <n v="617.5"/>
    <n v="0.15"/>
    <x v="0"/>
    <s v="Marketplace"/>
    <s v="Card"/>
    <n v="524.88"/>
    <s v="Kochi"/>
    <n v="524.875"/>
    <s v="Match"/>
    <x v="5"/>
    <x v="2"/>
    <s v="Mumbai"/>
    <s v="Sales Executive"/>
    <x v="0"/>
    <x v="0"/>
    <n v="650"/>
    <n v="390"/>
    <n v="524.875"/>
    <n v="134.875"/>
  </r>
  <r>
    <s v="ORD26010479"/>
    <x v="165"/>
    <s v="C0160"/>
    <s v="E004"/>
    <s v="P002"/>
    <n v="1"/>
    <n v="2310"/>
    <n v="0.1"/>
    <x v="0"/>
    <s v="Phone"/>
    <s v="Bank Transfer"/>
    <n v="2079"/>
    <s v="Kochi"/>
    <n v="2079"/>
    <s v="Match"/>
    <x v="1"/>
    <x v="0"/>
    <s v="Coimbatore"/>
    <s v="Sales Executive"/>
    <x v="8"/>
    <x v="0"/>
    <n v="2200"/>
    <n v="1450"/>
    <n v="2079"/>
    <n v="629"/>
  </r>
  <r>
    <s v="ORD26060480"/>
    <x v="41"/>
    <s v="C0037"/>
    <s v="E013"/>
    <s v="P001"/>
    <n v="2"/>
    <n v="682.5"/>
    <n v="0"/>
    <x v="0"/>
    <s v="Phone"/>
    <s v="Card"/>
    <n v="1365"/>
    <s v="Bengaluru"/>
    <n v="1365"/>
    <s v="Match"/>
    <x v="2"/>
    <x v="1"/>
    <s v="Bhubaneswar"/>
    <s v="Sales Executive"/>
    <x v="0"/>
    <x v="0"/>
    <n v="650"/>
    <n v="390"/>
    <n v="1365"/>
    <n v="585"/>
  </r>
  <r>
    <s v="ORD26030481"/>
    <x v="104"/>
    <s v="C0198"/>
    <s v="E014"/>
    <s v="P007"/>
    <n v="4"/>
    <n v="2600"/>
    <n v="0"/>
    <x v="3"/>
    <s v="Phone"/>
    <s v="Card"/>
    <n v="10400"/>
    <s v="Chennai"/>
    <n v="10400"/>
    <s v="Match"/>
    <x v="10"/>
    <x v="4"/>
    <s v="Indore"/>
    <s v="Sales Executive"/>
    <x v="10"/>
    <x v="0"/>
    <n v="2600"/>
    <n v="1750"/>
    <n v="0"/>
    <n v="-7000"/>
  </r>
  <r>
    <s v="ORD26020482"/>
    <x v="40"/>
    <s v="C0243"/>
    <s v="E008"/>
    <s v="P012"/>
    <n v="4"/>
    <n v="48500"/>
    <n v="0.15"/>
    <x v="2"/>
    <s v="Phone"/>
    <s v="Bank Transfer"/>
    <n v="164900"/>
    <s v="Kolkata"/>
    <n v="164900"/>
    <s v="Match"/>
    <x v="8"/>
    <x v="2"/>
    <s v="Ahmedabad"/>
    <s v="Sales Executive"/>
    <x v="2"/>
    <x v="2"/>
    <n v="48500"/>
    <n v="41200"/>
    <n v="0"/>
    <n v="-164800"/>
  </r>
  <r>
    <s v="ORD26020483"/>
    <x v="26"/>
    <s v="C0247"/>
    <s v="E011"/>
    <s v="P012"/>
    <n v="1"/>
    <n v="48500"/>
    <n v="0.15"/>
    <x v="0"/>
    <s v="Marketplace"/>
    <s v="Card"/>
    <n v="41225"/>
    <s v="Kolkata"/>
    <n v="41225"/>
    <s v="Match"/>
    <x v="11"/>
    <x v="3"/>
    <s v="Lucknow"/>
    <s v="Sales Executive"/>
    <x v="2"/>
    <x v="2"/>
    <n v="48500"/>
    <n v="41200"/>
    <n v="41225"/>
    <n v="25"/>
  </r>
  <r>
    <s v="ORD26010484"/>
    <x v="17"/>
    <s v="C0167"/>
    <s v="E014"/>
    <s v="P011"/>
    <n v="1"/>
    <n v="2520"/>
    <n v="0"/>
    <x v="0"/>
    <s v="Direct"/>
    <s v="Card"/>
    <n v="2520"/>
    <s v="Hyderabad"/>
    <n v="2520"/>
    <s v="Match"/>
    <x v="10"/>
    <x v="4"/>
    <s v="Indore"/>
    <s v="Sales Executive"/>
    <x v="7"/>
    <x v="4"/>
    <n v="2400"/>
    <n v="1480"/>
    <n v="2520"/>
    <n v="1040"/>
  </r>
  <r>
    <s v="ORD26050485"/>
    <x v="166"/>
    <s v="C0080"/>
    <s v="E002"/>
    <s v="P007"/>
    <n v="4"/>
    <n v="2730"/>
    <n v="0"/>
    <x v="3"/>
    <s v="Marketplace"/>
    <s v="Upi"/>
    <n v="10920"/>
    <s v="Bengaluru"/>
    <n v="10920"/>
    <s v="Match"/>
    <x v="0"/>
    <x v="0"/>
    <s v="Bengaluru"/>
    <s v="Sales Executive"/>
    <x v="10"/>
    <x v="0"/>
    <n v="2600"/>
    <n v="1750"/>
    <n v="0"/>
    <n v="-7000"/>
  </r>
  <r>
    <s v="ORD26020486"/>
    <x v="26"/>
    <s v="C0031"/>
    <s v="E008"/>
    <s v="P002"/>
    <n v="3"/>
    <n v="2090"/>
    <n v="0.05"/>
    <x v="1"/>
    <s v="Marketplace"/>
    <s v="Card"/>
    <n v="5956.5"/>
    <s v="Jaipur"/>
    <n v="5956.5"/>
    <s v="Match"/>
    <x v="8"/>
    <x v="2"/>
    <s v="Ahmedabad"/>
    <s v="Sales Executive"/>
    <x v="8"/>
    <x v="0"/>
    <n v="2200"/>
    <n v="1450"/>
    <n v="0"/>
    <n v="-4350"/>
  </r>
  <r>
    <s v="ORD26010487"/>
    <x v="81"/>
    <s v="C0225"/>
    <s v="E003"/>
    <s v="P008"/>
    <n v="1"/>
    <n v="7800"/>
    <n v="0.15"/>
    <x v="0"/>
    <s v="Website"/>
    <s v="Upi"/>
    <n v="6630"/>
    <s v="Pune"/>
    <n v="6630"/>
    <s v="Match"/>
    <x v="7"/>
    <x v="0"/>
    <s v="Hyderabad"/>
    <s v="Sales Executive"/>
    <x v="6"/>
    <x v="3"/>
    <n v="7800"/>
    <n v="5200"/>
    <n v="6630"/>
    <n v="1430"/>
  </r>
  <r>
    <s v="ORD26040488"/>
    <x v="76"/>
    <s v="C0151"/>
    <s v="E012"/>
    <s v="P003"/>
    <n v="1"/>
    <n v="1890"/>
    <n v="0"/>
    <x v="0"/>
    <s v="Phone"/>
    <s v="Card"/>
    <n v="1890"/>
    <s v="Indore"/>
    <n v="1890"/>
    <s v="Match"/>
    <x v="12"/>
    <x v="1"/>
    <s v="Kolkata"/>
    <s v="Sales Executive"/>
    <x v="3"/>
    <x v="0"/>
    <n v="1800"/>
    <n v="1120"/>
    <n v="1890"/>
    <n v="770"/>
  </r>
  <r>
    <s v="ORD26020489"/>
    <x v="117"/>
    <s v="C0036"/>
    <s v="E009"/>
    <s v="P006"/>
    <n v="2"/>
    <n v="1400"/>
    <n v="0.1"/>
    <x v="0"/>
    <s v="Website"/>
    <s v="Cash"/>
    <n v="2520"/>
    <s v="Hyderabad"/>
    <n v="2520"/>
    <s v="Match"/>
    <x v="13"/>
    <x v="3"/>
    <s v="Delhi"/>
    <s v="Sales Executive"/>
    <x v="4"/>
    <x v="0"/>
    <n v="1400"/>
    <n v="780"/>
    <n v="2520"/>
    <n v="960"/>
  </r>
  <r>
    <s v="ORD26030490"/>
    <x v="24"/>
    <s v="C0010"/>
    <s v="E009"/>
    <s v="P006"/>
    <n v="2"/>
    <n v="1400"/>
    <n v="0.2"/>
    <x v="0"/>
    <s v="Marketplace"/>
    <s v="Credit"/>
    <n v="2240"/>
    <s v="Bengaluru"/>
    <n v="2240"/>
    <s v="Match"/>
    <x v="13"/>
    <x v="3"/>
    <s v="Delhi"/>
    <s v="Sales Executive"/>
    <x v="4"/>
    <x v="0"/>
    <n v="1400"/>
    <n v="780"/>
    <n v="2240"/>
    <n v="680"/>
  </r>
  <r>
    <s v="ORD26030491"/>
    <x v="167"/>
    <s v="C0255"/>
    <s v="E012"/>
    <s v="P002"/>
    <n v="3"/>
    <n v="2200"/>
    <n v="0.15"/>
    <x v="0"/>
    <s v="Website"/>
    <s v="Credit"/>
    <n v="5610"/>
    <s v="Hyderabad"/>
    <n v="5610"/>
    <s v="Match"/>
    <x v="12"/>
    <x v="1"/>
    <s v="Kolkata"/>
    <s v="Sales Executive"/>
    <x v="8"/>
    <x v="0"/>
    <n v="2200"/>
    <n v="1450"/>
    <n v="5610"/>
    <n v="1260"/>
  </r>
  <r>
    <s v="ORD26030492"/>
    <x v="167"/>
    <s v="C0023"/>
    <s v="E007"/>
    <s v="P011"/>
    <n v="2"/>
    <n v="2280"/>
    <n v="0"/>
    <x v="0"/>
    <s v="Website"/>
    <s v="Card"/>
    <n v="4560"/>
    <s v="Chennai"/>
    <n v="4560"/>
    <s v="Match"/>
    <x v="4"/>
    <x v="2"/>
    <s v="Pune"/>
    <s v="Sales Executive"/>
    <x v="7"/>
    <x v="4"/>
    <n v="2400"/>
    <n v="1480"/>
    <n v="4560"/>
    <n v="1600"/>
  </r>
  <r>
    <s v="ORD26020493"/>
    <x v="128"/>
    <s v="C0251"/>
    <s v="E002"/>
    <s v="P008"/>
    <n v="1"/>
    <n v="8190"/>
    <n v="0"/>
    <x v="0"/>
    <s v="Marketplace"/>
    <s v="Upi"/>
    <n v="8190"/>
    <s v="Kolkata"/>
    <n v="8190"/>
    <s v="Match"/>
    <x v="0"/>
    <x v="0"/>
    <s v="Bengaluru"/>
    <s v="Sales Executive"/>
    <x v="6"/>
    <x v="3"/>
    <n v="7800"/>
    <n v="5200"/>
    <n v="8190"/>
    <n v="2990"/>
  </r>
  <r>
    <s v="ORD26020494"/>
    <x v="56"/>
    <s v="C0240"/>
    <s v="E010"/>
    <s v="P012"/>
    <n v="1"/>
    <n v="46075"/>
    <n v="0"/>
    <x v="0"/>
    <s v="Direct"/>
    <s v="Bank Transfer"/>
    <n v="46075"/>
    <s v="Jaipur"/>
    <n v="46075"/>
    <s v="Match"/>
    <x v="6"/>
    <x v="3"/>
    <s v="Jaipur"/>
    <s v="Sales Executive"/>
    <x v="2"/>
    <x v="2"/>
    <n v="48500"/>
    <n v="41200"/>
    <n v="46075"/>
    <n v="4875"/>
  </r>
  <r>
    <s v="ORD26040495"/>
    <x v="168"/>
    <s v="C0021"/>
    <s v="E014"/>
    <s v="P006"/>
    <n v="4"/>
    <n v="1400"/>
    <n v="0"/>
    <x v="0"/>
    <s v="Direct"/>
    <s v="Bank Transfer"/>
    <n v="5600"/>
    <s v="Mumbai"/>
    <n v="5600"/>
    <s v="Match"/>
    <x v="10"/>
    <x v="4"/>
    <s v="Indore"/>
    <s v="Sales Executive"/>
    <x v="4"/>
    <x v="0"/>
    <n v="1400"/>
    <n v="780"/>
    <n v="5600"/>
    <n v="2480"/>
  </r>
  <r>
    <s v="ORD26020496"/>
    <x v="125"/>
    <s v="C0099"/>
    <s v="E009"/>
    <s v="P002"/>
    <n v="1"/>
    <n v="2200"/>
    <n v="0"/>
    <x v="0"/>
    <s v="Website"/>
    <s v="Credit"/>
    <n v="2200"/>
    <s v="Delhi"/>
    <n v="2200"/>
    <s v="Match"/>
    <x v="13"/>
    <x v="3"/>
    <s v="Delhi"/>
    <s v="Sales Executive"/>
    <x v="8"/>
    <x v="0"/>
    <n v="2200"/>
    <n v="1450"/>
    <n v="2200"/>
    <n v="750"/>
  </r>
  <r>
    <s v="ORD26050497"/>
    <x v="115"/>
    <s v="C0235"/>
    <s v="E012"/>
    <s v="P009"/>
    <n v="2"/>
    <n v="18500"/>
    <n v="0"/>
    <x v="0"/>
    <s v="Phone"/>
    <s v="Upi"/>
    <n v="37000"/>
    <s v="Delhi"/>
    <n v="37000"/>
    <s v="Match"/>
    <x v="12"/>
    <x v="1"/>
    <s v="Kolkata"/>
    <s v="Sales Executive"/>
    <x v="5"/>
    <x v="3"/>
    <n v="18500"/>
    <n v="13900"/>
    <n v="37000"/>
    <n v="9200"/>
  </r>
  <r>
    <s v="ORD26020498"/>
    <x v="54"/>
    <s v="C0181"/>
    <s v="E009"/>
    <s v="P007"/>
    <n v="2"/>
    <n v="2730"/>
    <n v="0.2"/>
    <x v="0"/>
    <s v="Marketplace"/>
    <s v="Credit"/>
    <n v="4368"/>
    <s v="Kolkata"/>
    <n v="4368"/>
    <s v="Match"/>
    <x v="13"/>
    <x v="3"/>
    <s v="Delhi"/>
    <s v="Sales Executive"/>
    <x v="10"/>
    <x v="0"/>
    <n v="2600"/>
    <n v="1750"/>
    <n v="4368"/>
    <n v="868"/>
  </r>
  <r>
    <s v="ORD26040499"/>
    <x v="122"/>
    <s v="C0110"/>
    <s v="E007"/>
    <s v="P011"/>
    <n v="2"/>
    <n v="2400"/>
    <n v="0.2"/>
    <x v="0"/>
    <s v="Phone"/>
    <s v="Credit"/>
    <n v="3840"/>
    <s v="Hyderabad"/>
    <n v="3840"/>
    <s v="Match"/>
    <x v="4"/>
    <x v="2"/>
    <s v="Pune"/>
    <s v="Sales Executive"/>
    <x v="7"/>
    <x v="4"/>
    <n v="2400"/>
    <n v="1480"/>
    <n v="3840"/>
    <n v="880"/>
  </r>
  <r>
    <s v="ORD26040500"/>
    <x v="59"/>
    <s v="C0009"/>
    <s v="E008"/>
    <s v="P008"/>
    <n v="8"/>
    <n v="7800"/>
    <n v="0"/>
    <x v="0"/>
    <s v="Website"/>
    <s v="Bank Transfer"/>
    <n v="62400"/>
    <s v="Unknown"/>
    <n v="62400"/>
    <s v="Match"/>
    <x v="8"/>
    <x v="2"/>
    <s v="Ahmedabad"/>
    <s v="Sales Executive"/>
    <x v="6"/>
    <x v="3"/>
    <n v="7800"/>
    <n v="5200"/>
    <n v="62400"/>
    <n v="20800"/>
  </r>
  <r>
    <s v="ORD26030501"/>
    <x v="71"/>
    <s v="C0080"/>
    <s v="E004"/>
    <s v="P004"/>
    <n v="5"/>
    <n v="11200"/>
    <n v="0"/>
    <x v="0"/>
    <s v="Direct"/>
    <s v="Upi"/>
    <n v="56000"/>
    <s v="Kochi"/>
    <n v="56000"/>
    <s v="Match"/>
    <x v="1"/>
    <x v="0"/>
    <s v="Coimbatore"/>
    <s v="Sales Executive"/>
    <x v="1"/>
    <x v="1"/>
    <n v="11200"/>
    <n v="8300"/>
    <n v="56000"/>
    <n v="14500"/>
  </r>
  <r>
    <s v="ORD26040502"/>
    <x v="76"/>
    <s v="C0154"/>
    <s v="E003"/>
    <s v="P003"/>
    <n v="1"/>
    <n v="1800"/>
    <n v="0.15"/>
    <x v="0"/>
    <s v="Direct"/>
    <s v="Credit"/>
    <n v="1530"/>
    <s v="Pune"/>
    <n v="1530"/>
    <s v="Match"/>
    <x v="7"/>
    <x v="0"/>
    <s v="Hyderabad"/>
    <s v="Sales Executive"/>
    <x v="3"/>
    <x v="0"/>
    <n v="1800"/>
    <n v="1120"/>
    <n v="1530"/>
    <n v="410"/>
  </r>
  <r>
    <s v="ORD26050503"/>
    <x v="64"/>
    <s v="C0089"/>
    <s v="E015"/>
    <s v="P004"/>
    <n v="4"/>
    <n v="11760"/>
    <n v="0.2"/>
    <x v="0"/>
    <s v="Phone"/>
    <s v="Credit"/>
    <n v="37632"/>
    <s v="Mumbai"/>
    <n v="37632"/>
    <s v="Match"/>
    <x v="9"/>
    <x v="4"/>
    <s v="Bhopal"/>
    <s v="Sales Executive"/>
    <x v="1"/>
    <x v="1"/>
    <n v="11200"/>
    <n v="8300"/>
    <n v="37632"/>
    <n v="4432"/>
  </r>
  <r>
    <s v="ORD26060504"/>
    <x v="13"/>
    <s v="C0172"/>
    <s v="E011"/>
    <s v="P005"/>
    <n v="1"/>
    <n v="15960"/>
    <n v="0.15"/>
    <x v="0"/>
    <s v="Marketplace"/>
    <s v="Cash"/>
    <n v="13566"/>
    <s v="Pune"/>
    <n v="13566"/>
    <s v="Match"/>
    <x v="11"/>
    <x v="3"/>
    <s v="Lucknow"/>
    <s v="Sales Executive"/>
    <x v="9"/>
    <x v="1"/>
    <n v="16800"/>
    <n v="12600"/>
    <n v="13566"/>
    <n v="966"/>
  </r>
  <r>
    <s v="ORD26010505"/>
    <x v="145"/>
    <s v="C0028"/>
    <s v="E014"/>
    <s v="P004"/>
    <n v="4"/>
    <n v="11760"/>
    <n v="0.15"/>
    <x v="1"/>
    <s v="Marketplace"/>
    <s v="Credit"/>
    <n v="39984"/>
    <s v="Chennai"/>
    <n v="39984"/>
    <s v="Match"/>
    <x v="10"/>
    <x v="4"/>
    <s v="Indore"/>
    <s v="Sales Executive"/>
    <x v="1"/>
    <x v="1"/>
    <n v="11200"/>
    <n v="8300"/>
    <n v="0"/>
    <n v="-33200"/>
  </r>
  <r>
    <s v="ORD26030506"/>
    <x v="72"/>
    <s v="C0026"/>
    <s v="E009"/>
    <s v="P010"/>
    <n v="1"/>
    <n v="3200"/>
    <n v="0.15"/>
    <x v="0"/>
    <s v="Phone"/>
    <s v="Cash"/>
    <n v="2720"/>
    <s v="Indore"/>
    <n v="2720"/>
    <s v="Match"/>
    <x v="13"/>
    <x v="3"/>
    <s v="Delhi"/>
    <s v="Sales Executive"/>
    <x v="11"/>
    <x v="4"/>
    <n v="3200"/>
    <n v="2050"/>
    <n v="2720"/>
    <n v="670"/>
  </r>
  <r>
    <s v="ORD26050507"/>
    <x v="45"/>
    <s v="C0068"/>
    <s v="E009"/>
    <s v="P002"/>
    <n v="1"/>
    <n v="2200"/>
    <n v="0.05"/>
    <x v="0"/>
    <s v="Marketplace"/>
    <s v="Upi"/>
    <n v="2090"/>
    <s v="Kochi"/>
    <n v="2090"/>
    <s v="Match"/>
    <x v="13"/>
    <x v="3"/>
    <s v="Delhi"/>
    <s v="Sales Executive"/>
    <x v="8"/>
    <x v="0"/>
    <n v="2200"/>
    <n v="1450"/>
    <n v="2090"/>
    <n v="640"/>
  </r>
  <r>
    <s v="ORD26050508"/>
    <x v="135"/>
    <s v="C0067"/>
    <s v="E012"/>
    <s v="P001"/>
    <n v="2"/>
    <n v="682.5"/>
    <n v="0.05"/>
    <x v="0"/>
    <s v="Website"/>
    <s v="Cash"/>
    <n v="1296.75"/>
    <s v="Jaipur"/>
    <n v="1296.75"/>
    <s v="Match"/>
    <x v="12"/>
    <x v="1"/>
    <s v="Kolkata"/>
    <s v="Sales Executive"/>
    <x v="0"/>
    <x v="0"/>
    <n v="650"/>
    <n v="390"/>
    <n v="1296.75"/>
    <n v="516.75"/>
  </r>
  <r>
    <s v="ORD26020509"/>
    <x v="40"/>
    <s v="C0125"/>
    <s v="E008"/>
    <s v="P007"/>
    <n v="3"/>
    <n v="2600"/>
    <n v="0"/>
    <x v="0"/>
    <s v="Direct"/>
    <s v="Bank Transfer"/>
    <n v="7800"/>
    <s v="Pune"/>
    <n v="7800"/>
    <s v="Match"/>
    <x v="8"/>
    <x v="2"/>
    <s v="Ahmedabad"/>
    <s v="Sales Executive"/>
    <x v="10"/>
    <x v="0"/>
    <n v="2600"/>
    <n v="1750"/>
    <n v="7800"/>
    <n v="2550"/>
  </r>
  <r>
    <s v="ORD26030510"/>
    <x v="167"/>
    <s v="C0179"/>
    <s v="Unknown"/>
    <s v="P010"/>
    <n v="1"/>
    <n v="3200"/>
    <n v="0.2"/>
    <x v="0"/>
    <s v="Website"/>
    <s v="Bank Transfer"/>
    <n v="2560"/>
    <s v="Kolkata"/>
    <n v="2560"/>
    <s v="Match"/>
    <x v="15"/>
    <x v="5"/>
    <m/>
    <m/>
    <x v="11"/>
    <x v="4"/>
    <n v="3200"/>
    <n v="2050"/>
    <n v="2560"/>
    <n v="510"/>
  </r>
  <r>
    <s v="ORD26060511"/>
    <x v="13"/>
    <s v="C0075"/>
    <s v="E011"/>
    <s v="P001"/>
    <n v="4"/>
    <n v="682.5"/>
    <n v="0"/>
    <x v="3"/>
    <s v="Phone"/>
    <s v="Upi"/>
    <n v="2730"/>
    <s v="Bengaluru"/>
    <n v="2730"/>
    <s v="Match"/>
    <x v="11"/>
    <x v="3"/>
    <s v="Lucknow"/>
    <s v="Sales Executive"/>
    <x v="0"/>
    <x v="0"/>
    <n v="650"/>
    <n v="390"/>
    <n v="0"/>
    <n v="-1560"/>
  </r>
  <r>
    <s v="ORD26020512"/>
    <x v="128"/>
    <s v="C0028"/>
    <s v="E011"/>
    <s v="P006"/>
    <n v="1"/>
    <n v="1330"/>
    <n v="0.2"/>
    <x v="2"/>
    <s v="Website"/>
    <s v="Credit"/>
    <n v="1064"/>
    <s v="Delhi"/>
    <n v="1064"/>
    <s v="Match"/>
    <x v="11"/>
    <x v="3"/>
    <s v="Lucknow"/>
    <s v="Sales Executive"/>
    <x v="4"/>
    <x v="0"/>
    <n v="1400"/>
    <n v="780"/>
    <n v="0"/>
    <n v="-780"/>
  </r>
  <r>
    <s v="ORD26030513"/>
    <x v="44"/>
    <s v="C0012"/>
    <s v="E001"/>
    <s v="P006"/>
    <n v="3"/>
    <n v="1470"/>
    <n v="0"/>
    <x v="0"/>
    <s v="Marketplace"/>
    <s v="Card"/>
    <n v="4410"/>
    <s v="Jaipur"/>
    <n v="4410"/>
    <s v="Match"/>
    <x v="14"/>
    <x v="0"/>
    <s v="Chennai"/>
    <s v="Sales Executive"/>
    <x v="4"/>
    <x v="0"/>
    <n v="1400"/>
    <n v="780"/>
    <n v="4410"/>
    <n v="2070"/>
  </r>
  <r>
    <s v="ORD26020514"/>
    <x v="139"/>
    <s v="C0010"/>
    <s v="E004"/>
    <s v="P009"/>
    <n v="2"/>
    <n v="18500"/>
    <n v="0.05"/>
    <x v="0"/>
    <s v="Phone"/>
    <s v="Credit"/>
    <n v="35150"/>
    <s v="Jaipur"/>
    <n v="35150"/>
    <s v="Match"/>
    <x v="1"/>
    <x v="0"/>
    <s v="Coimbatore"/>
    <s v="Sales Executive"/>
    <x v="5"/>
    <x v="3"/>
    <n v="18500"/>
    <n v="13900"/>
    <n v="35150"/>
    <n v="7350"/>
  </r>
  <r>
    <s v="ORD26010515"/>
    <x v="138"/>
    <s v="C0028"/>
    <s v="E005"/>
    <s v="P003"/>
    <n v="1"/>
    <n v="1800"/>
    <n v="0"/>
    <x v="0"/>
    <s v="Phone"/>
    <s v="Upi"/>
    <n v="1800"/>
    <s v="Mumbai"/>
    <n v="1800"/>
    <s v="Match"/>
    <x v="3"/>
    <x v="0"/>
    <s v="Kochi"/>
    <s v="Sales Executive"/>
    <x v="3"/>
    <x v="0"/>
    <n v="1800"/>
    <n v="1120"/>
    <n v="1800"/>
    <n v="680"/>
  </r>
  <r>
    <s v="ORD26040516"/>
    <x v="20"/>
    <s v="C0010"/>
    <s v="E011"/>
    <s v="P005"/>
    <n v="3"/>
    <n v="15960"/>
    <n v="0.2"/>
    <x v="0"/>
    <s v="Marketplace"/>
    <s v="Cash"/>
    <n v="38304"/>
    <s v="Bengaluru"/>
    <n v="38304"/>
    <s v="Match"/>
    <x v="11"/>
    <x v="3"/>
    <s v="Lucknow"/>
    <s v="Sales Executive"/>
    <x v="9"/>
    <x v="1"/>
    <n v="16800"/>
    <n v="12600"/>
    <n v="38304"/>
    <n v="504"/>
  </r>
  <r>
    <s v="ORD26040517"/>
    <x v="11"/>
    <s v="C0096"/>
    <s v="E009"/>
    <s v="P012"/>
    <n v="1"/>
    <n v="46075"/>
    <n v="0.05"/>
    <x v="0"/>
    <s v="Website"/>
    <s v="Credit"/>
    <n v="43771.25"/>
    <s v="Kochi"/>
    <n v="43771.25"/>
    <s v="Match"/>
    <x v="13"/>
    <x v="3"/>
    <s v="Delhi"/>
    <s v="Sales Executive"/>
    <x v="2"/>
    <x v="2"/>
    <n v="48500"/>
    <n v="41200"/>
    <n v="43771.25"/>
    <n v="2571.25"/>
  </r>
  <r>
    <s v="ORD26050518"/>
    <x v="42"/>
    <s v="C0171"/>
    <s v="E015"/>
    <s v="P012"/>
    <n v="1"/>
    <n v="48500"/>
    <n v="0"/>
    <x v="1"/>
    <s v="Phone"/>
    <s v="Cash"/>
    <n v="48500"/>
    <s v="Delhi"/>
    <n v="48500"/>
    <s v="Match"/>
    <x v="9"/>
    <x v="4"/>
    <s v="Bhopal"/>
    <s v="Sales Executive"/>
    <x v="2"/>
    <x v="2"/>
    <n v="48500"/>
    <n v="41200"/>
    <n v="0"/>
    <n v="-41200"/>
  </r>
  <r>
    <s v="ORD26010519"/>
    <x v="169"/>
    <s v="C0032"/>
    <s v="E006"/>
    <s v="P011"/>
    <n v="2"/>
    <n v="2400"/>
    <n v="0.2"/>
    <x v="0"/>
    <s v="Marketplace"/>
    <s v="Cash"/>
    <n v="3840"/>
    <s v="Chennai"/>
    <n v="3840"/>
    <s v="Match"/>
    <x v="5"/>
    <x v="2"/>
    <s v="Mumbai"/>
    <s v="Sales Executive"/>
    <x v="7"/>
    <x v="4"/>
    <n v="2400"/>
    <n v="1480"/>
    <n v="3840"/>
    <n v="880"/>
  </r>
  <r>
    <s v="ORD26050520"/>
    <x v="115"/>
    <s v="C0196"/>
    <s v="E005"/>
    <s v="P004"/>
    <n v="1"/>
    <n v="10640"/>
    <n v="0.1"/>
    <x v="0"/>
    <s v="Website"/>
    <s v="Cash"/>
    <n v="9576"/>
    <s v="Bengaluru"/>
    <n v="9576"/>
    <s v="Match"/>
    <x v="3"/>
    <x v="0"/>
    <s v="Kochi"/>
    <s v="Sales Executive"/>
    <x v="1"/>
    <x v="1"/>
    <n v="11200"/>
    <n v="8300"/>
    <n v="9576"/>
    <n v="1276"/>
  </r>
  <r>
    <s v="ORD26050521"/>
    <x v="135"/>
    <s v="C0106"/>
    <s v="E003"/>
    <s v="P007"/>
    <n v="10"/>
    <n v="2600"/>
    <n v="0.15"/>
    <x v="0"/>
    <s v="Website"/>
    <s v="Credit"/>
    <n v="22100"/>
    <s v="Jaipur"/>
    <n v="22100"/>
    <s v="Match"/>
    <x v="7"/>
    <x v="0"/>
    <s v="Hyderabad"/>
    <s v="Sales Executive"/>
    <x v="10"/>
    <x v="0"/>
    <n v="2600"/>
    <n v="1750"/>
    <n v="22100"/>
    <n v="4600"/>
  </r>
  <r>
    <s v="ORD26060522"/>
    <x v="85"/>
    <s v="C0221"/>
    <s v="E013"/>
    <s v="P004"/>
    <n v="5"/>
    <n v="11200"/>
    <n v="0.05"/>
    <x v="0"/>
    <s v="Website"/>
    <s v="Credit"/>
    <n v="53200"/>
    <s v="Delhi"/>
    <n v="53200"/>
    <s v="Match"/>
    <x v="2"/>
    <x v="1"/>
    <s v="Bhubaneswar"/>
    <s v="Sales Executive"/>
    <x v="1"/>
    <x v="1"/>
    <n v="11200"/>
    <n v="8300"/>
    <n v="53200"/>
    <n v="11700"/>
  </r>
  <r>
    <s v="ORD26030523"/>
    <x v="72"/>
    <s v="C0075"/>
    <s v="E002"/>
    <s v="P009"/>
    <n v="2"/>
    <n v="18500"/>
    <n v="0.2"/>
    <x v="0"/>
    <s v="Direct"/>
    <s v="Bank Transfer"/>
    <n v="29600"/>
    <s v="Pune"/>
    <n v="29600"/>
    <s v="Match"/>
    <x v="0"/>
    <x v="0"/>
    <s v="Bengaluru"/>
    <s v="Sales Executive"/>
    <x v="5"/>
    <x v="3"/>
    <n v="18500"/>
    <n v="13900"/>
    <n v="29600"/>
    <n v="1800"/>
  </r>
  <r>
    <s v="ORD26040524"/>
    <x v="123"/>
    <s v="C0078"/>
    <s v="E005"/>
    <s v="P008"/>
    <n v="4"/>
    <n v="7800"/>
    <n v="0.2"/>
    <x v="1"/>
    <s v="Website"/>
    <s v="Upi"/>
    <n v="24960"/>
    <s v="Delhi"/>
    <n v="24960"/>
    <s v="Match"/>
    <x v="3"/>
    <x v="0"/>
    <s v="Kochi"/>
    <s v="Sales Executive"/>
    <x v="6"/>
    <x v="3"/>
    <n v="7800"/>
    <n v="5200"/>
    <n v="0"/>
    <n v="-20800"/>
  </r>
  <r>
    <s v="ORD26020525"/>
    <x v="117"/>
    <s v="C0119"/>
    <s v="E001"/>
    <s v="P010"/>
    <n v="3"/>
    <n v="3200"/>
    <n v="0.15"/>
    <x v="0"/>
    <s v="Website"/>
    <s v="Upi"/>
    <n v="8160"/>
    <s v="Kolkata"/>
    <n v="8160"/>
    <s v="Match"/>
    <x v="14"/>
    <x v="0"/>
    <s v="Chennai"/>
    <s v="Sales Executive"/>
    <x v="11"/>
    <x v="4"/>
    <n v="3200"/>
    <n v="2050"/>
    <n v="8160"/>
    <n v="2010"/>
  </r>
  <r>
    <s v="ORD26010526"/>
    <x v="22"/>
    <s v="C0095"/>
    <s v="E012"/>
    <s v="P008"/>
    <n v="1"/>
    <n v="7800"/>
    <n v="0.15"/>
    <x v="0"/>
    <s v="Phone"/>
    <s v="Cash"/>
    <n v="6630"/>
    <s v="Kochi"/>
    <n v="6630"/>
    <s v="Match"/>
    <x v="12"/>
    <x v="1"/>
    <s v="Kolkata"/>
    <s v="Sales Executive"/>
    <x v="6"/>
    <x v="3"/>
    <n v="7800"/>
    <n v="5200"/>
    <n v="6630"/>
    <n v="1430"/>
  </r>
  <r>
    <s v="ORD26020527"/>
    <x v="88"/>
    <s v="C0139"/>
    <s v="E003"/>
    <s v="P004"/>
    <n v="1"/>
    <n v="10640"/>
    <n v="0.1"/>
    <x v="0"/>
    <s v="Phone"/>
    <s v="Card"/>
    <n v="9576"/>
    <s v="Bengaluru"/>
    <n v="9576"/>
    <s v="Match"/>
    <x v="7"/>
    <x v="0"/>
    <s v="Hyderabad"/>
    <s v="Sales Executive"/>
    <x v="1"/>
    <x v="1"/>
    <n v="11200"/>
    <n v="8300"/>
    <n v="9576"/>
    <n v="1276"/>
  </r>
  <r>
    <s v="ORD26020528"/>
    <x v="134"/>
    <s v="C0167"/>
    <s v="E002"/>
    <s v="P003"/>
    <n v="8"/>
    <n v="1890"/>
    <n v="0.1"/>
    <x v="2"/>
    <s v="Phone"/>
    <s v="Card"/>
    <n v="13608"/>
    <s v="Pune"/>
    <n v="13608"/>
    <s v="Match"/>
    <x v="0"/>
    <x v="0"/>
    <s v="Bengaluru"/>
    <s v="Sales Executive"/>
    <x v="3"/>
    <x v="0"/>
    <n v="1800"/>
    <n v="1120"/>
    <n v="0"/>
    <n v="-8960"/>
  </r>
  <r>
    <s v="ORD26040529"/>
    <x v="124"/>
    <s v="C0020"/>
    <s v="E013"/>
    <s v="P001"/>
    <n v="3"/>
    <n v="682.5"/>
    <n v="0.1"/>
    <x v="0"/>
    <s v="Direct"/>
    <s v="Bank Transfer"/>
    <n v="1842.75"/>
    <s v="Kochi"/>
    <n v="1842.75"/>
    <s v="Match"/>
    <x v="2"/>
    <x v="1"/>
    <s v="Bhubaneswar"/>
    <s v="Sales Executive"/>
    <x v="0"/>
    <x v="0"/>
    <n v="650"/>
    <n v="390"/>
    <n v="1842.75"/>
    <n v="672.75"/>
  </r>
  <r>
    <s v="ORD26010530"/>
    <x v="66"/>
    <s v="C0199"/>
    <s v="E015"/>
    <s v="P004"/>
    <n v="2"/>
    <n v="10640"/>
    <n v="0.1"/>
    <x v="3"/>
    <s v="Direct"/>
    <s v="Card"/>
    <n v="19152"/>
    <s v="Hyderabad"/>
    <n v="19152"/>
    <s v="Match"/>
    <x v="9"/>
    <x v="4"/>
    <s v="Bhopal"/>
    <s v="Sales Executive"/>
    <x v="1"/>
    <x v="1"/>
    <n v="11200"/>
    <n v="8300"/>
    <n v="0"/>
    <n v="-16600"/>
  </r>
  <r>
    <s v="ORD26040531"/>
    <x v="95"/>
    <s v="C0151"/>
    <s v="E007"/>
    <s v="P005"/>
    <n v="4"/>
    <n v="17640"/>
    <n v="0.05"/>
    <x v="0"/>
    <s v="Direct"/>
    <s v="Credit"/>
    <n v="67032"/>
    <s v="Delhi"/>
    <n v="67032"/>
    <s v="Match"/>
    <x v="4"/>
    <x v="2"/>
    <s v="Pune"/>
    <s v="Sales Executive"/>
    <x v="9"/>
    <x v="1"/>
    <n v="16800"/>
    <n v="12600"/>
    <n v="67032"/>
    <n v="16632"/>
  </r>
  <r>
    <s v="ORD26040532"/>
    <x v="109"/>
    <s v="C0070"/>
    <s v="E014"/>
    <s v="P011"/>
    <n v="2"/>
    <n v="2400"/>
    <n v="0.2"/>
    <x v="0"/>
    <s v="Phone"/>
    <s v="Cash"/>
    <n v="3840"/>
    <s v="Kolkata"/>
    <n v="3840"/>
    <s v="Match"/>
    <x v="10"/>
    <x v="4"/>
    <s v="Indore"/>
    <s v="Sales Executive"/>
    <x v="7"/>
    <x v="4"/>
    <n v="2400"/>
    <n v="1480"/>
    <n v="3840"/>
    <n v="880"/>
  </r>
  <r>
    <s v="ORD26040533"/>
    <x v="93"/>
    <s v="C0047"/>
    <s v="E001"/>
    <s v="P003"/>
    <n v="2"/>
    <n v="1890"/>
    <n v="0.2"/>
    <x v="2"/>
    <s v="Marketplace"/>
    <s v="Bank Transfer"/>
    <n v="3024"/>
    <s v="Delhi"/>
    <n v="3024"/>
    <s v="Match"/>
    <x v="14"/>
    <x v="0"/>
    <s v="Chennai"/>
    <s v="Sales Executive"/>
    <x v="3"/>
    <x v="0"/>
    <n v="1800"/>
    <n v="1120"/>
    <n v="0"/>
    <n v="-2240"/>
  </r>
  <r>
    <s v="ORD26020534"/>
    <x v="102"/>
    <s v="C0082"/>
    <s v="E002"/>
    <s v="P002"/>
    <n v="3"/>
    <n v="2310"/>
    <n v="0.2"/>
    <x v="0"/>
    <s v="Phone"/>
    <s v="Credit"/>
    <n v="5544"/>
    <s v="Pune"/>
    <n v="5544"/>
    <s v="Match"/>
    <x v="0"/>
    <x v="0"/>
    <s v="Bengaluru"/>
    <s v="Sales Executive"/>
    <x v="8"/>
    <x v="0"/>
    <n v="2200"/>
    <n v="1450"/>
    <n v="5544"/>
    <n v="1194"/>
  </r>
  <r>
    <s v="ORD26010535"/>
    <x v="122"/>
    <s v="C0084"/>
    <s v="E013"/>
    <s v="P003"/>
    <n v="5"/>
    <n v="1800"/>
    <n v="0.15"/>
    <x v="2"/>
    <s v="Website"/>
    <s v="Card"/>
    <n v="7650"/>
    <s v="Chennai"/>
    <n v="7650"/>
    <s v="Match"/>
    <x v="2"/>
    <x v="1"/>
    <s v="Bhubaneswar"/>
    <s v="Sales Executive"/>
    <x v="3"/>
    <x v="0"/>
    <n v="1800"/>
    <n v="1120"/>
    <n v="0"/>
    <n v="-5600"/>
  </r>
  <r>
    <s v="ORD26040536"/>
    <x v="170"/>
    <s v="C0061"/>
    <s v="E005"/>
    <s v="P005"/>
    <n v="4"/>
    <n v="16800"/>
    <n v="0.1"/>
    <x v="0"/>
    <s v="Website"/>
    <s v="Card"/>
    <n v="60480"/>
    <s v="Chennai"/>
    <n v="60480"/>
    <s v="Match"/>
    <x v="3"/>
    <x v="0"/>
    <s v="Kochi"/>
    <s v="Sales Executive"/>
    <x v="9"/>
    <x v="1"/>
    <n v="16800"/>
    <n v="12600"/>
    <n v="60480"/>
    <n v="10080"/>
  </r>
  <r>
    <s v="ORD26060537"/>
    <x v="37"/>
    <s v="C0253"/>
    <s v="E013"/>
    <s v="P005"/>
    <n v="1"/>
    <n v="15960"/>
    <n v="0.1"/>
    <x v="2"/>
    <s v="Website"/>
    <s v="Card"/>
    <n v="14364"/>
    <s v="Indore"/>
    <n v="14364"/>
    <s v="Match"/>
    <x v="2"/>
    <x v="1"/>
    <s v="Bhubaneswar"/>
    <s v="Sales Executive"/>
    <x v="9"/>
    <x v="1"/>
    <n v="16800"/>
    <n v="12600"/>
    <n v="0"/>
    <n v="-12600"/>
  </r>
  <r>
    <s v="ORD26060538"/>
    <x v="68"/>
    <s v="C0126"/>
    <s v="E008"/>
    <s v="P008"/>
    <n v="2"/>
    <n v="7410"/>
    <n v="0"/>
    <x v="0"/>
    <s v="Marketplace"/>
    <s v="Credit"/>
    <n v="14820"/>
    <s v="Jaipur"/>
    <n v="14820"/>
    <s v="Match"/>
    <x v="8"/>
    <x v="2"/>
    <s v="Ahmedabad"/>
    <s v="Sales Executive"/>
    <x v="6"/>
    <x v="3"/>
    <n v="7800"/>
    <n v="5200"/>
    <n v="14820"/>
    <n v="4420"/>
  </r>
  <r>
    <s v="ORD26020539"/>
    <x v="171"/>
    <s v="C0017"/>
    <s v="E001"/>
    <s v="P003"/>
    <n v="1"/>
    <n v="1800"/>
    <n v="0.2"/>
    <x v="0"/>
    <s v="Marketplace"/>
    <s v="Bank Transfer"/>
    <n v="1440"/>
    <s v="Mumbai"/>
    <n v="1440"/>
    <s v="Match"/>
    <x v="14"/>
    <x v="0"/>
    <s v="Chennai"/>
    <s v="Sales Executive"/>
    <x v="3"/>
    <x v="0"/>
    <n v="1800"/>
    <n v="1120"/>
    <n v="1440"/>
    <n v="320"/>
  </r>
  <r>
    <s v="ORD26010540"/>
    <x v="111"/>
    <s v="C0234"/>
    <s v="E002"/>
    <s v="P007"/>
    <n v="10"/>
    <n v="2600"/>
    <n v="0"/>
    <x v="0"/>
    <s v="Marketplace"/>
    <s v="Upi"/>
    <n v="26000"/>
    <s v="Mumbai"/>
    <n v="26000"/>
    <s v="Match"/>
    <x v="0"/>
    <x v="0"/>
    <s v="Bengaluru"/>
    <s v="Sales Executive"/>
    <x v="10"/>
    <x v="0"/>
    <n v="2600"/>
    <n v="1750"/>
    <n v="26000"/>
    <n v="8500"/>
  </r>
  <r>
    <s v="ORD26030541"/>
    <x v="71"/>
    <s v="C0150"/>
    <s v="E006"/>
    <s v="P006"/>
    <n v="5"/>
    <n v="1330"/>
    <n v="0"/>
    <x v="0"/>
    <s v="Phone"/>
    <s v="Card"/>
    <n v="6650"/>
    <s v="Mumbai"/>
    <n v="6650"/>
    <s v="Match"/>
    <x v="5"/>
    <x v="2"/>
    <s v="Mumbai"/>
    <s v="Sales Executive"/>
    <x v="4"/>
    <x v="0"/>
    <n v="1400"/>
    <n v="780"/>
    <n v="6650"/>
    <n v="2750"/>
  </r>
  <r>
    <s v="ORD26060542"/>
    <x v="127"/>
    <s v="C0030"/>
    <s v="E014"/>
    <s v="P005"/>
    <n v="2"/>
    <n v="16800"/>
    <n v="0.1"/>
    <x v="0"/>
    <s v="Direct"/>
    <s v="Credit"/>
    <n v="30240"/>
    <s v="Jaipur"/>
    <n v="30240"/>
    <s v="Match"/>
    <x v="10"/>
    <x v="4"/>
    <s v="Indore"/>
    <s v="Sales Executive"/>
    <x v="9"/>
    <x v="1"/>
    <n v="16800"/>
    <n v="12600"/>
    <n v="30240"/>
    <n v="5040"/>
  </r>
  <r>
    <s v="ORD26010543"/>
    <x v="53"/>
    <s v="C0133"/>
    <s v="E008"/>
    <s v="P012"/>
    <n v="3"/>
    <n v="48500"/>
    <n v="0.2"/>
    <x v="0"/>
    <s v="Marketplace"/>
    <s v="Card"/>
    <n v="116400"/>
    <s v="Indore"/>
    <n v="116400"/>
    <s v="Match"/>
    <x v="8"/>
    <x v="2"/>
    <s v="Ahmedabad"/>
    <s v="Sales Executive"/>
    <x v="2"/>
    <x v="2"/>
    <n v="48500"/>
    <n v="41200"/>
    <n v="116400"/>
    <n v="-7200"/>
  </r>
  <r>
    <s v="ORD26050544"/>
    <x v="51"/>
    <s v="C0120"/>
    <s v="E008"/>
    <s v="P009"/>
    <n v="3"/>
    <n v="18500"/>
    <n v="0.1"/>
    <x v="0"/>
    <s v="Marketplace"/>
    <s v="Card"/>
    <n v="49950"/>
    <s v="Chennai"/>
    <n v="49950"/>
    <s v="Match"/>
    <x v="8"/>
    <x v="2"/>
    <s v="Ahmedabad"/>
    <s v="Sales Executive"/>
    <x v="5"/>
    <x v="3"/>
    <n v="18500"/>
    <n v="13900"/>
    <n v="49950"/>
    <n v="8250"/>
  </r>
  <r>
    <s v="ORD26010545"/>
    <x v="145"/>
    <s v="C0213"/>
    <s v="E001"/>
    <s v="P008"/>
    <n v="3"/>
    <n v="7800"/>
    <n v="0"/>
    <x v="0"/>
    <s v="Phone"/>
    <s v="Upi"/>
    <n v="23400"/>
    <s v="Kolkata"/>
    <n v="23400"/>
    <s v="Match"/>
    <x v="14"/>
    <x v="0"/>
    <s v="Chennai"/>
    <s v="Sales Executive"/>
    <x v="6"/>
    <x v="3"/>
    <n v="7800"/>
    <n v="5200"/>
    <n v="23400"/>
    <n v="7800"/>
  </r>
  <r>
    <s v="ORD26030546"/>
    <x v="130"/>
    <s v="C0131"/>
    <s v="E009"/>
    <s v="P011"/>
    <n v="1"/>
    <n v="2400"/>
    <n v="0.2"/>
    <x v="0"/>
    <s v="Direct"/>
    <s v="Bank Transfer"/>
    <n v="1920"/>
    <s v="Hyderabad"/>
    <n v="1920"/>
    <s v="Match"/>
    <x v="13"/>
    <x v="3"/>
    <s v="Delhi"/>
    <s v="Sales Executive"/>
    <x v="7"/>
    <x v="4"/>
    <n v="2400"/>
    <n v="1480"/>
    <n v="1920"/>
    <n v="440"/>
  </r>
  <r>
    <s v="ORD26050547"/>
    <x v="99"/>
    <s v="C0203"/>
    <s v="E009"/>
    <s v="P006"/>
    <n v="4"/>
    <n v="1400"/>
    <n v="0"/>
    <x v="0"/>
    <s v="Direct"/>
    <s v="Card"/>
    <n v="5600"/>
    <s v="Bengaluru"/>
    <n v="5600"/>
    <s v="Match"/>
    <x v="13"/>
    <x v="3"/>
    <s v="Delhi"/>
    <s v="Sales Executive"/>
    <x v="4"/>
    <x v="0"/>
    <n v="1400"/>
    <n v="780"/>
    <n v="5600"/>
    <n v="2480"/>
  </r>
  <r>
    <s v="ORD26030548"/>
    <x v="34"/>
    <s v="C0070"/>
    <s v="E014"/>
    <s v="P006"/>
    <n v="8"/>
    <n v="1330"/>
    <n v="0.1"/>
    <x v="1"/>
    <s v="Phone"/>
    <s v="Card"/>
    <n v="9576"/>
    <s v="Kochi"/>
    <n v="9576"/>
    <s v="Match"/>
    <x v="10"/>
    <x v="4"/>
    <s v="Indore"/>
    <s v="Sales Executive"/>
    <x v="4"/>
    <x v="0"/>
    <n v="1400"/>
    <n v="780"/>
    <n v="0"/>
    <n v="-6240"/>
  </r>
  <r>
    <s v="ORD26050549"/>
    <x v="18"/>
    <s v="C0154"/>
    <s v="E015"/>
    <s v="P006"/>
    <n v="2"/>
    <n v="1330"/>
    <n v="0.1"/>
    <x v="1"/>
    <s v="Marketplace"/>
    <s v="Credit"/>
    <n v="2394"/>
    <s v="Jaipur"/>
    <n v="2394"/>
    <s v="Match"/>
    <x v="9"/>
    <x v="4"/>
    <s v="Bhopal"/>
    <s v="Sales Executive"/>
    <x v="4"/>
    <x v="0"/>
    <n v="1400"/>
    <n v="780"/>
    <n v="0"/>
    <n v="-1560"/>
  </r>
  <r>
    <s v="ORD26010550"/>
    <x v="169"/>
    <s v="C0144"/>
    <s v="E004"/>
    <s v="P010"/>
    <n v="3"/>
    <n v="3200"/>
    <n v="0.05"/>
    <x v="0"/>
    <s v="Direct"/>
    <s v="Bank Transfer"/>
    <n v="9120"/>
    <s v="Pune"/>
    <n v="9120"/>
    <s v="Match"/>
    <x v="1"/>
    <x v="0"/>
    <s v="Coimbatore"/>
    <s v="Sales Executive"/>
    <x v="11"/>
    <x v="4"/>
    <n v="3200"/>
    <n v="2050"/>
    <n v="9120"/>
    <n v="2970"/>
  </r>
  <r>
    <s v="ORD26060551"/>
    <x v="9"/>
    <s v="C0158"/>
    <s v="E009"/>
    <s v="P003"/>
    <n v="3"/>
    <n v="1710"/>
    <n v="0.1"/>
    <x v="0"/>
    <s v="Marketplace"/>
    <s v="Upi"/>
    <n v="4617"/>
    <s v="Hyderabad"/>
    <n v="4617"/>
    <s v="Match"/>
    <x v="13"/>
    <x v="3"/>
    <s v="Delhi"/>
    <s v="Sales Executive"/>
    <x v="3"/>
    <x v="0"/>
    <n v="1800"/>
    <n v="1120"/>
    <n v="4617"/>
    <n v="1257"/>
  </r>
  <r>
    <s v="ORD26040552"/>
    <x v="123"/>
    <s v="C0111"/>
    <s v="E002"/>
    <s v="P008"/>
    <n v="5"/>
    <n v="7800"/>
    <n v="0.05"/>
    <x v="0"/>
    <s v="Marketplace"/>
    <s v="Card"/>
    <n v="37050"/>
    <s v="Mumbai"/>
    <n v="37050"/>
    <s v="Match"/>
    <x v="0"/>
    <x v="0"/>
    <s v="Bengaluru"/>
    <s v="Sales Executive"/>
    <x v="6"/>
    <x v="3"/>
    <n v="7800"/>
    <n v="5200"/>
    <n v="37050"/>
    <n v="11050"/>
  </r>
  <r>
    <s v="ORD26040553"/>
    <x v="122"/>
    <s v="C0248"/>
    <s v="E013"/>
    <s v="P001"/>
    <n v="4"/>
    <n v="617.5"/>
    <n v="0"/>
    <x v="0"/>
    <s v="Website"/>
    <s v="Card"/>
    <n v="2470"/>
    <s v="Kolkata"/>
    <n v="2470"/>
    <s v="Match"/>
    <x v="2"/>
    <x v="1"/>
    <s v="Bhubaneswar"/>
    <s v="Sales Executive"/>
    <x v="0"/>
    <x v="0"/>
    <n v="650"/>
    <n v="390"/>
    <n v="2470"/>
    <n v="910"/>
  </r>
  <r>
    <s v="ORD26050554"/>
    <x v="157"/>
    <s v="C0068"/>
    <s v="E012"/>
    <s v="P009"/>
    <n v="2"/>
    <n v="17575"/>
    <n v="0.05"/>
    <x v="0"/>
    <s v="Website"/>
    <s v="Upi"/>
    <n v="33392.5"/>
    <s v="Kochi"/>
    <n v="33392.5"/>
    <s v="Match"/>
    <x v="12"/>
    <x v="1"/>
    <s v="Kolkata"/>
    <s v="Sales Executive"/>
    <x v="5"/>
    <x v="3"/>
    <n v="18500"/>
    <n v="13900"/>
    <n v="33392.5"/>
    <n v="5592.5"/>
  </r>
  <r>
    <s v="ORD26040555"/>
    <x v="20"/>
    <s v="C0171"/>
    <s v="E012"/>
    <s v="P009"/>
    <n v="1"/>
    <n v="17575"/>
    <n v="0.05"/>
    <x v="1"/>
    <s v="Phone"/>
    <s v="Upi"/>
    <n v="16696.25"/>
    <s v="Mumbai"/>
    <n v="16696.25"/>
    <s v="Match"/>
    <x v="12"/>
    <x v="1"/>
    <s v="Kolkata"/>
    <s v="Sales Executive"/>
    <x v="5"/>
    <x v="3"/>
    <n v="18500"/>
    <n v="13900"/>
    <n v="0"/>
    <n v="-13900"/>
  </r>
  <r>
    <s v="ORD26050556"/>
    <x v="144"/>
    <s v="C0108"/>
    <s v="E013"/>
    <s v="P011"/>
    <n v="4"/>
    <n v="2400"/>
    <n v="0"/>
    <x v="0"/>
    <s v="Marketplace"/>
    <s v="Card"/>
    <n v="9600"/>
    <s v="Bengaluru"/>
    <n v="9600"/>
    <s v="Match"/>
    <x v="2"/>
    <x v="1"/>
    <s v="Bhubaneswar"/>
    <s v="Sales Executive"/>
    <x v="7"/>
    <x v="4"/>
    <n v="2400"/>
    <n v="1480"/>
    <n v="9600"/>
    <n v="3680"/>
  </r>
  <r>
    <s v="ORD26030557"/>
    <x v="44"/>
    <s v="C0077"/>
    <s v="E005"/>
    <s v="P009"/>
    <n v="2"/>
    <n v="18500"/>
    <n v="0.1"/>
    <x v="0"/>
    <s v="Website"/>
    <s v="Bank Transfer"/>
    <n v="33300"/>
    <s v="Mumbai"/>
    <n v="33300"/>
    <s v="Match"/>
    <x v="3"/>
    <x v="0"/>
    <s v="Kochi"/>
    <s v="Sales Executive"/>
    <x v="5"/>
    <x v="3"/>
    <n v="18500"/>
    <n v="13900"/>
    <n v="33300"/>
    <n v="5500"/>
  </r>
  <r>
    <s v="ORD26010558"/>
    <x v="19"/>
    <s v="C0139"/>
    <s v="E010"/>
    <s v="P009"/>
    <n v="2"/>
    <n v="18500"/>
    <n v="0"/>
    <x v="0"/>
    <s v="Website"/>
    <s v="Bank Transfer"/>
    <n v="37000"/>
    <s v="Indore"/>
    <n v="37000"/>
    <s v="Match"/>
    <x v="6"/>
    <x v="3"/>
    <s v="Jaipur"/>
    <s v="Sales Executive"/>
    <x v="5"/>
    <x v="3"/>
    <n v="18500"/>
    <n v="13900"/>
    <n v="37000"/>
    <n v="9200"/>
  </r>
  <r>
    <s v="ORD26030559"/>
    <x v="108"/>
    <s v="C0067"/>
    <s v="E003"/>
    <s v="P002"/>
    <n v="2"/>
    <n v="2090"/>
    <n v="0.05"/>
    <x v="0"/>
    <s v="Direct"/>
    <s v="Cash"/>
    <n v="3971"/>
    <s v="Chennai"/>
    <n v="3971"/>
    <s v="Match"/>
    <x v="7"/>
    <x v="0"/>
    <s v="Hyderabad"/>
    <s v="Sales Executive"/>
    <x v="8"/>
    <x v="0"/>
    <n v="2200"/>
    <n v="1450"/>
    <n v="3971"/>
    <n v="1071"/>
  </r>
  <r>
    <s v="ORD26010560"/>
    <x v="81"/>
    <s v="C0183"/>
    <s v="E007"/>
    <s v="P001"/>
    <n v="1"/>
    <n v="682.5"/>
    <n v="0.1"/>
    <x v="0"/>
    <s v="Marketplace"/>
    <s v="Bank Transfer"/>
    <n v="614.25"/>
    <s v="Bengaluru"/>
    <n v="614.25"/>
    <s v="Match"/>
    <x v="4"/>
    <x v="2"/>
    <s v="Pune"/>
    <s v="Sales Executive"/>
    <x v="0"/>
    <x v="0"/>
    <n v="650"/>
    <n v="390"/>
    <n v="614.25"/>
    <n v="224.25"/>
  </r>
  <r>
    <s v="ORD26060561"/>
    <x v="152"/>
    <s v="C0240"/>
    <s v="E013"/>
    <s v="P009"/>
    <n v="1"/>
    <n v="17575"/>
    <n v="0.1"/>
    <x v="0"/>
    <s v="Direct"/>
    <s v="Cash"/>
    <n v="15817.5"/>
    <s v="Hyderabad"/>
    <n v="15817.5"/>
    <s v="Match"/>
    <x v="2"/>
    <x v="1"/>
    <s v="Bhubaneswar"/>
    <s v="Sales Executive"/>
    <x v="5"/>
    <x v="3"/>
    <n v="18500"/>
    <n v="13900"/>
    <n v="15817.5"/>
    <n v="1917.5"/>
  </r>
  <r>
    <s v="ORD26060562"/>
    <x v="85"/>
    <s v="C0074"/>
    <s v="E011"/>
    <s v="P012"/>
    <n v="4"/>
    <n v="48500"/>
    <n v="0.1"/>
    <x v="0"/>
    <s v="Marketplace"/>
    <s v="Bank Transfer"/>
    <n v="174600"/>
    <s v="Pune"/>
    <n v="174600"/>
    <s v="Match"/>
    <x v="11"/>
    <x v="3"/>
    <s v="Lucknow"/>
    <s v="Sales Executive"/>
    <x v="2"/>
    <x v="2"/>
    <n v="48500"/>
    <n v="41200"/>
    <n v="174600"/>
    <n v="9800"/>
  </r>
  <r>
    <s v="ORD26020563"/>
    <x v="54"/>
    <s v="C0034"/>
    <s v="E012"/>
    <s v="P011"/>
    <m/>
    <n v="2280"/>
    <n v="0.05"/>
    <x v="0"/>
    <s v="Phone"/>
    <s v="Upi"/>
    <n v="4332"/>
    <s v="Kolkata"/>
    <m/>
    <s v="Invalid Inputs"/>
    <x v="12"/>
    <x v="1"/>
    <s v="Kolkata"/>
    <s v="Sales Executive"/>
    <x v="7"/>
    <x v="4"/>
    <n v="2400"/>
    <n v="1480"/>
    <n v="0"/>
    <n v="0"/>
  </r>
  <r>
    <s v="ORD26050564"/>
    <x v="162"/>
    <s v="C0053"/>
    <s v="E008"/>
    <s v="P003"/>
    <n v="1"/>
    <n v="1800"/>
    <n v="0.05"/>
    <x v="0"/>
    <s v="Phone"/>
    <s v="Upi"/>
    <n v="1710"/>
    <s v="Kolkata"/>
    <n v="1710"/>
    <s v="Match"/>
    <x v="8"/>
    <x v="2"/>
    <s v="Ahmedabad"/>
    <s v="Sales Executive"/>
    <x v="3"/>
    <x v="0"/>
    <n v="1800"/>
    <n v="1120"/>
    <n v="1710"/>
    <n v="590"/>
  </r>
  <r>
    <s v="ORD26050565"/>
    <x v="115"/>
    <s v="C0123"/>
    <s v="E011"/>
    <s v="P002"/>
    <n v="4"/>
    <n v="2310"/>
    <n v="0.15"/>
    <x v="0"/>
    <s v="Website"/>
    <s v="Credit"/>
    <n v="7854"/>
    <s v="Delhi"/>
    <n v="7854"/>
    <s v="Match"/>
    <x v="11"/>
    <x v="3"/>
    <s v="Lucknow"/>
    <s v="Sales Executive"/>
    <x v="8"/>
    <x v="0"/>
    <n v="2200"/>
    <n v="1450"/>
    <n v="7854"/>
    <n v="2054"/>
  </r>
  <r>
    <s v="ORD26050566"/>
    <x v="157"/>
    <s v="C0176"/>
    <s v="E007"/>
    <s v="P002"/>
    <n v="2"/>
    <n v="2310"/>
    <n v="0.2"/>
    <x v="0"/>
    <s v="Website"/>
    <s v="Card"/>
    <n v="3696"/>
    <s v="Mumbai"/>
    <n v="3696"/>
    <s v="Match"/>
    <x v="4"/>
    <x v="2"/>
    <s v="Pune"/>
    <s v="Sales Executive"/>
    <x v="8"/>
    <x v="0"/>
    <n v="2200"/>
    <n v="1450"/>
    <n v="3696"/>
    <n v="796"/>
  </r>
  <r>
    <s v="ORD26050567"/>
    <x v="135"/>
    <s v="C0228"/>
    <s v="E014"/>
    <s v="P008"/>
    <n v="1"/>
    <n v="7410"/>
    <n v="0.15"/>
    <x v="0"/>
    <s v="Website"/>
    <s v="Bank Transfer"/>
    <n v="6298.5"/>
    <s v="Pune"/>
    <n v="6298.5"/>
    <s v="Match"/>
    <x v="10"/>
    <x v="4"/>
    <s v="Indore"/>
    <s v="Sales Executive"/>
    <x v="6"/>
    <x v="3"/>
    <n v="7800"/>
    <n v="5200"/>
    <n v="6298.5"/>
    <n v="1098.5"/>
  </r>
  <r>
    <s v="ORD26010568"/>
    <x v="172"/>
    <s v="C0168"/>
    <s v="E010"/>
    <s v="P002"/>
    <n v="3"/>
    <n v="2310"/>
    <n v="0.15"/>
    <x v="0"/>
    <s v="Phone"/>
    <s v="Upi"/>
    <n v="5890.5"/>
    <s v="Mumbai"/>
    <n v="5890.5"/>
    <s v="Match"/>
    <x v="6"/>
    <x v="3"/>
    <s v="Jaipur"/>
    <s v="Sales Executive"/>
    <x v="8"/>
    <x v="0"/>
    <n v="2200"/>
    <n v="1450"/>
    <n v="5890.5"/>
    <n v="1540.5"/>
  </r>
  <r>
    <s v="ORD26020569"/>
    <x v="125"/>
    <s v="C0077"/>
    <s v="E014"/>
    <s v="P003"/>
    <n v="5"/>
    <n v="1800"/>
    <n v="0.2"/>
    <x v="0"/>
    <s v="Phone"/>
    <s v="Credit"/>
    <n v="7200"/>
    <s v="Hyderabad"/>
    <n v="7200"/>
    <s v="Match"/>
    <x v="10"/>
    <x v="4"/>
    <s v="Indore"/>
    <s v="Sales Executive"/>
    <x v="3"/>
    <x v="0"/>
    <n v="1800"/>
    <n v="1120"/>
    <n v="7200"/>
    <n v="1600"/>
  </r>
  <r>
    <s v="ORD26040570"/>
    <x v="20"/>
    <s v="C0154"/>
    <s v="E010"/>
    <s v="P010"/>
    <n v="2"/>
    <n v="3200"/>
    <n v="0"/>
    <x v="0"/>
    <s v="Marketplace"/>
    <s v="Cash"/>
    <n v="6400"/>
    <s v="Kolkata"/>
    <n v="6400"/>
    <s v="Match"/>
    <x v="6"/>
    <x v="3"/>
    <s v="Jaipur"/>
    <s v="Sales Executive"/>
    <x v="11"/>
    <x v="4"/>
    <n v="3200"/>
    <n v="2050"/>
    <n v="6400"/>
    <n v="2300"/>
  </r>
  <r>
    <s v="ORD26010571"/>
    <x v="53"/>
    <s v="C0151"/>
    <s v="E010"/>
    <s v="P001"/>
    <n v="3"/>
    <n v="650"/>
    <n v="0.15"/>
    <x v="0"/>
    <s v="Direct"/>
    <s v="Bank Transfer"/>
    <n v="1657.5"/>
    <s v="Jaipur"/>
    <n v="1657.5"/>
    <s v="Match"/>
    <x v="6"/>
    <x v="3"/>
    <s v="Jaipur"/>
    <s v="Sales Executive"/>
    <x v="0"/>
    <x v="0"/>
    <n v="650"/>
    <n v="390"/>
    <n v="1657.5"/>
    <n v="487.5"/>
  </r>
  <r>
    <s v="ORD26010572"/>
    <x v="17"/>
    <s v="C0016"/>
    <s v="E001"/>
    <s v="P012"/>
    <n v="3"/>
    <n v="48500"/>
    <n v="0.05"/>
    <x v="0"/>
    <s v="Website"/>
    <s v="Cash"/>
    <n v="138225"/>
    <s v="Indore"/>
    <n v="138225"/>
    <s v="Match"/>
    <x v="14"/>
    <x v="0"/>
    <s v="Chennai"/>
    <s v="Sales Executive"/>
    <x v="2"/>
    <x v="2"/>
    <n v="48500"/>
    <n v="41200"/>
    <n v="138225"/>
    <n v="14625"/>
  </r>
  <r>
    <s v="ORD26040573"/>
    <x v="173"/>
    <s v="C0089"/>
    <s v="E011"/>
    <s v="P006"/>
    <n v="3"/>
    <n v="1400"/>
    <n v="0.1"/>
    <x v="0"/>
    <s v="Phone"/>
    <s v="Card"/>
    <n v="3780"/>
    <s v="Bengaluru"/>
    <n v="3780"/>
    <s v="Match"/>
    <x v="11"/>
    <x v="3"/>
    <s v="Lucknow"/>
    <s v="Sales Executive"/>
    <x v="4"/>
    <x v="0"/>
    <n v="1400"/>
    <n v="780"/>
    <n v="3780"/>
    <n v="1440"/>
  </r>
  <r>
    <s v="ORD26050574"/>
    <x v="115"/>
    <s v="C0069"/>
    <s v="E007"/>
    <s v="P006"/>
    <n v="4"/>
    <n v="1400"/>
    <n v="0"/>
    <x v="0"/>
    <s v="Direct"/>
    <s v="Upi"/>
    <n v="5600"/>
    <s v="Chennai"/>
    <n v="5600"/>
    <s v="Match"/>
    <x v="4"/>
    <x v="2"/>
    <s v="Pune"/>
    <s v="Sales Executive"/>
    <x v="4"/>
    <x v="0"/>
    <n v="1400"/>
    <n v="780"/>
    <n v="5600"/>
    <n v="2480"/>
  </r>
  <r>
    <s v="ORD26020575"/>
    <x v="5"/>
    <s v="C0234"/>
    <s v="E012"/>
    <s v="P008"/>
    <n v="3"/>
    <n v="8190"/>
    <n v="0"/>
    <x v="0"/>
    <s v="Phone"/>
    <s v="Credit"/>
    <n v="24570"/>
    <s v="Delhi"/>
    <n v="24570"/>
    <s v="Match"/>
    <x v="12"/>
    <x v="1"/>
    <s v="Kolkata"/>
    <s v="Sales Executive"/>
    <x v="6"/>
    <x v="3"/>
    <n v="7800"/>
    <n v="5200"/>
    <n v="24570"/>
    <n v="8970"/>
  </r>
  <r>
    <s v="ORD26040576"/>
    <x v="158"/>
    <s v="C0096"/>
    <s v="E009"/>
    <s v="P007"/>
    <n v="3"/>
    <n v="2600"/>
    <n v="0.1"/>
    <x v="0"/>
    <s v="Phone"/>
    <s v="Credit"/>
    <n v="7020"/>
    <s v="Chennai"/>
    <n v="7020"/>
    <s v="Match"/>
    <x v="13"/>
    <x v="3"/>
    <s v="Delhi"/>
    <s v="Sales Executive"/>
    <x v="10"/>
    <x v="0"/>
    <n v="2600"/>
    <n v="1750"/>
    <n v="7020"/>
    <n v="1770"/>
  </r>
  <r>
    <s v="ORD26050577"/>
    <x v="45"/>
    <s v="C0018"/>
    <s v="E008"/>
    <s v="P012"/>
    <n v="1"/>
    <n v="48500"/>
    <n v="0.15"/>
    <x v="0"/>
    <s v="Direct"/>
    <s v="Card"/>
    <n v="41225"/>
    <s v="Kochi"/>
    <n v="41225"/>
    <s v="Match"/>
    <x v="8"/>
    <x v="2"/>
    <s v="Ahmedabad"/>
    <s v="Sales Executive"/>
    <x v="2"/>
    <x v="2"/>
    <n v="48500"/>
    <n v="41200"/>
    <n v="41225"/>
    <n v="25"/>
  </r>
  <r>
    <s v="ORD26060578"/>
    <x v="89"/>
    <s v="C0239"/>
    <s v="E006"/>
    <s v="P002"/>
    <n v="3"/>
    <n v="2200"/>
    <n v="0.2"/>
    <x v="0"/>
    <s v="Direct"/>
    <s v="Credit"/>
    <n v="5280"/>
    <s v="Indore"/>
    <n v="5280"/>
    <s v="Match"/>
    <x v="5"/>
    <x v="2"/>
    <s v="Mumbai"/>
    <s v="Sales Executive"/>
    <x v="8"/>
    <x v="0"/>
    <n v="2200"/>
    <n v="1450"/>
    <n v="5280"/>
    <n v="930"/>
  </r>
  <r>
    <s v="ORD26010579"/>
    <x v="53"/>
    <s v="C0160"/>
    <s v="E004"/>
    <s v="P008"/>
    <n v="3"/>
    <n v="7410"/>
    <n v="0.2"/>
    <x v="3"/>
    <s v="Direct"/>
    <s v="Bank Transfer"/>
    <n v="17784"/>
    <s v="Jaipur"/>
    <n v="17784"/>
    <s v="Match"/>
    <x v="1"/>
    <x v="0"/>
    <s v="Coimbatore"/>
    <s v="Sales Executive"/>
    <x v="6"/>
    <x v="3"/>
    <n v="7800"/>
    <n v="5200"/>
    <n v="0"/>
    <n v="-15600"/>
  </r>
  <r>
    <s v="ORD26010580"/>
    <x v="165"/>
    <s v="C0216"/>
    <s v="E008"/>
    <s v="P008"/>
    <n v="2"/>
    <n v="7800"/>
    <n v="0.1"/>
    <x v="0"/>
    <s v="Marketplace"/>
    <s v="Bank Transfer"/>
    <n v="14040"/>
    <s v="Hyderabad"/>
    <n v="14040"/>
    <s v="Match"/>
    <x v="8"/>
    <x v="2"/>
    <s v="Ahmedabad"/>
    <s v="Sales Executive"/>
    <x v="6"/>
    <x v="3"/>
    <n v="7800"/>
    <n v="5200"/>
    <n v="14040"/>
    <n v="3640"/>
  </r>
  <r>
    <s v="ORD26020581"/>
    <x v="174"/>
    <s v="C0032"/>
    <s v="E001"/>
    <s v="P012"/>
    <n v="8"/>
    <n v="48500"/>
    <n v="0.2"/>
    <x v="0"/>
    <s v="Phone"/>
    <s v="Credit"/>
    <n v="310400"/>
    <s v="Delhi"/>
    <n v="310400"/>
    <s v="Match"/>
    <x v="14"/>
    <x v="0"/>
    <s v="Chennai"/>
    <s v="Sales Executive"/>
    <x v="2"/>
    <x v="2"/>
    <n v="48500"/>
    <n v="41200"/>
    <n v="310400"/>
    <n v="-19200"/>
  </r>
  <r>
    <s v="ORD26050582"/>
    <x v="135"/>
    <s v="C0249"/>
    <s v="E001"/>
    <s v="P011"/>
    <n v="10"/>
    <n v="2400"/>
    <n v="0.2"/>
    <x v="0"/>
    <s v="Direct"/>
    <s v="Card"/>
    <n v="19200"/>
    <s v="Jaipur"/>
    <n v="19200"/>
    <s v="Match"/>
    <x v="14"/>
    <x v="0"/>
    <s v="Chennai"/>
    <s v="Sales Executive"/>
    <x v="7"/>
    <x v="4"/>
    <n v="2400"/>
    <n v="1480"/>
    <n v="19200"/>
    <n v="4400"/>
  </r>
  <r>
    <s v="ORD26010583"/>
    <x v="74"/>
    <s v="C0008"/>
    <s v="E014"/>
    <s v="P005"/>
    <n v="1"/>
    <n v="16800"/>
    <n v="0.15"/>
    <x v="0"/>
    <s v="Direct"/>
    <s v="Credit"/>
    <n v="14280"/>
    <s v="Delhi"/>
    <n v="14280"/>
    <s v="Match"/>
    <x v="10"/>
    <x v="4"/>
    <s v="Indore"/>
    <s v="Sales Executive"/>
    <x v="9"/>
    <x v="1"/>
    <n v="16800"/>
    <n v="12600"/>
    <n v="14280"/>
    <n v="1680"/>
  </r>
  <r>
    <s v="ORD26060584"/>
    <x v="73"/>
    <s v="C0121"/>
    <s v="E012"/>
    <s v="P003"/>
    <n v="3"/>
    <n v="1800"/>
    <n v="0.05"/>
    <x v="0"/>
    <s v="Phone"/>
    <s v="Card"/>
    <n v="5130"/>
    <s v="Jaipur"/>
    <n v="5130"/>
    <s v="Match"/>
    <x v="12"/>
    <x v="1"/>
    <s v="Kolkata"/>
    <s v="Sales Executive"/>
    <x v="3"/>
    <x v="0"/>
    <n v="1800"/>
    <n v="1120"/>
    <n v="5130"/>
    <n v="1770"/>
  </r>
  <r>
    <s v="ORD26010585"/>
    <x v="7"/>
    <s v="C0254"/>
    <s v="E006"/>
    <s v="P002"/>
    <n v="8"/>
    <n v="2200"/>
    <n v="0.15"/>
    <x v="1"/>
    <s v="Phone"/>
    <s v="Cash"/>
    <n v="14960"/>
    <s v="Bengaluru"/>
    <n v="14960"/>
    <s v="Match"/>
    <x v="5"/>
    <x v="2"/>
    <s v="Mumbai"/>
    <s v="Sales Executive"/>
    <x v="8"/>
    <x v="0"/>
    <n v="2200"/>
    <n v="1450"/>
    <n v="0"/>
    <n v="-11600"/>
  </r>
  <r>
    <s v="ORD26060586"/>
    <x v="67"/>
    <s v="C0028"/>
    <s v="E008"/>
    <s v="P012"/>
    <n v="3"/>
    <n v="48500"/>
    <n v="0"/>
    <x v="0"/>
    <s v="Marketplace"/>
    <s v="Upi"/>
    <n v="145500"/>
    <s v="Chennai"/>
    <n v="145500"/>
    <s v="Match"/>
    <x v="8"/>
    <x v="2"/>
    <s v="Ahmedabad"/>
    <s v="Sales Executive"/>
    <x v="2"/>
    <x v="2"/>
    <n v="48500"/>
    <n v="41200"/>
    <n v="145500"/>
    <n v="21900"/>
  </r>
  <r>
    <s v="ORD26020587"/>
    <x v="174"/>
    <s v="C0195"/>
    <s v="E008"/>
    <s v="P007"/>
    <n v="2"/>
    <n v="2600"/>
    <n v="0.1"/>
    <x v="0"/>
    <s v="Phone"/>
    <s v="Cash"/>
    <n v="4680"/>
    <s v="Hyderabad"/>
    <n v="4680"/>
    <s v="Match"/>
    <x v="8"/>
    <x v="2"/>
    <s v="Ahmedabad"/>
    <s v="Sales Executive"/>
    <x v="10"/>
    <x v="0"/>
    <n v="2600"/>
    <n v="1750"/>
    <n v="4680"/>
    <n v="1180"/>
  </r>
  <r>
    <s v="ORD26020588"/>
    <x v="92"/>
    <s v="C0022"/>
    <s v="E009"/>
    <s v="P007"/>
    <n v="1"/>
    <n v="2600"/>
    <n v="0.1"/>
    <x v="0"/>
    <s v="Direct"/>
    <s v="Credit"/>
    <n v="2340"/>
    <s v="Kolkata"/>
    <n v="2340"/>
    <s v="Match"/>
    <x v="13"/>
    <x v="3"/>
    <s v="Delhi"/>
    <s v="Sales Executive"/>
    <x v="10"/>
    <x v="0"/>
    <n v="2600"/>
    <n v="1750"/>
    <n v="2340"/>
    <n v="590"/>
  </r>
  <r>
    <s v="ORD26040589"/>
    <x v="175"/>
    <s v="C0131"/>
    <s v="E010"/>
    <s v="P011"/>
    <n v="5"/>
    <n v="2280"/>
    <n v="0.05"/>
    <x v="0"/>
    <s v="Phone"/>
    <s v="Cash"/>
    <n v="10830"/>
    <s v="Bengaluru"/>
    <n v="10830"/>
    <s v="Match"/>
    <x v="6"/>
    <x v="3"/>
    <s v="Jaipur"/>
    <s v="Sales Executive"/>
    <x v="7"/>
    <x v="4"/>
    <n v="2400"/>
    <n v="1480"/>
    <n v="10830"/>
    <n v="3430"/>
  </r>
  <r>
    <s v="ORD26060590"/>
    <x v="116"/>
    <s v="C0161"/>
    <s v="E010"/>
    <s v="P004"/>
    <n v="2"/>
    <n v="11200"/>
    <n v="0.2"/>
    <x v="0"/>
    <s v="Direct"/>
    <s v="Upi"/>
    <n v="17920"/>
    <s v="Mumbai"/>
    <n v="17920"/>
    <s v="Match"/>
    <x v="6"/>
    <x v="3"/>
    <s v="Jaipur"/>
    <s v="Sales Executive"/>
    <x v="1"/>
    <x v="1"/>
    <n v="11200"/>
    <n v="8300"/>
    <n v="17920"/>
    <n v="1320"/>
  </r>
  <r>
    <s v="ORD26010591"/>
    <x v="19"/>
    <s v="C0146"/>
    <s v="E007"/>
    <s v="P002"/>
    <n v="2"/>
    <n v="2200"/>
    <n v="0.2"/>
    <x v="0"/>
    <s v="Marketplace"/>
    <s v="Card"/>
    <n v="3520"/>
    <s v="Chennai"/>
    <n v="3520"/>
    <s v="Match"/>
    <x v="4"/>
    <x v="2"/>
    <s v="Pune"/>
    <s v="Sales Executive"/>
    <x v="8"/>
    <x v="0"/>
    <n v="2200"/>
    <n v="1450"/>
    <n v="3520"/>
    <n v="620"/>
  </r>
  <r>
    <s v="ORD26010592"/>
    <x v="32"/>
    <s v="C0063"/>
    <s v="E010"/>
    <s v="P002"/>
    <n v="1"/>
    <n v="2200"/>
    <n v="0.15"/>
    <x v="0"/>
    <s v="Direct"/>
    <s v="Upi"/>
    <n v="1870"/>
    <s v="Indore"/>
    <n v="1870"/>
    <s v="Match"/>
    <x v="6"/>
    <x v="3"/>
    <s v="Jaipur"/>
    <s v="Sales Executive"/>
    <x v="8"/>
    <x v="0"/>
    <n v="2200"/>
    <n v="1450"/>
    <n v="1870"/>
    <n v="420"/>
  </r>
  <r>
    <s v="ORD26020593"/>
    <x v="176"/>
    <s v="C0057"/>
    <s v="E007"/>
    <s v="P011"/>
    <n v="4"/>
    <n v="2400"/>
    <n v="0.2"/>
    <x v="0"/>
    <s v="Website"/>
    <s v="Bank Transfer"/>
    <n v="7680"/>
    <s v="Hyderabad"/>
    <n v="7680"/>
    <s v="Match"/>
    <x v="4"/>
    <x v="2"/>
    <s v="Pune"/>
    <s v="Sales Executive"/>
    <x v="7"/>
    <x v="4"/>
    <n v="2400"/>
    <n v="1480"/>
    <n v="7680"/>
    <n v="1760"/>
  </r>
  <r>
    <s v="ORD26040594"/>
    <x v="77"/>
    <s v="C0132"/>
    <s v="E011"/>
    <s v="P002"/>
    <n v="3"/>
    <n v="2200"/>
    <n v="0.05"/>
    <x v="0"/>
    <s v="Website"/>
    <s v="Upi"/>
    <n v="6270"/>
    <s v="Hyderabad"/>
    <n v="6270"/>
    <s v="Match"/>
    <x v="11"/>
    <x v="3"/>
    <s v="Lucknow"/>
    <s v="Sales Executive"/>
    <x v="8"/>
    <x v="0"/>
    <n v="2200"/>
    <n v="1450"/>
    <n v="6270"/>
    <n v="1920"/>
  </r>
  <r>
    <s v="ORD26010595"/>
    <x v="94"/>
    <s v="C0092"/>
    <s v="E007"/>
    <s v="P007"/>
    <n v="2"/>
    <n v="2600"/>
    <n v="0"/>
    <x v="0"/>
    <s v="Phone"/>
    <s v="Upi"/>
    <n v="5200"/>
    <s v="Kochi"/>
    <n v="5200"/>
    <s v="Match"/>
    <x v="4"/>
    <x v="2"/>
    <s v="Pune"/>
    <s v="Sales Executive"/>
    <x v="10"/>
    <x v="0"/>
    <n v="2600"/>
    <n v="1750"/>
    <n v="5200"/>
    <n v="1700"/>
  </r>
  <r>
    <s v="ORD26020596"/>
    <x v="128"/>
    <s v="C0112"/>
    <s v="E010"/>
    <s v="P007"/>
    <n v="1"/>
    <n v="2730"/>
    <n v="0.1"/>
    <x v="0"/>
    <s v="Direct"/>
    <s v="Cash"/>
    <n v="2457"/>
    <s v="Hyderabad"/>
    <n v="2457"/>
    <s v="Match"/>
    <x v="6"/>
    <x v="3"/>
    <s v="Jaipur"/>
    <s v="Sales Executive"/>
    <x v="10"/>
    <x v="0"/>
    <n v="2600"/>
    <n v="1750"/>
    <n v="2457"/>
    <n v="707"/>
  </r>
  <r>
    <s v="ORD26010597"/>
    <x v="60"/>
    <s v="C0010"/>
    <s v="E001"/>
    <s v="P002"/>
    <n v="1"/>
    <n v="2310"/>
    <n v="0.2"/>
    <x v="0"/>
    <s v="Phone"/>
    <s v="Card"/>
    <n v="1848"/>
    <s v="Chennai"/>
    <n v="1848"/>
    <s v="Match"/>
    <x v="14"/>
    <x v="0"/>
    <s v="Chennai"/>
    <s v="Sales Executive"/>
    <x v="8"/>
    <x v="0"/>
    <n v="2200"/>
    <n v="1450"/>
    <n v="1848"/>
    <n v="398"/>
  </r>
  <r>
    <s v="ORD26010598"/>
    <x v="33"/>
    <s v="C0002"/>
    <s v="E011"/>
    <s v="P007"/>
    <n v="1"/>
    <n v="2730"/>
    <n v="0.2"/>
    <x v="0"/>
    <s v="Phone"/>
    <s v="Cash"/>
    <n v="2184"/>
    <s v="Pune"/>
    <n v="2184"/>
    <s v="Match"/>
    <x v="11"/>
    <x v="3"/>
    <s v="Lucknow"/>
    <s v="Sales Executive"/>
    <x v="10"/>
    <x v="0"/>
    <n v="2600"/>
    <n v="1750"/>
    <n v="2184"/>
    <n v="434"/>
  </r>
  <r>
    <s v="ORD26040599"/>
    <x v="124"/>
    <s v="C0197"/>
    <s v="E014"/>
    <s v="P012"/>
    <n v="4"/>
    <n v="46075"/>
    <n v="0"/>
    <x v="0"/>
    <s v="Phone"/>
    <s v="Upi"/>
    <n v="184300"/>
    <s v="Indore"/>
    <n v="184300"/>
    <s v="Match"/>
    <x v="10"/>
    <x v="4"/>
    <s v="Indore"/>
    <s v="Sales Executive"/>
    <x v="2"/>
    <x v="2"/>
    <n v="48500"/>
    <n v="41200"/>
    <n v="184300"/>
    <n v="19500"/>
  </r>
  <r>
    <s v="ORD26050600"/>
    <x v="18"/>
    <s v="C0188"/>
    <s v="E015"/>
    <s v="P006"/>
    <n v="2"/>
    <n v="1330"/>
    <n v="0.05"/>
    <x v="0"/>
    <s v="Marketplace"/>
    <s v="Upi"/>
    <n v="2527"/>
    <s v="Kochi"/>
    <n v="2527"/>
    <s v="Match"/>
    <x v="9"/>
    <x v="4"/>
    <s v="Bhopal"/>
    <s v="Sales Executive"/>
    <x v="4"/>
    <x v="0"/>
    <n v="1400"/>
    <n v="780"/>
    <n v="2527"/>
    <n v="967"/>
  </r>
  <r>
    <s v="ORD26030601"/>
    <x v="70"/>
    <s v="Unknown"/>
    <s v="E011"/>
    <s v="P004"/>
    <n v="1"/>
    <n v="11200"/>
    <n v="0"/>
    <x v="3"/>
    <s v="Phone"/>
    <s v="Upi"/>
    <n v="11200"/>
    <s v="Kolkata"/>
    <n v="11200"/>
    <s v="Match"/>
    <x v="11"/>
    <x v="3"/>
    <s v="Lucknow"/>
    <s v="Sales Executive"/>
    <x v="1"/>
    <x v="1"/>
    <n v="11200"/>
    <n v="8300"/>
    <n v="0"/>
    <n v="-8300"/>
  </r>
  <r>
    <s v="ORD26050602"/>
    <x v="137"/>
    <s v="C0013"/>
    <s v="E002"/>
    <s v="P011"/>
    <n v="2"/>
    <n v="2400"/>
    <n v="0"/>
    <x v="0"/>
    <s v="Website"/>
    <s v="Cash"/>
    <n v="4800"/>
    <s v="Pune"/>
    <n v="4800"/>
    <s v="Match"/>
    <x v="0"/>
    <x v="0"/>
    <s v="Bengaluru"/>
    <s v="Sales Executive"/>
    <x v="7"/>
    <x v="4"/>
    <n v="2400"/>
    <n v="1480"/>
    <n v="4800"/>
    <n v="1840"/>
  </r>
  <r>
    <s v="ORD26010603"/>
    <x v="15"/>
    <s v="C0009"/>
    <s v="E013"/>
    <s v="P009"/>
    <n v="3"/>
    <n v="19425"/>
    <n v="0.1"/>
    <x v="0"/>
    <s v="Direct"/>
    <s v="Bank Transfer"/>
    <n v="52447.5"/>
    <s v="Chennai"/>
    <n v="52447.5"/>
    <s v="Match"/>
    <x v="2"/>
    <x v="1"/>
    <s v="Bhubaneswar"/>
    <s v="Sales Executive"/>
    <x v="5"/>
    <x v="3"/>
    <n v="18500"/>
    <n v="13900"/>
    <n v="52447.5"/>
    <n v="10747.5"/>
  </r>
  <r>
    <s v="ORD26030604"/>
    <x v="84"/>
    <s v="C0077"/>
    <s v="E013"/>
    <s v="P012"/>
    <n v="1"/>
    <n v="50925"/>
    <n v="0"/>
    <x v="0"/>
    <s v="Website"/>
    <s v="Upi"/>
    <n v="50925"/>
    <s v="Chennai"/>
    <n v="50925"/>
    <s v="Match"/>
    <x v="2"/>
    <x v="1"/>
    <s v="Bhubaneswar"/>
    <s v="Sales Executive"/>
    <x v="2"/>
    <x v="2"/>
    <n v="48500"/>
    <n v="41200"/>
    <n v="50925"/>
    <n v="9725"/>
  </r>
  <r>
    <s v="ORD26020605"/>
    <x v="5"/>
    <s v="C0008"/>
    <s v="E008"/>
    <s v="P011"/>
    <n v="1"/>
    <n v="2400"/>
    <n v="0.15"/>
    <x v="0"/>
    <s v="Website"/>
    <s v="Upi"/>
    <n v="2040"/>
    <s v="Hyderabad"/>
    <n v="2040"/>
    <s v="Match"/>
    <x v="8"/>
    <x v="2"/>
    <s v="Ahmedabad"/>
    <s v="Sales Executive"/>
    <x v="7"/>
    <x v="4"/>
    <n v="2400"/>
    <n v="1480"/>
    <n v="2040"/>
    <n v="560"/>
  </r>
  <r>
    <s v="ORD26010606"/>
    <x v="8"/>
    <s v="C0059"/>
    <s v="E008"/>
    <s v="P010"/>
    <n v="1"/>
    <n v="3040"/>
    <n v="0.15"/>
    <x v="0"/>
    <s v="Phone"/>
    <s v="Credit"/>
    <n v="2584"/>
    <s v="Indore"/>
    <n v="2584"/>
    <s v="Match"/>
    <x v="8"/>
    <x v="2"/>
    <s v="Ahmedabad"/>
    <s v="Sales Executive"/>
    <x v="11"/>
    <x v="4"/>
    <n v="3200"/>
    <n v="2050"/>
    <n v="2584"/>
    <n v="534"/>
  </r>
  <r>
    <s v="ORD26020607"/>
    <x v="56"/>
    <s v="C0062"/>
    <s v="E002"/>
    <s v="P004"/>
    <n v="2"/>
    <n v="11200"/>
    <n v="0.2"/>
    <x v="0"/>
    <s v="Website"/>
    <s v="Bank Transfer"/>
    <n v="17920"/>
    <s v="Bengaluru"/>
    <n v="17920"/>
    <s v="Match"/>
    <x v="0"/>
    <x v="0"/>
    <s v="Bengaluru"/>
    <s v="Sales Executive"/>
    <x v="1"/>
    <x v="1"/>
    <n v="11200"/>
    <n v="8300"/>
    <n v="17920"/>
    <n v="1320"/>
  </r>
  <r>
    <s v="ORD26010608"/>
    <x v="138"/>
    <s v="C0087"/>
    <s v="E010"/>
    <s v="P003"/>
    <n v="2"/>
    <n v="1890"/>
    <n v="0"/>
    <x v="0"/>
    <s v="Marketplace"/>
    <s v="Credit"/>
    <n v="3780"/>
    <s v="Delhi"/>
    <n v="3780"/>
    <s v="Match"/>
    <x v="6"/>
    <x v="3"/>
    <s v="Jaipur"/>
    <s v="Sales Executive"/>
    <x v="3"/>
    <x v="0"/>
    <n v="1800"/>
    <n v="1120"/>
    <n v="3780"/>
    <n v="1540"/>
  </r>
  <r>
    <s v="ORD26040609"/>
    <x v="95"/>
    <s v="C0081"/>
    <s v="E004"/>
    <s v="P010"/>
    <n v="1"/>
    <n v="3360"/>
    <n v="0"/>
    <x v="0"/>
    <s v="Direct"/>
    <s v="Cash"/>
    <n v="3360"/>
    <s v="Mumbai"/>
    <n v="3360"/>
    <s v="Match"/>
    <x v="1"/>
    <x v="0"/>
    <s v="Coimbatore"/>
    <s v="Sales Executive"/>
    <x v="11"/>
    <x v="4"/>
    <n v="3200"/>
    <n v="2050"/>
    <n v="3360"/>
    <n v="1310"/>
  </r>
  <r>
    <s v="ORD26010610"/>
    <x v="3"/>
    <s v="Unknown"/>
    <s v="E001"/>
    <s v="P003"/>
    <n v="8"/>
    <n v="1800"/>
    <n v="0.2"/>
    <x v="0"/>
    <s v="Phone"/>
    <s v="Card"/>
    <n v="11520"/>
    <s v="Bengaluru"/>
    <n v="11520"/>
    <s v="Match"/>
    <x v="14"/>
    <x v="0"/>
    <s v="Chennai"/>
    <s v="Sales Executive"/>
    <x v="3"/>
    <x v="0"/>
    <n v="1800"/>
    <n v="1120"/>
    <n v="11520"/>
    <n v="2560"/>
  </r>
  <r>
    <s v="ORD26020611"/>
    <x v="5"/>
    <s v="C0020"/>
    <s v="E011"/>
    <s v="P005"/>
    <n v="2"/>
    <n v="16800"/>
    <n v="0.1"/>
    <x v="0"/>
    <s v="Website"/>
    <s v="Cash"/>
    <n v="30240"/>
    <s v="Indore"/>
    <n v="30240"/>
    <s v="Match"/>
    <x v="11"/>
    <x v="3"/>
    <s v="Lucknow"/>
    <s v="Sales Executive"/>
    <x v="9"/>
    <x v="1"/>
    <n v="16800"/>
    <n v="12600"/>
    <n v="30240"/>
    <n v="5040"/>
  </r>
  <r>
    <s v="ORD26010612"/>
    <x v="53"/>
    <s v="C0061"/>
    <s v="E011"/>
    <s v="P005"/>
    <n v="2"/>
    <n v="16800"/>
    <n v="0"/>
    <x v="0"/>
    <s v="Direct"/>
    <s v="Credit"/>
    <n v="33600"/>
    <s v="Kolkata"/>
    <n v="33600"/>
    <s v="Match"/>
    <x v="11"/>
    <x v="3"/>
    <s v="Lucknow"/>
    <s v="Sales Executive"/>
    <x v="9"/>
    <x v="1"/>
    <n v="16800"/>
    <n v="12600"/>
    <n v="33600"/>
    <n v="8400"/>
  </r>
  <r>
    <s v="ORD26050613"/>
    <x v="75"/>
    <s v="C0028"/>
    <s v="E009"/>
    <s v="P004"/>
    <n v="2"/>
    <n v="11200"/>
    <n v="0.2"/>
    <x v="0"/>
    <s v="Website"/>
    <s v="Upi"/>
    <n v="17920"/>
    <s v="Delhi"/>
    <n v="17920"/>
    <s v="Match"/>
    <x v="13"/>
    <x v="3"/>
    <s v="Delhi"/>
    <s v="Sales Executive"/>
    <x v="1"/>
    <x v="1"/>
    <n v="11200"/>
    <n v="8300"/>
    <n v="17920"/>
    <n v="1320"/>
  </r>
  <r>
    <s v="ORD26060614"/>
    <x v="85"/>
    <s v="C0028"/>
    <s v="E014"/>
    <s v="P008"/>
    <n v="2"/>
    <n v="7410"/>
    <n v="0"/>
    <x v="0"/>
    <s v="Marketplace"/>
    <s v="Bank Transfer"/>
    <n v="14820"/>
    <s v="Bengaluru"/>
    <n v="14820"/>
    <s v="Match"/>
    <x v="10"/>
    <x v="4"/>
    <s v="Indore"/>
    <s v="Sales Executive"/>
    <x v="6"/>
    <x v="3"/>
    <n v="7800"/>
    <n v="5200"/>
    <n v="14820"/>
    <n v="4420"/>
  </r>
  <r>
    <s v="ORD26040615"/>
    <x v="91"/>
    <s v="C0091"/>
    <s v="E005"/>
    <s v="P006"/>
    <n v="3"/>
    <n v="1330"/>
    <n v="0.1"/>
    <x v="0"/>
    <s v="Website"/>
    <s v="Upi"/>
    <n v="3591"/>
    <s v="Kochi"/>
    <n v="3591"/>
    <s v="Match"/>
    <x v="3"/>
    <x v="0"/>
    <s v="Kochi"/>
    <s v="Sales Executive"/>
    <x v="4"/>
    <x v="0"/>
    <n v="1400"/>
    <n v="780"/>
    <n v="3591"/>
    <n v="1251"/>
  </r>
  <r>
    <s v="ORD26050616"/>
    <x v="110"/>
    <s v="C0215"/>
    <s v="E002"/>
    <s v="P002"/>
    <n v="5"/>
    <n v="2200"/>
    <n v="0.2"/>
    <x v="0"/>
    <s v="Website"/>
    <s v="Bank Transfer"/>
    <n v="8800"/>
    <s v="Bengaluru"/>
    <n v="8800"/>
    <s v="Match"/>
    <x v="0"/>
    <x v="0"/>
    <s v="Bengaluru"/>
    <s v="Sales Executive"/>
    <x v="8"/>
    <x v="0"/>
    <n v="2200"/>
    <n v="1450"/>
    <n v="8800"/>
    <n v="1550"/>
  </r>
  <r>
    <s v="ORD26010617"/>
    <x v="14"/>
    <s v="C0193"/>
    <s v="E006"/>
    <s v="P004"/>
    <n v="1"/>
    <n v="11200"/>
    <n v="0.2"/>
    <x v="0"/>
    <s v="Website"/>
    <s v="Upi"/>
    <n v="8960"/>
    <s v="Kochi"/>
    <n v="8960"/>
    <s v="Match"/>
    <x v="5"/>
    <x v="2"/>
    <s v="Mumbai"/>
    <s v="Sales Executive"/>
    <x v="1"/>
    <x v="1"/>
    <n v="11200"/>
    <n v="8300"/>
    <n v="8960"/>
    <n v="660"/>
  </r>
  <r>
    <s v="ORD26050618"/>
    <x v="166"/>
    <s v="C0092"/>
    <s v="E008"/>
    <s v="P001"/>
    <n v="5"/>
    <n v="682.5"/>
    <n v="0"/>
    <x v="0"/>
    <s v="Phone"/>
    <s v="Bank Transfer"/>
    <n v="3412.5"/>
    <s v="Delhi"/>
    <n v="3412.5"/>
    <s v="Match"/>
    <x v="8"/>
    <x v="2"/>
    <s v="Ahmedabad"/>
    <s v="Sales Executive"/>
    <x v="0"/>
    <x v="0"/>
    <n v="650"/>
    <n v="390"/>
    <n v="3412.5"/>
    <n v="1462.5"/>
  </r>
  <r>
    <s v="ORD26040619"/>
    <x v="90"/>
    <s v="C0017"/>
    <s v="E012"/>
    <s v="P004"/>
    <n v="3"/>
    <n v="11200"/>
    <m/>
    <x v="0"/>
    <s v="Direct"/>
    <s v="Bank Transfer"/>
    <n v="31920"/>
    <s v="Delhi"/>
    <m/>
    <s v="Invalid Inputs"/>
    <x v="12"/>
    <x v="1"/>
    <s v="Kolkata"/>
    <s v="Sales Executive"/>
    <x v="1"/>
    <x v="1"/>
    <n v="11200"/>
    <n v="8300"/>
    <n v="0"/>
    <n v="-24900"/>
  </r>
  <r>
    <s v="ORD26010620"/>
    <x v="14"/>
    <s v="C0152"/>
    <s v="E014"/>
    <s v="P008"/>
    <n v="2"/>
    <n v="7800"/>
    <n v="0"/>
    <x v="0"/>
    <s v="Website"/>
    <s v="Credit"/>
    <n v="15600"/>
    <s v="Delhi"/>
    <n v="15600"/>
    <s v="Match"/>
    <x v="10"/>
    <x v="4"/>
    <s v="Indore"/>
    <s v="Sales Executive"/>
    <x v="6"/>
    <x v="3"/>
    <n v="7800"/>
    <n v="5200"/>
    <n v="15600"/>
    <n v="5200"/>
  </r>
  <r>
    <s v="ORD26050621"/>
    <x v="129"/>
    <s v="C0243"/>
    <s v="E009"/>
    <s v="P004"/>
    <n v="1"/>
    <n v="11200"/>
    <n v="0.15"/>
    <x v="0"/>
    <s v="Phone"/>
    <s v="Bank Transfer"/>
    <n v="9520"/>
    <s v="Chennai"/>
    <n v="9520"/>
    <s v="Match"/>
    <x v="13"/>
    <x v="3"/>
    <s v="Delhi"/>
    <s v="Sales Executive"/>
    <x v="1"/>
    <x v="1"/>
    <n v="11200"/>
    <n v="8300"/>
    <n v="9520"/>
    <n v="1220"/>
  </r>
  <r>
    <s v="ORD26040622"/>
    <x v="164"/>
    <s v="C0003"/>
    <s v="E012"/>
    <s v="P004"/>
    <n v="1"/>
    <n v="11200"/>
    <n v="0.1"/>
    <x v="0"/>
    <s v="Phone"/>
    <s v="Upi"/>
    <n v="10080"/>
    <s v="Chennai"/>
    <n v="10080"/>
    <s v="Match"/>
    <x v="12"/>
    <x v="1"/>
    <s v="Kolkata"/>
    <s v="Sales Executive"/>
    <x v="1"/>
    <x v="1"/>
    <n v="11200"/>
    <n v="8300"/>
    <n v="10080"/>
    <n v="1780"/>
  </r>
  <r>
    <s v="ORD26050623"/>
    <x v="47"/>
    <s v="C0232"/>
    <s v="E012"/>
    <s v="P009"/>
    <n v="1"/>
    <n v="17575"/>
    <n v="0.15"/>
    <x v="0"/>
    <s v="Phone"/>
    <s v="Card"/>
    <n v="14938.75"/>
    <s v="Mumbai"/>
    <n v="14938.75"/>
    <s v="Match"/>
    <x v="12"/>
    <x v="1"/>
    <s v="Kolkata"/>
    <s v="Sales Executive"/>
    <x v="5"/>
    <x v="3"/>
    <n v="18500"/>
    <n v="13900"/>
    <n v="14938.75"/>
    <n v="1038.75"/>
  </r>
  <r>
    <s v="ORD26050624"/>
    <x v="115"/>
    <s v="C0184"/>
    <s v="E013"/>
    <s v="P001"/>
    <n v="3"/>
    <n v="650"/>
    <n v="0.1"/>
    <x v="1"/>
    <s v="Marketplace"/>
    <s v="Card"/>
    <n v="1755"/>
    <s v="Mumbai"/>
    <n v="1755"/>
    <s v="Match"/>
    <x v="2"/>
    <x v="1"/>
    <s v="Bhubaneswar"/>
    <s v="Sales Executive"/>
    <x v="0"/>
    <x v="0"/>
    <n v="650"/>
    <n v="390"/>
    <n v="0"/>
    <n v="-1170"/>
  </r>
  <r>
    <s v="ORD26010625"/>
    <x v="169"/>
    <s v="C0233"/>
    <s v="E008"/>
    <s v="P011"/>
    <n v="2"/>
    <n v="2280"/>
    <n v="0.2"/>
    <x v="0"/>
    <s v="Phone"/>
    <s v="Card"/>
    <n v="3648"/>
    <s v="Pune"/>
    <n v="3648"/>
    <s v="Match"/>
    <x v="8"/>
    <x v="2"/>
    <s v="Ahmedabad"/>
    <s v="Sales Executive"/>
    <x v="7"/>
    <x v="4"/>
    <n v="2400"/>
    <n v="1480"/>
    <n v="3648"/>
    <n v="688"/>
  </r>
  <r>
    <s v="ORD26020626"/>
    <x v="117"/>
    <s v="C0198"/>
    <s v="E013"/>
    <s v="P006"/>
    <n v="3"/>
    <n v="1330"/>
    <n v="0.2"/>
    <x v="0"/>
    <s v="Marketplace"/>
    <s v="Credit"/>
    <n v="3192"/>
    <s v="Chennai"/>
    <n v="3192"/>
    <s v="Match"/>
    <x v="2"/>
    <x v="1"/>
    <s v="Bhubaneswar"/>
    <s v="Sales Executive"/>
    <x v="4"/>
    <x v="0"/>
    <n v="1400"/>
    <n v="780"/>
    <n v="3192"/>
    <n v="852"/>
  </r>
  <r>
    <s v="ORD26030627"/>
    <x v="6"/>
    <s v="C0042"/>
    <s v="E007"/>
    <s v="P005"/>
    <n v="3"/>
    <n v="16800"/>
    <n v="0.15"/>
    <x v="0"/>
    <s v="Marketplace"/>
    <s v="Upi"/>
    <n v="42840"/>
    <s v="Jaipur"/>
    <n v="42840"/>
    <s v="Match"/>
    <x v="4"/>
    <x v="2"/>
    <s v="Pune"/>
    <s v="Sales Executive"/>
    <x v="9"/>
    <x v="1"/>
    <n v="16800"/>
    <n v="12600"/>
    <n v="42840"/>
    <n v="5040"/>
  </r>
  <r>
    <s v="ORD26060628"/>
    <x v="116"/>
    <s v="C0188"/>
    <s v="E006"/>
    <s v="P001"/>
    <n v="1"/>
    <n v="617.5"/>
    <n v="0.05"/>
    <x v="0"/>
    <s v="Marketplace"/>
    <s v="Card"/>
    <n v="586.62"/>
    <s v="Jaipur"/>
    <n v="586.625"/>
    <s v="Match"/>
    <x v="5"/>
    <x v="2"/>
    <s v="Mumbai"/>
    <s v="Sales Executive"/>
    <x v="0"/>
    <x v="0"/>
    <n v="650"/>
    <n v="390"/>
    <n v="586.625"/>
    <n v="196.625"/>
  </r>
  <r>
    <s v="ORD26060629"/>
    <x v="89"/>
    <s v="C0123"/>
    <s v="E002"/>
    <s v="P009"/>
    <n v="3"/>
    <n v="18500"/>
    <n v="0"/>
    <x v="0"/>
    <s v="Direct"/>
    <s v="Cash"/>
    <n v="55500"/>
    <s v="Indore"/>
    <n v="55500"/>
    <s v="Match"/>
    <x v="0"/>
    <x v="0"/>
    <s v="Bengaluru"/>
    <s v="Sales Executive"/>
    <x v="5"/>
    <x v="3"/>
    <n v="18500"/>
    <n v="13900"/>
    <n v="55500"/>
    <n v="13800"/>
  </r>
  <r>
    <s v="ORD26060630"/>
    <x v="86"/>
    <s v="C0258"/>
    <s v="E004"/>
    <s v="P012"/>
    <n v="4"/>
    <n v="48500"/>
    <n v="0.05"/>
    <x v="0"/>
    <s v="Phone"/>
    <s v="Bank Transfer"/>
    <n v="184300"/>
    <s v="Chennai"/>
    <n v="184300"/>
    <s v="Match"/>
    <x v="1"/>
    <x v="0"/>
    <s v="Coimbatore"/>
    <s v="Sales Executive"/>
    <x v="2"/>
    <x v="2"/>
    <n v="48500"/>
    <n v="41200"/>
    <n v="184300"/>
    <n v="19500"/>
  </r>
  <r>
    <s v="ORD26010631"/>
    <x v="15"/>
    <s v="C0241"/>
    <s v="E006"/>
    <s v="P006"/>
    <n v="2"/>
    <n v="1330"/>
    <n v="0.15"/>
    <x v="0"/>
    <s v="Marketplace"/>
    <s v="Cash"/>
    <n v="2261"/>
    <s v="Indore"/>
    <n v="2261"/>
    <s v="Match"/>
    <x v="5"/>
    <x v="2"/>
    <s v="Mumbai"/>
    <s v="Sales Executive"/>
    <x v="4"/>
    <x v="0"/>
    <n v="1400"/>
    <n v="780"/>
    <n v="2261"/>
    <n v="701"/>
  </r>
  <r>
    <s v="ORD26040632"/>
    <x v="30"/>
    <s v="C0045"/>
    <s v="E013"/>
    <s v="P011"/>
    <n v="8"/>
    <n v="2520"/>
    <n v="0"/>
    <x v="0"/>
    <s v="Direct"/>
    <s v="Cash"/>
    <n v="20160"/>
    <s v="Delhi"/>
    <n v="20160"/>
    <s v="Match"/>
    <x v="2"/>
    <x v="1"/>
    <s v="Bhubaneswar"/>
    <s v="Sales Executive"/>
    <x v="7"/>
    <x v="4"/>
    <n v="2400"/>
    <n v="1480"/>
    <n v="20160"/>
    <n v="8320"/>
  </r>
  <r>
    <s v="ORD26030633"/>
    <x v="44"/>
    <s v="C0078"/>
    <s v="E002"/>
    <s v="P002"/>
    <n v="1"/>
    <n v="2310"/>
    <n v="0"/>
    <x v="0"/>
    <s v="Website"/>
    <s v="Credit"/>
    <n v="2310"/>
    <s v="Chennai"/>
    <n v="2310"/>
    <s v="Match"/>
    <x v="0"/>
    <x v="0"/>
    <s v="Bengaluru"/>
    <s v="Sales Executive"/>
    <x v="8"/>
    <x v="0"/>
    <n v="2200"/>
    <n v="1450"/>
    <n v="2310"/>
    <n v="860"/>
  </r>
  <r>
    <s v="ORD26030634"/>
    <x v="6"/>
    <s v="C0228"/>
    <s v="E007"/>
    <s v="P011"/>
    <n v="2"/>
    <n v="2520"/>
    <n v="0"/>
    <x v="0"/>
    <s v="Direct"/>
    <s v="Bank Transfer"/>
    <n v="5040"/>
    <s v="Bengaluru"/>
    <n v="5040"/>
    <s v="Match"/>
    <x v="4"/>
    <x v="2"/>
    <s v="Pune"/>
    <s v="Sales Executive"/>
    <x v="7"/>
    <x v="4"/>
    <n v="2400"/>
    <n v="1480"/>
    <n v="5040"/>
    <n v="2080"/>
  </r>
  <r>
    <s v="ORD26010635"/>
    <x v="15"/>
    <s v="C0176"/>
    <s v="E001"/>
    <s v="P004"/>
    <n v="4"/>
    <n v="11760"/>
    <n v="0.15"/>
    <x v="0"/>
    <s v="Marketplace"/>
    <s v="Cash"/>
    <n v="39984"/>
    <s v="Indore"/>
    <n v="39984"/>
    <s v="Match"/>
    <x v="14"/>
    <x v="0"/>
    <s v="Chennai"/>
    <s v="Sales Executive"/>
    <x v="1"/>
    <x v="1"/>
    <n v="11200"/>
    <n v="8300"/>
    <n v="39984"/>
    <n v="6784"/>
  </r>
  <r>
    <s v="ORD26060636"/>
    <x v="31"/>
    <s v="C0157"/>
    <s v="E012"/>
    <s v="P009"/>
    <n v="4"/>
    <n v="18500"/>
    <n v="0.1"/>
    <x v="0"/>
    <s v="Website"/>
    <s v="Bank Transfer"/>
    <n v="66600"/>
    <s v="Bengaluru"/>
    <n v="66600"/>
    <s v="Match"/>
    <x v="12"/>
    <x v="1"/>
    <s v="Kolkata"/>
    <s v="Sales Executive"/>
    <x v="5"/>
    <x v="3"/>
    <n v="18500"/>
    <n v="13900"/>
    <n v="66600"/>
    <n v="11000"/>
  </r>
  <r>
    <s v="ORD26050637"/>
    <x v="157"/>
    <s v="C0234"/>
    <s v="E006"/>
    <s v="P005"/>
    <n v="4"/>
    <n v="16800"/>
    <n v="0"/>
    <x v="0"/>
    <s v="Website"/>
    <s v="Credit"/>
    <n v="67200"/>
    <s v="Delhi"/>
    <n v="67200"/>
    <s v="Match"/>
    <x v="5"/>
    <x v="2"/>
    <s v="Mumbai"/>
    <s v="Sales Executive"/>
    <x v="9"/>
    <x v="1"/>
    <n v="16800"/>
    <n v="12600"/>
    <n v="67200"/>
    <n v="16800"/>
  </r>
  <r>
    <s v="ORD26050638"/>
    <x v="18"/>
    <s v="C0083"/>
    <s v="E005"/>
    <s v="P003"/>
    <n v="10"/>
    <n v="1800"/>
    <n v="0.2"/>
    <x v="0"/>
    <s v="Website"/>
    <s v="Upi"/>
    <n v="14400"/>
    <s v="Chennai"/>
    <n v="14400"/>
    <s v="Match"/>
    <x v="3"/>
    <x v="0"/>
    <s v="Kochi"/>
    <s v="Sales Executive"/>
    <x v="3"/>
    <x v="0"/>
    <n v="1800"/>
    <n v="1120"/>
    <n v="14400"/>
    <n v="3200"/>
  </r>
  <r>
    <s v="ORD26030639"/>
    <x v="72"/>
    <s v="C0163"/>
    <s v="E010"/>
    <s v="P003"/>
    <n v="2"/>
    <n v="1710"/>
    <n v="0.05"/>
    <x v="0"/>
    <s v="Marketplace"/>
    <s v="Card"/>
    <n v="3249"/>
    <s v="Kolkata"/>
    <n v="3249"/>
    <s v="Match"/>
    <x v="6"/>
    <x v="3"/>
    <s v="Jaipur"/>
    <s v="Sales Executive"/>
    <x v="3"/>
    <x v="0"/>
    <n v="1800"/>
    <n v="1120"/>
    <n v="3249"/>
    <n v="1009"/>
  </r>
  <r>
    <s v="ORD26040640"/>
    <x v="177"/>
    <s v="C0256"/>
    <s v="E009"/>
    <s v="P003"/>
    <n v="2"/>
    <n v="1890"/>
    <n v="0"/>
    <x v="1"/>
    <s v="Website"/>
    <s v="Cash"/>
    <n v="3780"/>
    <s v="Kolkata"/>
    <n v="3780"/>
    <s v="Match"/>
    <x v="13"/>
    <x v="3"/>
    <s v="Delhi"/>
    <s v="Sales Executive"/>
    <x v="3"/>
    <x v="0"/>
    <n v="1800"/>
    <n v="1120"/>
    <n v="0"/>
    <n v="-2240"/>
  </r>
  <r>
    <s v="ORD26020641"/>
    <x v="107"/>
    <s v="C0243"/>
    <s v="E001"/>
    <s v="P012"/>
    <n v="2"/>
    <n v="48500"/>
    <n v="0.15"/>
    <x v="0"/>
    <s v="Marketplace"/>
    <s v="Credit"/>
    <n v="82450"/>
    <s v="Delhi"/>
    <n v="82450"/>
    <s v="Match"/>
    <x v="14"/>
    <x v="0"/>
    <s v="Chennai"/>
    <s v="Sales Executive"/>
    <x v="2"/>
    <x v="2"/>
    <n v="48500"/>
    <n v="41200"/>
    <n v="82450"/>
    <n v="50"/>
  </r>
  <r>
    <s v="ORD26050642"/>
    <x v="51"/>
    <s v="C0072"/>
    <s v="E012"/>
    <s v="P008"/>
    <n v="2"/>
    <n v="7410"/>
    <n v="0"/>
    <x v="0"/>
    <s v="Direct"/>
    <s v="Bank Transfer"/>
    <n v="14820"/>
    <s v="Chennai"/>
    <n v="14820"/>
    <s v="Match"/>
    <x v="12"/>
    <x v="1"/>
    <s v="Kolkata"/>
    <s v="Sales Executive"/>
    <x v="6"/>
    <x v="3"/>
    <n v="7800"/>
    <n v="5200"/>
    <n v="14820"/>
    <n v="4420"/>
  </r>
  <r>
    <s v="ORD26040643"/>
    <x v="82"/>
    <s v="C0114"/>
    <s v="E010"/>
    <s v="P004"/>
    <n v="2"/>
    <n v="11200"/>
    <n v="0"/>
    <x v="0"/>
    <s v="Marketplace"/>
    <s v="Card"/>
    <n v="22400"/>
    <s v="Chennai"/>
    <n v="22400"/>
    <s v="Match"/>
    <x v="6"/>
    <x v="3"/>
    <s v="Jaipur"/>
    <s v="Sales Executive"/>
    <x v="1"/>
    <x v="1"/>
    <n v="11200"/>
    <n v="8300"/>
    <n v="22400"/>
    <n v="5800"/>
  </r>
  <r>
    <s v="ORD26010644"/>
    <x v="61"/>
    <s v="C0100"/>
    <s v="E009"/>
    <s v="P008"/>
    <n v="3"/>
    <n v="8190"/>
    <n v="0"/>
    <x v="3"/>
    <s v="Phone"/>
    <s v="Bank Transfer"/>
    <n v="24570"/>
    <s v="Indore"/>
    <n v="24570"/>
    <s v="Match"/>
    <x v="13"/>
    <x v="3"/>
    <s v="Delhi"/>
    <s v="Sales Executive"/>
    <x v="6"/>
    <x v="3"/>
    <n v="7800"/>
    <n v="5200"/>
    <n v="0"/>
    <n v="-15600"/>
  </r>
  <r>
    <s v="ORD26060645"/>
    <x v="83"/>
    <s v="C0190"/>
    <s v="E009"/>
    <s v="P001"/>
    <n v="5"/>
    <n v="682.5"/>
    <n v="0.05"/>
    <x v="0"/>
    <s v="Phone"/>
    <s v="Bank Transfer"/>
    <n v="3241.88"/>
    <s v="Chennai"/>
    <n v="3241.875"/>
    <s v="Match"/>
    <x v="13"/>
    <x v="3"/>
    <s v="Delhi"/>
    <s v="Sales Executive"/>
    <x v="0"/>
    <x v="0"/>
    <n v="650"/>
    <n v="390"/>
    <n v="3241.875"/>
    <n v="1291.875"/>
  </r>
  <r>
    <s v="ORD26030646"/>
    <x v="178"/>
    <s v="C0111"/>
    <s v="E006"/>
    <s v="P006"/>
    <n v="2"/>
    <n v="1330"/>
    <n v="0.1"/>
    <x v="2"/>
    <s v="Phone"/>
    <s v="Cash"/>
    <n v="2394"/>
    <s v="Kochi"/>
    <n v="2394"/>
    <s v="Match"/>
    <x v="5"/>
    <x v="2"/>
    <s v="Mumbai"/>
    <s v="Sales Executive"/>
    <x v="4"/>
    <x v="0"/>
    <n v="1400"/>
    <n v="780"/>
    <n v="0"/>
    <n v="-1560"/>
  </r>
  <r>
    <s v="ORD26030647"/>
    <x v="44"/>
    <s v="C0072"/>
    <s v="E003"/>
    <s v="P012"/>
    <n v="10"/>
    <n v="50925"/>
    <n v="0.1"/>
    <x v="0"/>
    <s v="Direct"/>
    <s v="Card"/>
    <n v="458325"/>
    <s v="Bengaluru"/>
    <n v="458325"/>
    <s v="Match"/>
    <x v="7"/>
    <x v="0"/>
    <s v="Hyderabad"/>
    <s v="Sales Executive"/>
    <x v="2"/>
    <x v="2"/>
    <n v="48500"/>
    <n v="41200"/>
    <n v="458325"/>
    <n v="46325"/>
  </r>
  <r>
    <s v="ORD26030648"/>
    <x v="39"/>
    <s v="C0046"/>
    <s v="E008"/>
    <s v="P009"/>
    <n v="10"/>
    <n v="19425"/>
    <n v="0"/>
    <x v="1"/>
    <s v="Direct"/>
    <s v="Cash"/>
    <n v="194250"/>
    <s v="Hyderabad"/>
    <n v="194250"/>
    <s v="Match"/>
    <x v="8"/>
    <x v="2"/>
    <s v="Ahmedabad"/>
    <s v="Sales Executive"/>
    <x v="5"/>
    <x v="3"/>
    <n v="18500"/>
    <n v="13900"/>
    <n v="0"/>
    <n v="-139000"/>
  </r>
  <r>
    <s v="ORD26040649"/>
    <x v="168"/>
    <s v="C0103"/>
    <s v="E003"/>
    <s v="P009"/>
    <n v="2"/>
    <n v="18500"/>
    <n v="0.15"/>
    <x v="0"/>
    <s v="Website"/>
    <s v="Cash"/>
    <n v="31450"/>
    <s v="Hyderabad"/>
    <n v="31450"/>
    <s v="Match"/>
    <x v="7"/>
    <x v="0"/>
    <s v="Hyderabad"/>
    <s v="Sales Executive"/>
    <x v="5"/>
    <x v="3"/>
    <n v="18500"/>
    <n v="13900"/>
    <n v="31450"/>
    <n v="3650"/>
  </r>
  <r>
    <s v="ORD26050650"/>
    <x v="38"/>
    <s v="C0253"/>
    <s v="E008"/>
    <s v="P001"/>
    <n v="4"/>
    <n v="650"/>
    <n v="0.05"/>
    <x v="2"/>
    <s v="Phone"/>
    <s v="Card"/>
    <n v="2470"/>
    <s v="Chennai"/>
    <n v="2470"/>
    <s v="Match"/>
    <x v="8"/>
    <x v="2"/>
    <s v="Ahmedabad"/>
    <s v="Sales Executive"/>
    <x v="0"/>
    <x v="0"/>
    <n v="650"/>
    <n v="390"/>
    <n v="0"/>
    <n v="-1560"/>
  </r>
  <r>
    <s v="ORD26010651"/>
    <x v="150"/>
    <s v="C0064"/>
    <s v="E003"/>
    <s v="P005"/>
    <n v="2"/>
    <n v="17640"/>
    <n v="0.2"/>
    <x v="2"/>
    <s v="Marketplace"/>
    <s v="Cash"/>
    <n v="28224"/>
    <s v="Delhi"/>
    <n v="28224"/>
    <s v="Match"/>
    <x v="7"/>
    <x v="0"/>
    <s v="Hyderabad"/>
    <s v="Sales Executive"/>
    <x v="9"/>
    <x v="1"/>
    <n v="16800"/>
    <n v="12600"/>
    <n v="0"/>
    <n v="-25200"/>
  </r>
  <r>
    <s v="ORD26050652"/>
    <x v="28"/>
    <s v="C0253"/>
    <s v="E015"/>
    <s v="P012"/>
    <n v="3"/>
    <n v="48500"/>
    <n v="0"/>
    <x v="0"/>
    <s v="Direct"/>
    <s v="Credit"/>
    <n v="145500"/>
    <s v="Kolkata"/>
    <n v="145500"/>
    <s v="Match"/>
    <x v="9"/>
    <x v="4"/>
    <s v="Bhopal"/>
    <s v="Sales Executive"/>
    <x v="2"/>
    <x v="2"/>
    <n v="48500"/>
    <n v="41200"/>
    <n v="145500"/>
    <n v="21900"/>
  </r>
  <r>
    <s v="ORD26050653"/>
    <x v="23"/>
    <s v="C0062"/>
    <s v="E008"/>
    <s v="P010"/>
    <n v="2"/>
    <n v="3360"/>
    <n v="0.05"/>
    <x v="0"/>
    <s v="Marketplace"/>
    <s v="Credit"/>
    <n v="6384"/>
    <s v="Indore"/>
    <n v="6384"/>
    <s v="Match"/>
    <x v="8"/>
    <x v="2"/>
    <s v="Ahmedabad"/>
    <s v="Sales Executive"/>
    <x v="11"/>
    <x v="4"/>
    <n v="3200"/>
    <n v="2050"/>
    <n v="6384"/>
    <n v="2284"/>
  </r>
  <r>
    <s v="ORD26010654"/>
    <x v="169"/>
    <s v="C0070"/>
    <s v="E014"/>
    <s v="P005"/>
    <n v="1"/>
    <n v="17640"/>
    <n v="0"/>
    <x v="0"/>
    <s v="Marketplace"/>
    <s v="Card"/>
    <n v="17640"/>
    <s v="Chennai"/>
    <n v="17640"/>
    <s v="Match"/>
    <x v="10"/>
    <x v="4"/>
    <s v="Indore"/>
    <s v="Sales Executive"/>
    <x v="9"/>
    <x v="1"/>
    <n v="16800"/>
    <n v="12600"/>
    <n v="17640"/>
    <n v="5040"/>
  </r>
  <r>
    <s v="ORD26030655"/>
    <x v="46"/>
    <s v="C0040"/>
    <s v="E006"/>
    <s v="P007"/>
    <n v="3"/>
    <n v="2600"/>
    <n v="0.05"/>
    <x v="0"/>
    <s v="Website"/>
    <s v="Card"/>
    <n v="7410"/>
    <s v="Mumbai"/>
    <n v="7410"/>
    <s v="Match"/>
    <x v="5"/>
    <x v="2"/>
    <s v="Mumbai"/>
    <s v="Sales Executive"/>
    <x v="10"/>
    <x v="0"/>
    <n v="2600"/>
    <n v="1750"/>
    <n v="7410"/>
    <n v="2160"/>
  </r>
  <r>
    <s v="ORD26060656"/>
    <x v="65"/>
    <s v="C0139"/>
    <s v="E013"/>
    <s v="P003"/>
    <n v="2"/>
    <n v="1800"/>
    <n v="0.05"/>
    <x v="0"/>
    <s v="Marketplace"/>
    <s v="Upi"/>
    <n v="3420"/>
    <s v="Jaipur"/>
    <n v="3420"/>
    <s v="Match"/>
    <x v="2"/>
    <x v="1"/>
    <s v="Bhubaneswar"/>
    <s v="Sales Executive"/>
    <x v="3"/>
    <x v="0"/>
    <n v="1800"/>
    <n v="1120"/>
    <n v="3420"/>
    <n v="1180"/>
  </r>
  <r>
    <s v="ORD26050657"/>
    <x v="23"/>
    <s v="C0211"/>
    <s v="E006"/>
    <s v="P003"/>
    <n v="1"/>
    <n v="1890"/>
    <n v="0.15"/>
    <x v="0"/>
    <s v="Marketplace"/>
    <s v="Card"/>
    <n v="1606.5"/>
    <s v="Mumbai"/>
    <n v="1606.5"/>
    <s v="Match"/>
    <x v="5"/>
    <x v="2"/>
    <s v="Mumbai"/>
    <s v="Sales Executive"/>
    <x v="3"/>
    <x v="0"/>
    <n v="1800"/>
    <n v="1120"/>
    <n v="1606.5"/>
    <n v="486.5"/>
  </r>
  <r>
    <s v="ORD26020658"/>
    <x v="125"/>
    <s v="C0214"/>
    <s v="E003"/>
    <s v="P009"/>
    <n v="1"/>
    <n v="17575"/>
    <n v="0"/>
    <x v="0"/>
    <s v="Phone"/>
    <s v="Upi"/>
    <n v="17575"/>
    <s v="Mumbai"/>
    <n v="17575"/>
    <s v="Match"/>
    <x v="7"/>
    <x v="0"/>
    <s v="Hyderabad"/>
    <s v="Sales Executive"/>
    <x v="5"/>
    <x v="3"/>
    <n v="18500"/>
    <n v="13900"/>
    <n v="17575"/>
    <n v="3675"/>
  </r>
  <r>
    <s v="ORD26020659"/>
    <x v="176"/>
    <s v="C0227"/>
    <s v="E015"/>
    <s v="P001"/>
    <n v="2"/>
    <n v="650"/>
    <n v="0.05"/>
    <x v="0"/>
    <s v="Marketplace"/>
    <s v="Card"/>
    <n v="1235"/>
    <s v="Hyderabad"/>
    <n v="1235"/>
    <s v="Match"/>
    <x v="9"/>
    <x v="4"/>
    <s v="Bhopal"/>
    <s v="Sales Executive"/>
    <x v="0"/>
    <x v="0"/>
    <n v="650"/>
    <n v="390"/>
    <n v="1235"/>
    <n v="455"/>
  </r>
  <r>
    <s v="ORD26010660"/>
    <x v="132"/>
    <s v="C0158"/>
    <s v="E012"/>
    <s v="P002"/>
    <n v="1"/>
    <n v="2200"/>
    <n v="0.2"/>
    <x v="0"/>
    <s v="Website"/>
    <s v="Card"/>
    <n v="1760"/>
    <s v="Delhi"/>
    <n v="1760"/>
    <s v="Match"/>
    <x v="12"/>
    <x v="1"/>
    <s v="Kolkata"/>
    <s v="Sales Executive"/>
    <x v="8"/>
    <x v="0"/>
    <n v="2200"/>
    <n v="1450"/>
    <n v="1760"/>
    <n v="310"/>
  </r>
  <r>
    <s v="ORD26010661"/>
    <x v="22"/>
    <s v="C0221"/>
    <s v="E007"/>
    <s v="P012"/>
    <n v="4"/>
    <n v="50925"/>
    <n v="0"/>
    <x v="0"/>
    <s v="Direct"/>
    <s v="Card"/>
    <n v="203700"/>
    <s v="Mumbai"/>
    <n v="203700"/>
    <s v="Match"/>
    <x v="4"/>
    <x v="2"/>
    <s v="Pune"/>
    <s v="Sales Executive"/>
    <x v="2"/>
    <x v="2"/>
    <n v="48500"/>
    <n v="41200"/>
    <n v="203700"/>
    <n v="38900"/>
  </r>
  <r>
    <s v="ORD26010662"/>
    <x v="7"/>
    <s v="C0023"/>
    <s v="E013"/>
    <s v="P011"/>
    <n v="2"/>
    <n v="2400"/>
    <n v="0"/>
    <x v="0"/>
    <s v="Direct"/>
    <s v="Bank Transfer"/>
    <n v="4800"/>
    <s v="Chennai"/>
    <n v="4800"/>
    <s v="Match"/>
    <x v="2"/>
    <x v="1"/>
    <s v="Bhubaneswar"/>
    <s v="Sales Executive"/>
    <x v="7"/>
    <x v="4"/>
    <n v="2400"/>
    <n v="1480"/>
    <n v="4800"/>
    <n v="1840"/>
  </r>
  <r>
    <s v="ORD26010663"/>
    <x v="8"/>
    <s v="C0095"/>
    <s v="E013"/>
    <s v="P002"/>
    <n v="8"/>
    <n v="2200"/>
    <n v="0"/>
    <x v="0"/>
    <s v="Marketplace"/>
    <s v="Upi"/>
    <n v="17600"/>
    <s v="Mumbai"/>
    <n v="17600"/>
    <s v="Match"/>
    <x v="2"/>
    <x v="1"/>
    <s v="Bhubaneswar"/>
    <s v="Sales Executive"/>
    <x v="8"/>
    <x v="0"/>
    <n v="2200"/>
    <n v="1450"/>
    <n v="17600"/>
    <n v="6000"/>
  </r>
  <r>
    <s v="ORD26020664"/>
    <x v="92"/>
    <s v="C0257"/>
    <s v="E014"/>
    <s v="P012"/>
    <n v="8"/>
    <n v="48500"/>
    <n v="0.15"/>
    <x v="0"/>
    <s v="Website"/>
    <s v="Credit"/>
    <n v="329800"/>
    <s v="Indore"/>
    <n v="329800"/>
    <s v="Match"/>
    <x v="10"/>
    <x v="4"/>
    <s v="Indore"/>
    <s v="Sales Executive"/>
    <x v="2"/>
    <x v="2"/>
    <n v="48500"/>
    <n v="41200"/>
    <n v="329800"/>
    <n v="200"/>
  </r>
  <r>
    <s v="ORD26010665"/>
    <x v="172"/>
    <s v="Unknown"/>
    <s v="E002"/>
    <s v="P010"/>
    <n v="4"/>
    <n v="3200"/>
    <n v="0.15"/>
    <x v="0"/>
    <s v="Website"/>
    <s v="Credit"/>
    <n v="10880"/>
    <s v="Chennai"/>
    <n v="10880"/>
    <s v="Match"/>
    <x v="0"/>
    <x v="0"/>
    <s v="Bengaluru"/>
    <s v="Sales Executive"/>
    <x v="11"/>
    <x v="4"/>
    <n v="3200"/>
    <n v="2050"/>
    <n v="10880"/>
    <n v="2680"/>
  </r>
  <r>
    <s v="ORD26010666"/>
    <x v="25"/>
    <s v="C0226"/>
    <s v="E015"/>
    <s v="P004"/>
    <n v="8"/>
    <n v="11200"/>
    <n v="0.2"/>
    <x v="0"/>
    <s v="Direct"/>
    <s v="Card"/>
    <n v="71680"/>
    <s v="Kolkata"/>
    <n v="71680"/>
    <s v="Match"/>
    <x v="9"/>
    <x v="4"/>
    <s v="Bhopal"/>
    <s v="Sales Executive"/>
    <x v="1"/>
    <x v="1"/>
    <n v="11200"/>
    <n v="8300"/>
    <n v="71680"/>
    <n v="5280"/>
  </r>
  <r>
    <s v="ORD26040667"/>
    <x v="11"/>
    <s v="C0064"/>
    <s v="E007"/>
    <s v="P004"/>
    <n v="2"/>
    <n v="11200"/>
    <n v="0.1"/>
    <x v="0"/>
    <s v="Phone"/>
    <s v="Upi"/>
    <n v="20160"/>
    <s v="Jaipur"/>
    <n v="20160"/>
    <s v="Match"/>
    <x v="4"/>
    <x v="2"/>
    <s v="Pune"/>
    <s v="Sales Executive"/>
    <x v="1"/>
    <x v="1"/>
    <n v="11200"/>
    <n v="8300"/>
    <n v="20160"/>
    <n v="3560"/>
  </r>
  <r>
    <s v="ORD26020668"/>
    <x v="126"/>
    <s v="C0168"/>
    <s v="E008"/>
    <s v="P006"/>
    <n v="3"/>
    <n v="1330"/>
    <n v="0.15"/>
    <x v="0"/>
    <s v="Phone"/>
    <s v="Upi"/>
    <n v="3391.5"/>
    <s v="Pune"/>
    <n v="3391.5"/>
    <s v="Match"/>
    <x v="8"/>
    <x v="2"/>
    <s v="Ahmedabad"/>
    <s v="Sales Executive"/>
    <x v="4"/>
    <x v="0"/>
    <n v="1400"/>
    <n v="780"/>
    <n v="3391.5"/>
    <n v="1051.5"/>
  </r>
  <r>
    <s v="ORD26030669"/>
    <x v="178"/>
    <s v="C0116"/>
    <s v="E008"/>
    <s v="P010"/>
    <n v="4"/>
    <n v="3360"/>
    <n v="0.2"/>
    <x v="3"/>
    <s v="Phone"/>
    <s v="Bank Transfer"/>
    <n v="10752"/>
    <s v="Unknown"/>
    <n v="10752"/>
    <s v="Match"/>
    <x v="8"/>
    <x v="2"/>
    <s v="Ahmedabad"/>
    <s v="Sales Executive"/>
    <x v="11"/>
    <x v="4"/>
    <n v="3200"/>
    <n v="2050"/>
    <n v="0"/>
    <n v="-8200"/>
  </r>
  <r>
    <s v="ORD26020670"/>
    <x v="36"/>
    <s v="C0092"/>
    <s v="E014"/>
    <s v="P002"/>
    <n v="5"/>
    <n v="2200"/>
    <n v="0.1"/>
    <x v="0"/>
    <s v="Direct"/>
    <s v="Cash"/>
    <n v="9900"/>
    <s v="Mumbai"/>
    <n v="9900"/>
    <s v="Match"/>
    <x v="10"/>
    <x v="4"/>
    <s v="Indore"/>
    <s v="Sales Executive"/>
    <x v="8"/>
    <x v="0"/>
    <n v="2200"/>
    <n v="1450"/>
    <n v="9900"/>
    <n v="2650"/>
  </r>
  <r>
    <s v="ORD26040671"/>
    <x v="50"/>
    <s v="C0206"/>
    <s v="E008"/>
    <s v="P009"/>
    <n v="3"/>
    <n v="19425"/>
    <n v="0"/>
    <x v="0"/>
    <s v="Direct"/>
    <s v="Card"/>
    <n v="58275"/>
    <s v="Mumbai"/>
    <n v="58275"/>
    <s v="Match"/>
    <x v="8"/>
    <x v="2"/>
    <s v="Ahmedabad"/>
    <s v="Sales Executive"/>
    <x v="5"/>
    <x v="3"/>
    <n v="18500"/>
    <n v="13900"/>
    <n v="58275"/>
    <n v="16575"/>
  </r>
  <r>
    <s v="ORD26040672"/>
    <x v="141"/>
    <s v="C0256"/>
    <s v="E004"/>
    <s v="P006"/>
    <n v="1"/>
    <n v="1470"/>
    <n v="0.1"/>
    <x v="0"/>
    <s v="Marketplace"/>
    <s v="Credit"/>
    <n v="1323"/>
    <s v="Indore"/>
    <n v="1323"/>
    <s v="Match"/>
    <x v="1"/>
    <x v="0"/>
    <s v="Coimbatore"/>
    <s v="Sales Executive"/>
    <x v="4"/>
    <x v="0"/>
    <n v="1400"/>
    <n v="780"/>
    <n v="1323"/>
    <n v="543"/>
  </r>
  <r>
    <s v="ORD26030673"/>
    <x v="46"/>
    <s v="C0249"/>
    <s v="E013"/>
    <s v="P011"/>
    <n v="8"/>
    <n v="2520"/>
    <n v="0.05"/>
    <x v="0"/>
    <s v="Marketplace"/>
    <s v="Card"/>
    <n v="19152"/>
    <s v="Kochi"/>
    <n v="19152"/>
    <s v="Match"/>
    <x v="2"/>
    <x v="1"/>
    <s v="Bhubaneswar"/>
    <s v="Sales Executive"/>
    <x v="7"/>
    <x v="4"/>
    <n v="2400"/>
    <n v="1480"/>
    <n v="19152"/>
    <n v="7312"/>
  </r>
  <r>
    <s v="ORD26010674"/>
    <x v="81"/>
    <s v="C0016"/>
    <s v="E002"/>
    <s v="P005"/>
    <n v="2"/>
    <n v="16800"/>
    <n v="0"/>
    <x v="0"/>
    <s v="Direct"/>
    <s v="Upi"/>
    <n v="33600"/>
    <s v="Mumbai"/>
    <n v="33600"/>
    <s v="Match"/>
    <x v="0"/>
    <x v="0"/>
    <s v="Bengaluru"/>
    <s v="Sales Executive"/>
    <x v="9"/>
    <x v="1"/>
    <n v="16800"/>
    <n v="12600"/>
    <n v="33600"/>
    <n v="8400"/>
  </r>
  <r>
    <s v="ORD26050675"/>
    <x v="140"/>
    <s v="C0079"/>
    <s v="E011"/>
    <s v="P001"/>
    <n v="10"/>
    <n v="650"/>
    <n v="0.1"/>
    <x v="0"/>
    <s v="Marketplace"/>
    <s v="Credit"/>
    <n v="5850"/>
    <s v="Indore"/>
    <n v="5850"/>
    <s v="Match"/>
    <x v="11"/>
    <x v="3"/>
    <s v="Lucknow"/>
    <s v="Sales Executive"/>
    <x v="0"/>
    <x v="0"/>
    <n v="650"/>
    <n v="390"/>
    <n v="5850"/>
    <n v="1950"/>
  </r>
  <r>
    <s v="ORD26010676"/>
    <x v="8"/>
    <s v="C0104"/>
    <s v="E013"/>
    <s v="P002"/>
    <n v="3"/>
    <n v="2310"/>
    <n v="0.15"/>
    <x v="0"/>
    <s v="Marketplace"/>
    <s v="Cash"/>
    <n v="5890.5"/>
    <s v="Kochi"/>
    <n v="5890.5"/>
    <s v="Match"/>
    <x v="2"/>
    <x v="1"/>
    <s v="Bhubaneswar"/>
    <s v="Sales Executive"/>
    <x v="8"/>
    <x v="0"/>
    <n v="2200"/>
    <n v="1450"/>
    <n v="5890.5"/>
    <n v="1540.5"/>
  </r>
  <r>
    <s v="ORD26050677"/>
    <x v="99"/>
    <s v="C0221"/>
    <s v="E005"/>
    <s v="P009"/>
    <n v="2"/>
    <n v="17575"/>
    <n v="0.15"/>
    <x v="0"/>
    <s v="Direct"/>
    <s v="Cash"/>
    <n v="29877.5"/>
    <s v="Kochi"/>
    <n v="29877.5"/>
    <s v="Match"/>
    <x v="3"/>
    <x v="0"/>
    <s v="Kochi"/>
    <s v="Sales Executive"/>
    <x v="5"/>
    <x v="3"/>
    <n v="18500"/>
    <n v="13900"/>
    <n v="29877.5"/>
    <n v="2077.5"/>
  </r>
  <r>
    <s v="ORD26030678"/>
    <x v="114"/>
    <s v="C0085"/>
    <s v="E014"/>
    <s v="P007"/>
    <n v="2"/>
    <n v="2600"/>
    <n v="0"/>
    <x v="0"/>
    <s v="Phone"/>
    <s v="Cash"/>
    <n v="5200"/>
    <s v="Delhi"/>
    <n v="5200"/>
    <s v="Match"/>
    <x v="10"/>
    <x v="4"/>
    <s v="Indore"/>
    <s v="Sales Executive"/>
    <x v="10"/>
    <x v="0"/>
    <n v="2600"/>
    <n v="1750"/>
    <n v="5200"/>
    <n v="1700"/>
  </r>
  <r>
    <s v="ORD26030679"/>
    <x v="98"/>
    <s v="C0241"/>
    <s v="E012"/>
    <s v="P007"/>
    <n v="2"/>
    <n v="2730"/>
    <n v="0"/>
    <x v="0"/>
    <s v="Phone"/>
    <s v="Credit"/>
    <n v="5460"/>
    <s v="Delhi"/>
    <n v="5460"/>
    <s v="Match"/>
    <x v="12"/>
    <x v="1"/>
    <s v="Kolkata"/>
    <s v="Sales Executive"/>
    <x v="10"/>
    <x v="0"/>
    <n v="2600"/>
    <n v="1750"/>
    <n v="5460"/>
    <n v="1960"/>
  </r>
  <r>
    <s v="ORD26050680"/>
    <x v="99"/>
    <s v="C0146"/>
    <s v="E001"/>
    <s v="P007"/>
    <n v="1"/>
    <n v="2600"/>
    <n v="0.15"/>
    <x v="3"/>
    <s v="Marketplace"/>
    <s v="Upi"/>
    <n v="2210"/>
    <s v="Chennai"/>
    <n v="2210"/>
    <s v="Match"/>
    <x v="14"/>
    <x v="0"/>
    <s v="Chennai"/>
    <s v="Sales Executive"/>
    <x v="10"/>
    <x v="0"/>
    <n v="2600"/>
    <n v="1750"/>
    <n v="0"/>
    <n v="-1750"/>
  </r>
  <r>
    <s v="ORD26060681"/>
    <x v="73"/>
    <s v="C0175"/>
    <s v="E001"/>
    <s v="P003"/>
    <n v="4"/>
    <n v="1710"/>
    <n v="0.05"/>
    <x v="0"/>
    <s v="Phone"/>
    <s v="Upi"/>
    <n v="6498"/>
    <s v="Pune"/>
    <n v="6498"/>
    <s v="Match"/>
    <x v="14"/>
    <x v="0"/>
    <s v="Chennai"/>
    <s v="Sales Executive"/>
    <x v="3"/>
    <x v="0"/>
    <n v="1800"/>
    <n v="1120"/>
    <n v="6498"/>
    <n v="2018"/>
  </r>
  <r>
    <s v="ORD26030682"/>
    <x v="119"/>
    <s v="C0160"/>
    <s v="E006"/>
    <s v="P007"/>
    <n v="2"/>
    <n v="2600"/>
    <n v="0.2"/>
    <x v="0"/>
    <s v="Direct"/>
    <s v="Upi"/>
    <n v="4160"/>
    <s v="Hyderabad"/>
    <n v="4160"/>
    <s v="Match"/>
    <x v="5"/>
    <x v="2"/>
    <s v="Mumbai"/>
    <s v="Sales Executive"/>
    <x v="10"/>
    <x v="0"/>
    <n v="2600"/>
    <n v="1750"/>
    <n v="4160"/>
    <n v="660"/>
  </r>
  <r>
    <s v="ORD26010683"/>
    <x v="27"/>
    <s v="C0216"/>
    <s v="E006"/>
    <s v="P003"/>
    <n v="1"/>
    <n v="1890"/>
    <n v="0.05"/>
    <x v="0"/>
    <s v="Marketplace"/>
    <s v="Upi"/>
    <n v="1795.5"/>
    <s v="Kochi"/>
    <n v="1795.5"/>
    <s v="Match"/>
    <x v="5"/>
    <x v="2"/>
    <s v="Mumbai"/>
    <s v="Sales Executive"/>
    <x v="3"/>
    <x v="0"/>
    <n v="1800"/>
    <n v="1120"/>
    <n v="1795.5"/>
    <n v="675.5"/>
  </r>
  <r>
    <s v="ORD26050684"/>
    <x v="62"/>
    <s v="C0251"/>
    <s v="E001"/>
    <s v="P006"/>
    <n v="2"/>
    <n v="1330"/>
    <n v="0.1"/>
    <x v="0"/>
    <s v="Direct"/>
    <s v="Card"/>
    <n v="2394"/>
    <s v="Kolkata"/>
    <n v="2394"/>
    <s v="Match"/>
    <x v="14"/>
    <x v="0"/>
    <s v="Chennai"/>
    <s v="Sales Executive"/>
    <x v="4"/>
    <x v="0"/>
    <n v="1400"/>
    <n v="780"/>
    <n v="2394"/>
    <n v="834"/>
  </r>
  <r>
    <s v="ORD26050685"/>
    <x v="140"/>
    <s v="C0104"/>
    <s v="E009"/>
    <s v="P011"/>
    <n v="2"/>
    <n v="2520"/>
    <n v="0.15"/>
    <x v="0"/>
    <s v="Phone"/>
    <s v="Upi"/>
    <n v="4284"/>
    <s v="Jaipur"/>
    <n v="4284"/>
    <s v="Match"/>
    <x v="13"/>
    <x v="3"/>
    <s v="Delhi"/>
    <s v="Sales Executive"/>
    <x v="7"/>
    <x v="4"/>
    <n v="2400"/>
    <n v="1480"/>
    <n v="4284"/>
    <n v="1324"/>
  </r>
  <r>
    <s v="ORD26020686"/>
    <x v="139"/>
    <s v="C0048"/>
    <s v="E005"/>
    <s v="P005"/>
    <n v="1"/>
    <n v="16800"/>
    <n v="0.15"/>
    <x v="0"/>
    <s v="Direct"/>
    <s v="Credit"/>
    <n v="14280"/>
    <s v="Kolkata"/>
    <n v="14280"/>
    <s v="Match"/>
    <x v="3"/>
    <x v="0"/>
    <s v="Kochi"/>
    <s v="Sales Executive"/>
    <x v="9"/>
    <x v="1"/>
    <n v="16800"/>
    <n v="12600"/>
    <n v="14280"/>
    <n v="1680"/>
  </r>
  <r>
    <s v="ORD26030687"/>
    <x v="46"/>
    <s v="C0040"/>
    <s v="E002"/>
    <s v="P010"/>
    <n v="4"/>
    <n v="3200"/>
    <n v="0.1"/>
    <x v="0"/>
    <s v="Marketplace"/>
    <s v="Credit"/>
    <n v="11520"/>
    <s v="Hyderabad"/>
    <n v="11520"/>
    <s v="Match"/>
    <x v="0"/>
    <x v="0"/>
    <s v="Bengaluru"/>
    <s v="Sales Executive"/>
    <x v="11"/>
    <x v="4"/>
    <n v="3200"/>
    <n v="2050"/>
    <n v="11520"/>
    <n v="3320"/>
  </r>
  <r>
    <s v="ORD26040688"/>
    <x v="175"/>
    <s v="C0093"/>
    <s v="E011"/>
    <s v="P009"/>
    <n v="2"/>
    <n v="19425"/>
    <n v="0.1"/>
    <x v="0"/>
    <s v="Direct"/>
    <s v="Credit"/>
    <n v="34965"/>
    <s v="Delhi"/>
    <n v="34965"/>
    <s v="Match"/>
    <x v="11"/>
    <x v="3"/>
    <s v="Lucknow"/>
    <s v="Sales Executive"/>
    <x v="5"/>
    <x v="3"/>
    <n v="18500"/>
    <n v="13900"/>
    <n v="34965"/>
    <n v="7165"/>
  </r>
  <r>
    <s v="ORD26050689"/>
    <x v="45"/>
    <s v="C0223"/>
    <s v="E008"/>
    <s v="P004"/>
    <n v="3"/>
    <n v="11200"/>
    <n v="0.2"/>
    <x v="1"/>
    <s v="Direct"/>
    <s v="Credit"/>
    <n v="26880"/>
    <s v="Bengaluru"/>
    <n v="26880"/>
    <s v="Match"/>
    <x v="8"/>
    <x v="2"/>
    <s v="Ahmedabad"/>
    <s v="Sales Executive"/>
    <x v="1"/>
    <x v="1"/>
    <n v="11200"/>
    <n v="8300"/>
    <n v="0"/>
    <n v="-24900"/>
  </r>
  <r>
    <s v="ORD26040690"/>
    <x v="141"/>
    <s v="C0223"/>
    <s v="E008"/>
    <s v="P003"/>
    <n v="1"/>
    <n v="1800"/>
    <n v="0.2"/>
    <x v="0"/>
    <s v="Phone"/>
    <s v="Bank Transfer"/>
    <n v="1440"/>
    <s v="Mumbai"/>
    <n v="1440"/>
    <s v="Match"/>
    <x v="8"/>
    <x v="2"/>
    <s v="Ahmedabad"/>
    <s v="Sales Executive"/>
    <x v="3"/>
    <x v="0"/>
    <n v="1800"/>
    <n v="1120"/>
    <n v="1440"/>
    <n v="320"/>
  </r>
  <r>
    <s v="ORD26060691"/>
    <x v="10"/>
    <s v="C0121"/>
    <s v="E004"/>
    <s v="P007"/>
    <n v="1"/>
    <n v="2600"/>
    <n v="0.05"/>
    <x v="0"/>
    <s v="Phone"/>
    <s v="Upi"/>
    <n v="2470"/>
    <s v="Mumbai"/>
    <n v="2470"/>
    <s v="Match"/>
    <x v="1"/>
    <x v="0"/>
    <s v="Coimbatore"/>
    <s v="Sales Executive"/>
    <x v="10"/>
    <x v="0"/>
    <n v="2600"/>
    <n v="1750"/>
    <n v="2470"/>
    <n v="720"/>
  </r>
  <r>
    <s v="ORD26020692"/>
    <x v="147"/>
    <s v="C0217"/>
    <s v="E004"/>
    <s v="P001"/>
    <n v="1"/>
    <n v="682.5"/>
    <n v="0.05"/>
    <x v="0"/>
    <s v="Direct"/>
    <s v="Card"/>
    <n v="648.38"/>
    <s v="Unknown"/>
    <n v="648.375"/>
    <s v="Match"/>
    <x v="1"/>
    <x v="0"/>
    <s v="Coimbatore"/>
    <s v="Sales Executive"/>
    <x v="0"/>
    <x v="0"/>
    <n v="650"/>
    <n v="390"/>
    <n v="648.375"/>
    <n v="258.375"/>
  </r>
  <r>
    <s v="ORD26030693"/>
    <x v="46"/>
    <s v="C0022"/>
    <s v="E003"/>
    <s v="P001"/>
    <n v="1"/>
    <n v="650"/>
    <n v="0.05"/>
    <x v="0"/>
    <s v="Phone"/>
    <s v="Upi"/>
    <n v="617.5"/>
    <s v="Chennai"/>
    <n v="617.5"/>
    <s v="Match"/>
    <x v="7"/>
    <x v="0"/>
    <s v="Hyderabad"/>
    <s v="Sales Executive"/>
    <x v="0"/>
    <x v="0"/>
    <n v="650"/>
    <n v="390"/>
    <n v="617.5"/>
    <n v="227.5"/>
  </r>
  <r>
    <s v="ORD26010694"/>
    <x v="61"/>
    <s v="C0187"/>
    <s v="E006"/>
    <s v="P010"/>
    <n v="1"/>
    <n v="3360"/>
    <n v="0"/>
    <x v="1"/>
    <s v="Direct"/>
    <s v="Cash"/>
    <n v="3360"/>
    <s v="Delhi"/>
    <n v="3360"/>
    <s v="Match"/>
    <x v="5"/>
    <x v="2"/>
    <s v="Mumbai"/>
    <s v="Sales Executive"/>
    <x v="11"/>
    <x v="4"/>
    <n v="3200"/>
    <n v="2050"/>
    <n v="0"/>
    <n v="-2050"/>
  </r>
  <r>
    <s v="ORD26030695"/>
    <x v="149"/>
    <s v="C0255"/>
    <s v="E002"/>
    <s v="P010"/>
    <n v="4"/>
    <n v="3200"/>
    <n v="0"/>
    <x v="0"/>
    <s v="Direct"/>
    <s v="Card"/>
    <n v="12800"/>
    <s v="Indore"/>
    <n v="12800"/>
    <s v="Match"/>
    <x v="0"/>
    <x v="0"/>
    <s v="Bengaluru"/>
    <s v="Sales Executive"/>
    <x v="11"/>
    <x v="4"/>
    <n v="3200"/>
    <n v="2050"/>
    <n v="12800"/>
    <n v="4600"/>
  </r>
  <r>
    <s v="ORD26020696"/>
    <x v="102"/>
    <s v="C0217"/>
    <s v="E013"/>
    <s v="P006"/>
    <n v="2"/>
    <n v="1400"/>
    <n v="0.15"/>
    <x v="0"/>
    <s v="Website"/>
    <s v="Card"/>
    <n v="2380"/>
    <s v="Mumbai"/>
    <n v="2380"/>
    <s v="Match"/>
    <x v="2"/>
    <x v="1"/>
    <s v="Bhubaneswar"/>
    <s v="Sales Executive"/>
    <x v="4"/>
    <x v="0"/>
    <n v="1400"/>
    <n v="780"/>
    <n v="2380"/>
    <n v="820"/>
  </r>
  <r>
    <s v="ORD26020697"/>
    <x v="153"/>
    <s v="C0252"/>
    <s v="E004"/>
    <s v="P005"/>
    <n v="2"/>
    <n v="15960"/>
    <n v="0.05"/>
    <x v="1"/>
    <s v="Marketplace"/>
    <s v="Upi"/>
    <n v="30324"/>
    <s v="Kolkata"/>
    <n v="30324"/>
    <s v="Match"/>
    <x v="1"/>
    <x v="0"/>
    <s v="Coimbatore"/>
    <s v="Sales Executive"/>
    <x v="9"/>
    <x v="1"/>
    <n v="16800"/>
    <n v="12600"/>
    <n v="0"/>
    <n v="-25200"/>
  </r>
  <r>
    <s v="ORD26050698"/>
    <x v="63"/>
    <s v="C0186"/>
    <s v="E007"/>
    <s v="P008"/>
    <n v="3"/>
    <n v="7800"/>
    <n v="0.05"/>
    <x v="2"/>
    <s v="Phone"/>
    <s v="Bank Transfer"/>
    <n v="22230"/>
    <s v="Hyderabad"/>
    <n v="22230"/>
    <s v="Match"/>
    <x v="4"/>
    <x v="2"/>
    <s v="Pune"/>
    <s v="Sales Executive"/>
    <x v="6"/>
    <x v="3"/>
    <n v="7800"/>
    <n v="5200"/>
    <n v="0"/>
    <n v="-15600"/>
  </r>
  <r>
    <s v="ORD26010699"/>
    <x v="48"/>
    <s v="C0123"/>
    <s v="E011"/>
    <s v="P010"/>
    <n v="1"/>
    <n v="3040"/>
    <n v="0.2"/>
    <x v="0"/>
    <s v="Marketplace"/>
    <s v="Credit"/>
    <n v="2432"/>
    <s v="Pune"/>
    <n v="2432"/>
    <s v="Match"/>
    <x v="11"/>
    <x v="3"/>
    <s v="Lucknow"/>
    <s v="Sales Executive"/>
    <x v="11"/>
    <x v="4"/>
    <n v="3200"/>
    <n v="2050"/>
    <n v="2432"/>
    <n v="382"/>
  </r>
  <r>
    <s v="ORD26030700"/>
    <x v="98"/>
    <s v="C0227"/>
    <s v="E011"/>
    <s v="P012"/>
    <n v="2"/>
    <n v="48500"/>
    <n v="0.2"/>
    <x v="0"/>
    <s v="Phone"/>
    <s v="Upi"/>
    <n v="77600"/>
    <s v="Pune"/>
    <n v="77600"/>
    <s v="Match"/>
    <x v="11"/>
    <x v="3"/>
    <s v="Lucknow"/>
    <s v="Sales Executive"/>
    <x v="2"/>
    <x v="2"/>
    <n v="48500"/>
    <n v="41200"/>
    <n v="77600"/>
    <n v="-4800"/>
  </r>
  <r>
    <s v="ORD26030701"/>
    <x v="160"/>
    <s v="C0225"/>
    <s v="E005"/>
    <s v="P002"/>
    <n v="8"/>
    <n v="2200"/>
    <n v="0"/>
    <x v="0"/>
    <s v="Marketplace"/>
    <s v="Cash"/>
    <n v="17600"/>
    <s v="Chennai"/>
    <n v="17600"/>
    <s v="Match"/>
    <x v="3"/>
    <x v="0"/>
    <s v="Kochi"/>
    <s v="Sales Executive"/>
    <x v="8"/>
    <x v="0"/>
    <n v="2200"/>
    <n v="1450"/>
    <n v="17600"/>
    <n v="6000"/>
  </r>
  <r>
    <s v="ORD26030702"/>
    <x v="78"/>
    <s v="C0171"/>
    <s v="E014"/>
    <s v="P002"/>
    <n v="4"/>
    <n v="2310"/>
    <n v="0.1"/>
    <x v="0"/>
    <s v="Phone"/>
    <s v="Upi"/>
    <n v="8316"/>
    <s v="Delhi"/>
    <n v="8316"/>
    <s v="Match"/>
    <x v="10"/>
    <x v="4"/>
    <s v="Indore"/>
    <s v="Sales Executive"/>
    <x v="8"/>
    <x v="0"/>
    <n v="2200"/>
    <n v="1450"/>
    <n v="8316"/>
    <n v="2516"/>
  </r>
  <r>
    <s v="ORD26060703"/>
    <x v="41"/>
    <s v="C0233"/>
    <s v="E005"/>
    <s v="P009"/>
    <n v="1"/>
    <n v="18500"/>
    <n v="0.1"/>
    <x v="0"/>
    <s v="Direct"/>
    <s v="Upi"/>
    <n v="16650"/>
    <s v="Delhi"/>
    <n v="16650"/>
    <s v="Match"/>
    <x v="3"/>
    <x v="0"/>
    <s v="Kochi"/>
    <s v="Sales Executive"/>
    <x v="5"/>
    <x v="3"/>
    <n v="18500"/>
    <n v="13900"/>
    <n v="16650"/>
    <n v="2750"/>
  </r>
  <r>
    <s v="ORD26060704"/>
    <x v="136"/>
    <s v="C0161"/>
    <s v="E008"/>
    <s v="P011"/>
    <n v="1"/>
    <n v="2400"/>
    <n v="0.1"/>
    <x v="0"/>
    <s v="Direct"/>
    <s v="Upi"/>
    <n v="2160"/>
    <s v="Delhi"/>
    <n v="2160"/>
    <s v="Match"/>
    <x v="8"/>
    <x v="2"/>
    <s v="Ahmedabad"/>
    <s v="Sales Executive"/>
    <x v="7"/>
    <x v="4"/>
    <n v="2400"/>
    <n v="1480"/>
    <n v="2160"/>
    <n v="680"/>
  </r>
  <r>
    <s v="ORD26030705"/>
    <x v="118"/>
    <s v="C0164"/>
    <s v="E009"/>
    <s v="P012"/>
    <n v="8"/>
    <n v="50925"/>
    <n v="0.2"/>
    <x v="0"/>
    <s v="Phone"/>
    <s v="Cash"/>
    <n v="325920"/>
    <s v="Delhi"/>
    <n v="325920"/>
    <s v="Match"/>
    <x v="13"/>
    <x v="3"/>
    <s v="Delhi"/>
    <s v="Sales Executive"/>
    <x v="2"/>
    <x v="2"/>
    <n v="48500"/>
    <n v="41200"/>
    <n v="325920"/>
    <n v="-3680"/>
  </r>
  <r>
    <s v="ORD26030706"/>
    <x v="43"/>
    <s v="C0044"/>
    <s v="E003"/>
    <s v="P011"/>
    <n v="3"/>
    <n v="2400"/>
    <n v="0.05"/>
    <x v="0"/>
    <s v="Phone"/>
    <s v="Bank Transfer"/>
    <n v="6840"/>
    <s v="Delhi"/>
    <n v="6840"/>
    <s v="Match"/>
    <x v="7"/>
    <x v="0"/>
    <s v="Hyderabad"/>
    <s v="Sales Executive"/>
    <x v="7"/>
    <x v="4"/>
    <n v="2400"/>
    <n v="1480"/>
    <n v="6840"/>
    <n v="2400"/>
  </r>
  <r>
    <s v="ORD26040707"/>
    <x v="173"/>
    <s v="C0118"/>
    <s v="E015"/>
    <s v="P007"/>
    <n v="8"/>
    <n v="2470"/>
    <n v="0.15"/>
    <x v="0"/>
    <s v="Direct"/>
    <s v="Cash"/>
    <n v="16796"/>
    <s v="Bengaluru"/>
    <n v="16796"/>
    <s v="Match"/>
    <x v="9"/>
    <x v="4"/>
    <s v="Bhopal"/>
    <s v="Sales Executive"/>
    <x v="10"/>
    <x v="0"/>
    <n v="2600"/>
    <n v="1750"/>
    <n v="16796"/>
    <n v="2796"/>
  </r>
  <r>
    <s v="ORD26030708"/>
    <x v="24"/>
    <s v="C0077"/>
    <s v="E012"/>
    <s v="P003"/>
    <m/>
    <n v="1800"/>
    <n v="0.15"/>
    <x v="0"/>
    <s v="Direct"/>
    <s v="Bank Transfer"/>
    <n v="1530"/>
    <s v="Delhi"/>
    <m/>
    <s v="Invalid Inputs"/>
    <x v="12"/>
    <x v="1"/>
    <s v="Kolkata"/>
    <s v="Sales Executive"/>
    <x v="3"/>
    <x v="0"/>
    <n v="1800"/>
    <n v="1120"/>
    <n v="0"/>
    <n v="0"/>
  </r>
  <r>
    <s v="ORD26050709"/>
    <x v="64"/>
    <s v="C0254"/>
    <s v="E002"/>
    <s v="P001"/>
    <n v="3"/>
    <n v="682.5"/>
    <n v="0.1"/>
    <x v="0"/>
    <s v="Direct"/>
    <s v="Card"/>
    <n v="1842.75"/>
    <s v="Bengaluru"/>
    <n v="1842.75"/>
    <s v="Match"/>
    <x v="0"/>
    <x v="0"/>
    <s v="Bengaluru"/>
    <s v="Sales Executive"/>
    <x v="0"/>
    <x v="0"/>
    <n v="650"/>
    <n v="390"/>
    <n v="1842.75"/>
    <n v="672.75"/>
  </r>
  <r>
    <s v="ORD26020710"/>
    <x v="36"/>
    <s v="C0106"/>
    <s v="E014"/>
    <s v="P005"/>
    <n v="1"/>
    <n v="17640"/>
    <n v="0.1"/>
    <x v="0"/>
    <s v="Marketplace"/>
    <s v="Bank Transfer"/>
    <n v="15876"/>
    <s v="Bengaluru"/>
    <n v="15876"/>
    <s v="Match"/>
    <x v="10"/>
    <x v="4"/>
    <s v="Indore"/>
    <s v="Sales Executive"/>
    <x v="9"/>
    <x v="1"/>
    <n v="16800"/>
    <n v="12600"/>
    <n v="15876"/>
    <n v="3276"/>
  </r>
  <r>
    <s v="ORD26040711"/>
    <x v="170"/>
    <s v="C0121"/>
    <s v="E003"/>
    <s v="P007"/>
    <n v="4"/>
    <n v="2600"/>
    <n v="0"/>
    <x v="2"/>
    <s v="Phone"/>
    <s v="Card"/>
    <n v="10400"/>
    <s v="Kolkata"/>
    <n v="10400"/>
    <s v="Match"/>
    <x v="7"/>
    <x v="0"/>
    <s v="Hyderabad"/>
    <s v="Sales Executive"/>
    <x v="10"/>
    <x v="0"/>
    <n v="2600"/>
    <n v="1750"/>
    <n v="0"/>
    <n v="-7000"/>
  </r>
  <r>
    <s v="ORD26050712"/>
    <x v="166"/>
    <s v="C0204"/>
    <s v="E011"/>
    <s v="P011"/>
    <n v="2"/>
    <n v="2400"/>
    <n v="0"/>
    <x v="0"/>
    <s v="Website"/>
    <s v="Cash"/>
    <n v="4800"/>
    <s v="Pune"/>
    <n v="4800"/>
    <s v="Match"/>
    <x v="11"/>
    <x v="3"/>
    <s v="Lucknow"/>
    <s v="Sales Executive"/>
    <x v="7"/>
    <x v="4"/>
    <n v="2400"/>
    <n v="1480"/>
    <n v="4800"/>
    <n v="1840"/>
  </r>
  <r>
    <s v="ORD26060713"/>
    <x v="13"/>
    <s v="C0242"/>
    <s v="E005"/>
    <s v="P002"/>
    <n v="1"/>
    <n v="2200"/>
    <n v="0"/>
    <x v="0"/>
    <s v="Marketplace"/>
    <s v="Credit"/>
    <n v="2200"/>
    <s v="Indore"/>
    <n v="2200"/>
    <s v="Match"/>
    <x v="3"/>
    <x v="0"/>
    <s v="Kochi"/>
    <s v="Sales Executive"/>
    <x v="8"/>
    <x v="0"/>
    <n v="2200"/>
    <n v="1450"/>
    <n v="2200"/>
    <n v="750"/>
  </r>
  <r>
    <s v="ORD26010714"/>
    <x v="138"/>
    <s v="C0190"/>
    <s v="E001"/>
    <s v="P005"/>
    <n v="2"/>
    <n v="17640"/>
    <n v="0.1"/>
    <x v="0"/>
    <s v="Website"/>
    <s v="Credit"/>
    <n v="31752"/>
    <s v="Chennai"/>
    <n v="31752"/>
    <s v="Match"/>
    <x v="14"/>
    <x v="0"/>
    <s v="Chennai"/>
    <s v="Sales Executive"/>
    <x v="9"/>
    <x v="1"/>
    <n v="16800"/>
    <n v="12600"/>
    <n v="31752"/>
    <n v="6552"/>
  </r>
  <r>
    <s v="ORD26050715"/>
    <x v="23"/>
    <s v="C0068"/>
    <s v="E003"/>
    <s v="P005"/>
    <n v="1"/>
    <n v="17640"/>
    <n v="0.1"/>
    <x v="1"/>
    <s v="Direct"/>
    <s v="Bank Transfer"/>
    <n v="15876"/>
    <s v="Jaipur"/>
    <n v="15876"/>
    <s v="Match"/>
    <x v="7"/>
    <x v="0"/>
    <s v="Hyderabad"/>
    <s v="Sales Executive"/>
    <x v="9"/>
    <x v="1"/>
    <n v="16800"/>
    <n v="12600"/>
    <n v="0"/>
    <n v="-12600"/>
  </r>
  <r>
    <s v="ORD26040716"/>
    <x v="175"/>
    <s v="C0144"/>
    <s v="E003"/>
    <s v="P005"/>
    <n v="1"/>
    <n v="17640"/>
    <n v="0"/>
    <x v="3"/>
    <s v="Marketplace"/>
    <s v="Cash"/>
    <n v="17640"/>
    <s v="Hyderabad"/>
    <n v="17640"/>
    <s v="Match"/>
    <x v="7"/>
    <x v="0"/>
    <s v="Hyderabad"/>
    <s v="Sales Executive"/>
    <x v="9"/>
    <x v="1"/>
    <n v="16800"/>
    <n v="12600"/>
    <n v="0"/>
    <n v="-12600"/>
  </r>
  <r>
    <s v="ORD26030717"/>
    <x v="24"/>
    <s v="C0252"/>
    <s v="E010"/>
    <s v="P005"/>
    <n v="2"/>
    <n v="16800"/>
    <n v="0.1"/>
    <x v="2"/>
    <s v="Website"/>
    <s v="Credit"/>
    <n v="30240"/>
    <s v="Kochi"/>
    <n v="30240"/>
    <s v="Match"/>
    <x v="6"/>
    <x v="3"/>
    <s v="Jaipur"/>
    <s v="Sales Executive"/>
    <x v="9"/>
    <x v="1"/>
    <n v="16800"/>
    <n v="12600"/>
    <n v="0"/>
    <n v="-25200"/>
  </r>
  <r>
    <s v="ORD26010718"/>
    <x v="17"/>
    <s v="C0084"/>
    <s v="E004"/>
    <s v="P003"/>
    <n v="1"/>
    <n v="1800"/>
    <n v="0"/>
    <x v="0"/>
    <s v="Phone"/>
    <s v="Cash"/>
    <n v="1800"/>
    <s v="Mumbai"/>
    <n v="1800"/>
    <s v="Match"/>
    <x v="1"/>
    <x v="0"/>
    <s v="Coimbatore"/>
    <s v="Sales Executive"/>
    <x v="3"/>
    <x v="0"/>
    <n v="1800"/>
    <n v="1120"/>
    <n v="1800"/>
    <n v="680"/>
  </r>
  <r>
    <s v="ORD26050719"/>
    <x v="143"/>
    <s v="C0253"/>
    <s v="E001"/>
    <s v="P008"/>
    <n v="2"/>
    <n v="8190"/>
    <n v="0.2"/>
    <x v="0"/>
    <s v="Direct"/>
    <s v="Card"/>
    <n v="13104"/>
    <s v="Mumbai"/>
    <n v="13104"/>
    <s v="Match"/>
    <x v="14"/>
    <x v="0"/>
    <s v="Chennai"/>
    <s v="Sales Executive"/>
    <x v="6"/>
    <x v="3"/>
    <n v="7800"/>
    <n v="5200"/>
    <n v="13104"/>
    <n v="2704"/>
  </r>
  <r>
    <s v="ORD26030720"/>
    <x v="130"/>
    <s v="C0109"/>
    <s v="E002"/>
    <s v="P004"/>
    <n v="5"/>
    <n v="11200"/>
    <n v="0"/>
    <x v="2"/>
    <s v="Direct"/>
    <s v="Credit"/>
    <n v="56000"/>
    <s v="Indore"/>
    <n v="56000"/>
    <s v="Match"/>
    <x v="0"/>
    <x v="0"/>
    <s v="Bengaluru"/>
    <s v="Sales Executive"/>
    <x v="1"/>
    <x v="1"/>
    <n v="11200"/>
    <n v="8300"/>
    <n v="0"/>
    <n v="-41500"/>
  </r>
  <r>
    <s v="ORD26020721"/>
    <x v="54"/>
    <s v="C0014"/>
    <s v="E007"/>
    <s v="P002"/>
    <n v="1"/>
    <n v="2200"/>
    <n v="0.1"/>
    <x v="0"/>
    <s v="Marketplace"/>
    <s v="Upi"/>
    <n v="1980"/>
    <s v="Pune"/>
    <n v="1980"/>
    <s v="Match"/>
    <x v="4"/>
    <x v="2"/>
    <s v="Pune"/>
    <s v="Sales Executive"/>
    <x v="8"/>
    <x v="0"/>
    <n v="2200"/>
    <n v="1450"/>
    <n v="1980"/>
    <n v="530"/>
  </r>
  <r>
    <s v="ORD26040722"/>
    <x v="122"/>
    <s v="C0246"/>
    <s v="E010"/>
    <s v="P002"/>
    <n v="4"/>
    <n v="2310"/>
    <n v="0"/>
    <x v="0"/>
    <s v="Phone"/>
    <s v="Bank Transfer"/>
    <n v="9240"/>
    <s v="Indore"/>
    <n v="9240"/>
    <s v="Match"/>
    <x v="6"/>
    <x v="3"/>
    <s v="Jaipur"/>
    <s v="Sales Executive"/>
    <x v="8"/>
    <x v="0"/>
    <n v="2200"/>
    <n v="1450"/>
    <n v="9240"/>
    <n v="3440"/>
  </r>
  <r>
    <s v="ORD26060723"/>
    <x v="68"/>
    <s v="C0167"/>
    <s v="E001"/>
    <s v="P006"/>
    <n v="8"/>
    <n v="1470"/>
    <n v="0.2"/>
    <x v="0"/>
    <s v="Website"/>
    <s v="Card"/>
    <n v="9408"/>
    <s v="Chennai"/>
    <n v="9408"/>
    <s v="Match"/>
    <x v="14"/>
    <x v="0"/>
    <s v="Chennai"/>
    <s v="Sales Executive"/>
    <x v="4"/>
    <x v="0"/>
    <n v="1400"/>
    <n v="780"/>
    <n v="9408"/>
    <n v="3168"/>
  </r>
  <r>
    <s v="ORD26060724"/>
    <x v="101"/>
    <s v="C0048"/>
    <s v="E005"/>
    <s v="P006"/>
    <n v="4"/>
    <n v="1470"/>
    <n v="0.2"/>
    <x v="0"/>
    <s v="Phone"/>
    <s v="Bank Transfer"/>
    <n v="4704"/>
    <s v="Delhi"/>
    <n v="4704"/>
    <s v="Match"/>
    <x v="3"/>
    <x v="0"/>
    <s v="Kochi"/>
    <s v="Sales Executive"/>
    <x v="4"/>
    <x v="0"/>
    <n v="1400"/>
    <n v="780"/>
    <n v="4704"/>
    <n v="1584"/>
  </r>
  <r>
    <s v="ORD26030725"/>
    <x v="103"/>
    <s v="C0146"/>
    <s v="E013"/>
    <s v="P007"/>
    <n v="1"/>
    <n v="2730"/>
    <n v="0"/>
    <x v="0"/>
    <s v="Website"/>
    <s v="Upi"/>
    <n v="2730"/>
    <s v="Hyderabad"/>
    <n v="2730"/>
    <s v="Match"/>
    <x v="2"/>
    <x v="1"/>
    <s v="Bhubaneswar"/>
    <s v="Sales Executive"/>
    <x v="10"/>
    <x v="0"/>
    <n v="2600"/>
    <n v="1750"/>
    <n v="2730"/>
    <n v="980"/>
  </r>
  <r>
    <s v="ORD26050726"/>
    <x v="28"/>
    <s v="C0184"/>
    <s v="E013"/>
    <s v="P007"/>
    <n v="4"/>
    <n v="2600"/>
    <n v="0.05"/>
    <x v="1"/>
    <s v="Direct"/>
    <s v="Bank Transfer"/>
    <n v="9880"/>
    <s v="Jaipur"/>
    <n v="9880"/>
    <s v="Match"/>
    <x v="2"/>
    <x v="1"/>
    <s v="Bhubaneswar"/>
    <s v="Sales Executive"/>
    <x v="10"/>
    <x v="0"/>
    <n v="2600"/>
    <n v="1750"/>
    <n v="0"/>
    <n v="-7000"/>
  </r>
  <r>
    <s v="ORD26020727"/>
    <x v="128"/>
    <s v="C0047"/>
    <s v="E008"/>
    <s v="P008"/>
    <n v="5"/>
    <n v="8190"/>
    <n v="0.1"/>
    <x v="0"/>
    <s v="Phone"/>
    <s v="Bank Transfer"/>
    <n v="36855"/>
    <s v="Indore"/>
    <n v="36855"/>
    <s v="Match"/>
    <x v="8"/>
    <x v="2"/>
    <s v="Ahmedabad"/>
    <s v="Sales Executive"/>
    <x v="6"/>
    <x v="3"/>
    <n v="7800"/>
    <n v="5200"/>
    <n v="36855"/>
    <n v="10855"/>
  </r>
  <r>
    <s v="ORD26020728"/>
    <x v="117"/>
    <s v="C0115"/>
    <s v="E007"/>
    <s v="P011"/>
    <n v="2"/>
    <n v="2520"/>
    <n v="0"/>
    <x v="0"/>
    <s v="Website"/>
    <s v="Cash"/>
    <n v="5040"/>
    <s v="Jaipur"/>
    <n v="5040"/>
    <s v="Match"/>
    <x v="4"/>
    <x v="2"/>
    <s v="Pune"/>
    <s v="Sales Executive"/>
    <x v="7"/>
    <x v="4"/>
    <n v="2400"/>
    <n v="1480"/>
    <n v="5040"/>
    <n v="2080"/>
  </r>
  <r>
    <s v="ORD26060729"/>
    <x v="136"/>
    <s v="C0154"/>
    <s v="E011"/>
    <s v="P009"/>
    <n v="1"/>
    <n v="19425"/>
    <n v="0.1"/>
    <x v="0"/>
    <s v="Website"/>
    <s v="Card"/>
    <n v="17482.5"/>
    <s v="Hyderabad"/>
    <n v="17482.5"/>
    <s v="Match"/>
    <x v="11"/>
    <x v="3"/>
    <s v="Lucknow"/>
    <s v="Sales Executive"/>
    <x v="5"/>
    <x v="3"/>
    <n v="18500"/>
    <n v="13900"/>
    <n v="17482.5"/>
    <n v="3582.5"/>
  </r>
  <r>
    <s v="ORD26030730"/>
    <x v="118"/>
    <s v="C0056"/>
    <s v="E009"/>
    <s v="P007"/>
    <n v="1"/>
    <n v="2470"/>
    <n v="0"/>
    <x v="0"/>
    <s v="Phone"/>
    <s v="Cash"/>
    <n v="2470"/>
    <s v="Mumbai"/>
    <n v="2470"/>
    <s v="Match"/>
    <x v="13"/>
    <x v="3"/>
    <s v="Delhi"/>
    <s v="Sales Executive"/>
    <x v="10"/>
    <x v="0"/>
    <n v="2600"/>
    <n v="1750"/>
    <n v="2470"/>
    <n v="720"/>
  </r>
  <r>
    <s v="ORD26040731"/>
    <x v="109"/>
    <s v="Unknown"/>
    <s v="E011"/>
    <s v="P012"/>
    <n v="3"/>
    <n v="46075"/>
    <n v="0.05"/>
    <x v="0"/>
    <s v="Direct"/>
    <s v="Upi"/>
    <n v="131313.75"/>
    <s v="Kochi"/>
    <n v="131313.75"/>
    <s v="Match"/>
    <x v="11"/>
    <x v="3"/>
    <s v="Lucknow"/>
    <s v="Sales Executive"/>
    <x v="2"/>
    <x v="2"/>
    <n v="48500"/>
    <n v="41200"/>
    <n v="131313.75"/>
    <n v="7713.75"/>
  </r>
  <r>
    <s v="ORD26020732"/>
    <x v="35"/>
    <s v="C0161"/>
    <s v="Unknown"/>
    <s v="P003"/>
    <n v="4"/>
    <n v="1800"/>
    <n v="0"/>
    <x v="0"/>
    <s v="Phone"/>
    <s v="Cash"/>
    <n v="7200"/>
    <s v="Indore"/>
    <n v="7200"/>
    <s v="Match"/>
    <x v="15"/>
    <x v="5"/>
    <m/>
    <m/>
    <x v="3"/>
    <x v="0"/>
    <n v="1800"/>
    <n v="1120"/>
    <n v="7200"/>
    <n v="2720"/>
  </r>
  <r>
    <s v="ORD26030733"/>
    <x v="24"/>
    <s v="C0055"/>
    <s v="E006"/>
    <s v="P003"/>
    <n v="1"/>
    <n v="1800"/>
    <n v="0"/>
    <x v="0"/>
    <s v="Phone"/>
    <s v="Credit"/>
    <n v="1800"/>
    <s v="Chennai"/>
    <n v="1800"/>
    <s v="Match"/>
    <x v="5"/>
    <x v="2"/>
    <s v="Mumbai"/>
    <s v="Sales Executive"/>
    <x v="3"/>
    <x v="0"/>
    <n v="1800"/>
    <n v="1120"/>
    <n v="1800"/>
    <n v="680"/>
  </r>
  <r>
    <s v="ORD26010734"/>
    <x v="3"/>
    <s v="C0250"/>
    <s v="E007"/>
    <s v="P002"/>
    <n v="1"/>
    <n v="2310"/>
    <n v="0.2"/>
    <x v="0"/>
    <s v="Marketplace"/>
    <s v="Credit"/>
    <n v="1848"/>
    <s v="Indore"/>
    <n v="1848"/>
    <s v="Match"/>
    <x v="4"/>
    <x v="2"/>
    <s v="Pune"/>
    <s v="Sales Executive"/>
    <x v="8"/>
    <x v="0"/>
    <n v="2200"/>
    <n v="1450"/>
    <n v="1848"/>
    <n v="398"/>
  </r>
  <r>
    <s v="ORD26040735"/>
    <x v="59"/>
    <s v="C0045"/>
    <s v="E012"/>
    <s v="P011"/>
    <n v="8"/>
    <n v="2400"/>
    <n v="0.2"/>
    <x v="0"/>
    <s v="Website"/>
    <s v="Card"/>
    <n v="15360"/>
    <s v="Chennai"/>
    <n v="15360"/>
    <s v="Match"/>
    <x v="12"/>
    <x v="1"/>
    <s v="Kolkata"/>
    <s v="Sales Executive"/>
    <x v="7"/>
    <x v="4"/>
    <n v="2400"/>
    <n v="1480"/>
    <n v="15360"/>
    <n v="3520"/>
  </r>
  <r>
    <s v="ORD26020736"/>
    <x v="36"/>
    <s v="C0247"/>
    <s v="E002"/>
    <s v="P001"/>
    <n v="3"/>
    <n v="650"/>
    <n v="0"/>
    <x v="2"/>
    <s v="Website"/>
    <s v="Card"/>
    <n v="1950"/>
    <s v="Pune"/>
    <n v="1950"/>
    <s v="Match"/>
    <x v="0"/>
    <x v="0"/>
    <s v="Bengaluru"/>
    <s v="Sales Executive"/>
    <x v="0"/>
    <x v="0"/>
    <n v="650"/>
    <n v="390"/>
    <n v="0"/>
    <n v="-1170"/>
  </r>
  <r>
    <s v="ORD26060737"/>
    <x v="9"/>
    <s v="C0243"/>
    <s v="E014"/>
    <s v="P009"/>
    <n v="1"/>
    <n v="18500"/>
    <n v="0.05"/>
    <x v="0"/>
    <s v="Phone"/>
    <s v="Upi"/>
    <n v="17575"/>
    <s v="Mumbai"/>
    <n v="17575"/>
    <s v="Match"/>
    <x v="10"/>
    <x v="4"/>
    <s v="Indore"/>
    <s v="Sales Executive"/>
    <x v="5"/>
    <x v="3"/>
    <n v="18500"/>
    <n v="13900"/>
    <n v="17575"/>
    <n v="3675"/>
  </r>
  <r>
    <s v="ORD26020738"/>
    <x v="174"/>
    <s v="C0011"/>
    <s v="E015"/>
    <s v="P003"/>
    <n v="4"/>
    <n v="1890"/>
    <n v="0.1"/>
    <x v="3"/>
    <s v="Phone"/>
    <s v="Credit"/>
    <n v="6804"/>
    <s v="Bengaluru"/>
    <n v="6804"/>
    <s v="Match"/>
    <x v="9"/>
    <x v="4"/>
    <s v="Bhopal"/>
    <s v="Sales Executive"/>
    <x v="3"/>
    <x v="0"/>
    <n v="1800"/>
    <n v="1120"/>
    <n v="0"/>
    <n v="-4480"/>
  </r>
  <r>
    <s v="ORD26020739"/>
    <x v="128"/>
    <s v="C0053"/>
    <s v="E005"/>
    <s v="P010"/>
    <n v="4"/>
    <n v="3040"/>
    <n v="0.1"/>
    <x v="0"/>
    <s v="Phone"/>
    <s v="Cash"/>
    <n v="10944"/>
    <s v="Kochi"/>
    <n v="10944"/>
    <s v="Match"/>
    <x v="3"/>
    <x v="0"/>
    <s v="Kochi"/>
    <s v="Sales Executive"/>
    <x v="11"/>
    <x v="4"/>
    <n v="3200"/>
    <n v="2050"/>
    <n v="10944"/>
    <n v="2744"/>
  </r>
  <r>
    <s v="ORD26050740"/>
    <x v="23"/>
    <s v="C0249"/>
    <s v="E010"/>
    <s v="P012"/>
    <n v="3"/>
    <n v="50925"/>
    <n v="0.05"/>
    <x v="0"/>
    <s v="Phone"/>
    <s v="Card"/>
    <n v="145136.25"/>
    <s v="Chennai"/>
    <n v="145136.25"/>
    <s v="Match"/>
    <x v="6"/>
    <x v="3"/>
    <s v="Jaipur"/>
    <s v="Sales Executive"/>
    <x v="2"/>
    <x v="2"/>
    <n v="48500"/>
    <n v="41200"/>
    <n v="145136.25"/>
    <n v="21536.25"/>
  </r>
  <r>
    <s v="ORD26050741"/>
    <x v="120"/>
    <s v="C0243"/>
    <s v="E001"/>
    <s v="P007"/>
    <n v="3"/>
    <n v="2730"/>
    <n v="0.15"/>
    <x v="0"/>
    <s v="Direct"/>
    <s v="Cash"/>
    <n v="6961.5"/>
    <s v="Indore"/>
    <n v="6961.5"/>
    <s v="Match"/>
    <x v="14"/>
    <x v="0"/>
    <s v="Chennai"/>
    <s v="Sales Executive"/>
    <x v="10"/>
    <x v="0"/>
    <n v="2600"/>
    <n v="1750"/>
    <n v="6961.5"/>
    <n v="1711.5"/>
  </r>
  <r>
    <s v="ORD26060742"/>
    <x v="146"/>
    <s v="C0241"/>
    <s v="E006"/>
    <s v="P008"/>
    <n v="3"/>
    <n v="7800"/>
    <n v="0"/>
    <x v="1"/>
    <s v="Marketplace"/>
    <s v="Cash"/>
    <n v="23400"/>
    <s v="Bengaluru"/>
    <n v="23400"/>
    <s v="Match"/>
    <x v="5"/>
    <x v="2"/>
    <s v="Mumbai"/>
    <s v="Sales Executive"/>
    <x v="6"/>
    <x v="3"/>
    <n v="7800"/>
    <n v="5200"/>
    <n v="0"/>
    <n v="-15600"/>
  </r>
  <r>
    <s v="ORD26050743"/>
    <x v="99"/>
    <s v="C0068"/>
    <s v="E004"/>
    <s v="P010"/>
    <n v="5"/>
    <n v="3360"/>
    <n v="0.05"/>
    <x v="1"/>
    <s v="Marketplace"/>
    <s v="Cash"/>
    <n v="15960"/>
    <s v="Pune"/>
    <n v="15960"/>
    <s v="Match"/>
    <x v="1"/>
    <x v="0"/>
    <s v="Coimbatore"/>
    <s v="Sales Executive"/>
    <x v="11"/>
    <x v="4"/>
    <n v="3200"/>
    <n v="2050"/>
    <n v="0"/>
    <n v="-10250"/>
  </r>
  <r>
    <s v="ORD26060744"/>
    <x v="116"/>
    <s v="C0107"/>
    <s v="E011"/>
    <s v="P012"/>
    <n v="2"/>
    <n v="48500"/>
    <n v="0.1"/>
    <x v="0"/>
    <s v="Marketplace"/>
    <s v="Upi"/>
    <n v="87300"/>
    <s v="Kochi"/>
    <n v="87300"/>
    <s v="Match"/>
    <x v="11"/>
    <x v="3"/>
    <s v="Lucknow"/>
    <s v="Sales Executive"/>
    <x v="2"/>
    <x v="2"/>
    <n v="48500"/>
    <n v="41200"/>
    <n v="87300"/>
    <n v="4900"/>
  </r>
  <r>
    <s v="ORD26020745"/>
    <x v="176"/>
    <s v="C0253"/>
    <s v="E003"/>
    <s v="P004"/>
    <n v="1"/>
    <n v="11760"/>
    <n v="0.1"/>
    <x v="0"/>
    <s v="Marketplace"/>
    <s v="Card"/>
    <n v="10584"/>
    <s v="Bengaluru"/>
    <n v="10584"/>
    <s v="Match"/>
    <x v="7"/>
    <x v="0"/>
    <s v="Hyderabad"/>
    <s v="Sales Executive"/>
    <x v="1"/>
    <x v="1"/>
    <n v="11200"/>
    <n v="8300"/>
    <n v="10584"/>
    <n v="2284"/>
  </r>
  <r>
    <s v="ORD26050746"/>
    <x v="115"/>
    <s v="C0090"/>
    <s v="E001"/>
    <s v="P001"/>
    <n v="2"/>
    <n v="650"/>
    <n v="0.05"/>
    <x v="0"/>
    <s v="Direct"/>
    <s v="Upi"/>
    <n v="1235"/>
    <s v="Kolkata"/>
    <n v="1235"/>
    <s v="Match"/>
    <x v="14"/>
    <x v="0"/>
    <s v="Chennai"/>
    <s v="Sales Executive"/>
    <x v="0"/>
    <x v="0"/>
    <n v="650"/>
    <n v="390"/>
    <n v="1235"/>
    <n v="455"/>
  </r>
  <r>
    <s v="ORD26040747"/>
    <x v="175"/>
    <s v="C0175"/>
    <s v="E002"/>
    <s v="P010"/>
    <n v="1"/>
    <n v="3200"/>
    <n v="0.15"/>
    <x v="0"/>
    <s v="Marketplace"/>
    <s v="Upi"/>
    <n v="2720"/>
    <s v="Jaipur"/>
    <n v="2720"/>
    <s v="Match"/>
    <x v="0"/>
    <x v="0"/>
    <s v="Bengaluru"/>
    <s v="Sales Executive"/>
    <x v="11"/>
    <x v="4"/>
    <n v="3200"/>
    <n v="2050"/>
    <n v="2720"/>
    <n v="670"/>
  </r>
  <r>
    <s v="ORD26030748"/>
    <x v="69"/>
    <s v="C0026"/>
    <s v="E015"/>
    <s v="P003"/>
    <n v="5"/>
    <n v="1710"/>
    <n v="0.15"/>
    <x v="0"/>
    <s v="Phone"/>
    <s v="Cash"/>
    <n v="7267.5"/>
    <s v="Mumbai"/>
    <n v="7267.5"/>
    <s v="Match"/>
    <x v="9"/>
    <x v="4"/>
    <s v="Bhopal"/>
    <s v="Sales Executive"/>
    <x v="3"/>
    <x v="0"/>
    <n v="1800"/>
    <n v="1120"/>
    <n v="7267.5"/>
    <n v="1667.5"/>
  </r>
  <r>
    <s v="ORD26010749"/>
    <x v="81"/>
    <s v="C0260"/>
    <s v="E013"/>
    <s v="P010"/>
    <n v="3"/>
    <n v="3040"/>
    <n v="0"/>
    <x v="0"/>
    <s v="Direct"/>
    <s v="Card"/>
    <n v="9120"/>
    <s v="Mumbai"/>
    <n v="9120"/>
    <s v="Match"/>
    <x v="2"/>
    <x v="1"/>
    <s v="Bhubaneswar"/>
    <s v="Sales Executive"/>
    <x v="11"/>
    <x v="4"/>
    <n v="3200"/>
    <n v="2050"/>
    <n v="9120"/>
    <n v="2970"/>
  </r>
  <r>
    <s v="ORD26020750"/>
    <x v="134"/>
    <s v="C0051"/>
    <s v="E015"/>
    <s v="P006"/>
    <n v="1"/>
    <n v="1470"/>
    <n v="0.05"/>
    <x v="0"/>
    <s v="Website"/>
    <s v="Bank Transfer"/>
    <n v="1396.5"/>
    <s v="Kolkata"/>
    <n v="1396.5"/>
    <s v="Match"/>
    <x v="9"/>
    <x v="4"/>
    <s v="Bhopal"/>
    <s v="Sales Executive"/>
    <x v="4"/>
    <x v="0"/>
    <n v="1400"/>
    <n v="780"/>
    <n v="1396.5"/>
    <n v="616.5"/>
  </r>
  <r>
    <s v="ORD26020751"/>
    <x v="88"/>
    <s v="C0126"/>
    <s v="E002"/>
    <s v="P004"/>
    <n v="2"/>
    <n v="10640"/>
    <n v="0.1"/>
    <x v="0"/>
    <s v="Phone"/>
    <s v="Bank Transfer"/>
    <n v="19152"/>
    <s v="Hyderabad"/>
    <n v="19152"/>
    <s v="Match"/>
    <x v="0"/>
    <x v="0"/>
    <s v="Bengaluru"/>
    <s v="Sales Executive"/>
    <x v="1"/>
    <x v="1"/>
    <n v="11200"/>
    <n v="8300"/>
    <n v="19152"/>
    <n v="2552"/>
  </r>
  <r>
    <s v="ORD26050752"/>
    <x v="99"/>
    <s v="C0126"/>
    <s v="E003"/>
    <s v="P002"/>
    <n v="1"/>
    <n v="2200"/>
    <n v="0.2"/>
    <x v="0"/>
    <s v="Website"/>
    <s v="Credit"/>
    <n v="1760"/>
    <s v="Pune"/>
    <n v="1760"/>
    <s v="Match"/>
    <x v="7"/>
    <x v="0"/>
    <s v="Hyderabad"/>
    <s v="Sales Executive"/>
    <x v="8"/>
    <x v="0"/>
    <n v="2200"/>
    <n v="1450"/>
    <n v="1760"/>
    <n v="310"/>
  </r>
  <r>
    <s v="ORD26020753"/>
    <x v="113"/>
    <s v="C0016"/>
    <s v="E003"/>
    <s v="P007"/>
    <n v="2"/>
    <n v="2600"/>
    <n v="0.1"/>
    <x v="2"/>
    <s v="Phone"/>
    <s v="Card"/>
    <n v="4680"/>
    <s v="Chennai"/>
    <n v="4680"/>
    <s v="Match"/>
    <x v="7"/>
    <x v="0"/>
    <s v="Hyderabad"/>
    <s v="Sales Executive"/>
    <x v="10"/>
    <x v="0"/>
    <n v="2600"/>
    <n v="1750"/>
    <n v="0"/>
    <n v="-3500"/>
  </r>
  <r>
    <s v="ORD26050754"/>
    <x v="163"/>
    <s v="C0223"/>
    <s v="E002"/>
    <s v="P002"/>
    <n v="2"/>
    <n v="2200"/>
    <n v="0.1"/>
    <x v="3"/>
    <s v="Direct"/>
    <s v="Cash"/>
    <n v="3960"/>
    <s v="Chennai"/>
    <n v="3960"/>
    <s v="Match"/>
    <x v="0"/>
    <x v="0"/>
    <s v="Bengaluru"/>
    <s v="Sales Executive"/>
    <x v="8"/>
    <x v="0"/>
    <n v="2200"/>
    <n v="1450"/>
    <n v="0"/>
    <n v="-2900"/>
  </r>
  <r>
    <s v="ORD26060755"/>
    <x v="67"/>
    <s v="C0215"/>
    <s v="E015"/>
    <s v="P011"/>
    <n v="1"/>
    <n v="2400"/>
    <n v="0.15"/>
    <x v="0"/>
    <s v="Phone"/>
    <s v="Credit"/>
    <n v="2040"/>
    <s v="Hyderabad"/>
    <n v="2040"/>
    <s v="Match"/>
    <x v="9"/>
    <x v="4"/>
    <s v="Bhopal"/>
    <s v="Sales Executive"/>
    <x v="7"/>
    <x v="4"/>
    <n v="2400"/>
    <n v="1480"/>
    <n v="2040"/>
    <n v="560"/>
  </r>
  <r>
    <s v="ORD26030756"/>
    <x v="114"/>
    <s v="C0207"/>
    <s v="E015"/>
    <s v="P006"/>
    <n v="1"/>
    <n v="1400"/>
    <n v="0.05"/>
    <x v="2"/>
    <s v="Phone"/>
    <s v="Card"/>
    <n v="1330"/>
    <s v="Jaipur"/>
    <n v="1330"/>
    <s v="Match"/>
    <x v="9"/>
    <x v="4"/>
    <s v="Bhopal"/>
    <s v="Sales Executive"/>
    <x v="4"/>
    <x v="0"/>
    <n v="1400"/>
    <n v="780"/>
    <n v="0"/>
    <n v="-780"/>
  </r>
  <r>
    <s v="ORD26060757"/>
    <x v="37"/>
    <s v="C0102"/>
    <s v="E013"/>
    <s v="P010"/>
    <n v="3"/>
    <n v="3360"/>
    <n v="0.2"/>
    <x v="0"/>
    <s v="Marketplace"/>
    <s v="Upi"/>
    <n v="8064"/>
    <s v="Chennai"/>
    <n v="8064"/>
    <s v="Match"/>
    <x v="2"/>
    <x v="1"/>
    <s v="Bhubaneswar"/>
    <s v="Sales Executive"/>
    <x v="11"/>
    <x v="4"/>
    <n v="3200"/>
    <n v="2050"/>
    <n v="8064"/>
    <n v="1914"/>
  </r>
  <r>
    <s v="ORD26050758"/>
    <x v="18"/>
    <s v="C0110"/>
    <s v="E006"/>
    <s v="P007"/>
    <n v="3"/>
    <n v="2600"/>
    <n v="0.2"/>
    <x v="2"/>
    <s v="Direct"/>
    <s v="Credit"/>
    <n v="6240"/>
    <s v="Jaipur"/>
    <n v="6240"/>
    <s v="Match"/>
    <x v="5"/>
    <x v="2"/>
    <s v="Mumbai"/>
    <s v="Sales Executive"/>
    <x v="10"/>
    <x v="0"/>
    <n v="2600"/>
    <n v="1750"/>
    <n v="0"/>
    <n v="-5250"/>
  </r>
  <r>
    <s v="ORD26030759"/>
    <x v="98"/>
    <s v="C0124"/>
    <s v="E009"/>
    <s v="P006"/>
    <n v="4"/>
    <n v="1400"/>
    <n v="0"/>
    <x v="0"/>
    <s v="Marketplace"/>
    <s v="Cash"/>
    <n v="5600"/>
    <s v="Jaipur"/>
    <n v="5600"/>
    <s v="Match"/>
    <x v="13"/>
    <x v="3"/>
    <s v="Delhi"/>
    <s v="Sales Executive"/>
    <x v="4"/>
    <x v="0"/>
    <n v="1400"/>
    <n v="780"/>
    <n v="5600"/>
    <n v="2480"/>
  </r>
  <r>
    <s v="ORD26010760"/>
    <x v="14"/>
    <s v="C0064"/>
    <s v="E012"/>
    <s v="P001"/>
    <n v="4"/>
    <n v="650"/>
    <n v="0.05"/>
    <x v="0"/>
    <s v="Direct"/>
    <s v="Upi"/>
    <n v="2470"/>
    <s v="Kochi"/>
    <n v="2470"/>
    <s v="Match"/>
    <x v="12"/>
    <x v="1"/>
    <s v="Kolkata"/>
    <s v="Sales Executive"/>
    <x v="0"/>
    <x v="0"/>
    <n v="650"/>
    <n v="390"/>
    <n v="2470"/>
    <n v="910"/>
  </r>
  <r>
    <s v="ORD26030761"/>
    <x v="71"/>
    <s v="C0180"/>
    <s v="E010"/>
    <s v="P012"/>
    <n v="1"/>
    <n v="48500"/>
    <n v="0.05"/>
    <x v="3"/>
    <s v="Marketplace"/>
    <s v="Bank Transfer"/>
    <n v="46075"/>
    <s v="Indore"/>
    <n v="46075"/>
    <s v="Match"/>
    <x v="6"/>
    <x v="3"/>
    <s v="Jaipur"/>
    <s v="Sales Executive"/>
    <x v="2"/>
    <x v="2"/>
    <n v="48500"/>
    <n v="41200"/>
    <n v="0"/>
    <n v="-41200"/>
  </r>
  <r>
    <s v="ORD26060762"/>
    <x v="116"/>
    <s v="C0099"/>
    <s v="E003"/>
    <s v="P012"/>
    <n v="2"/>
    <n v="48500"/>
    <n v="0.2"/>
    <x v="0"/>
    <s v="Marketplace"/>
    <s v="Cash"/>
    <n v="77600"/>
    <s v="Mumbai"/>
    <n v="77600"/>
    <s v="Match"/>
    <x v="7"/>
    <x v="0"/>
    <s v="Hyderabad"/>
    <s v="Sales Executive"/>
    <x v="2"/>
    <x v="2"/>
    <n v="48500"/>
    <n v="41200"/>
    <n v="77600"/>
    <n v="-4800"/>
  </r>
  <r>
    <s v="ORD26020763"/>
    <x v="92"/>
    <s v="C0067"/>
    <s v="E012"/>
    <s v="P007"/>
    <n v="4"/>
    <n v="2730"/>
    <n v="0"/>
    <x v="0"/>
    <s v="Phone"/>
    <s v="Card"/>
    <n v="10920"/>
    <s v="Kochi"/>
    <n v="10920"/>
    <s v="Match"/>
    <x v="12"/>
    <x v="1"/>
    <s v="Kolkata"/>
    <s v="Sales Executive"/>
    <x v="10"/>
    <x v="0"/>
    <n v="2600"/>
    <n v="1750"/>
    <n v="10920"/>
    <n v="3920"/>
  </r>
  <r>
    <s v="ORD26010764"/>
    <x v="74"/>
    <s v="C0136"/>
    <s v="E006"/>
    <s v="P011"/>
    <n v="2"/>
    <n v="2520"/>
    <n v="0.15"/>
    <x v="0"/>
    <s v="Phone"/>
    <s v="Cash"/>
    <n v="4284"/>
    <s v="Unknown"/>
    <n v="4284"/>
    <s v="Match"/>
    <x v="5"/>
    <x v="2"/>
    <s v="Mumbai"/>
    <s v="Sales Executive"/>
    <x v="7"/>
    <x v="4"/>
    <n v="2400"/>
    <n v="1480"/>
    <n v="4284"/>
    <n v="1324"/>
  </r>
  <r>
    <s v="ORD26060765"/>
    <x v="2"/>
    <s v="C0259"/>
    <s v="E015"/>
    <s v="P008"/>
    <n v="4"/>
    <n v="7800"/>
    <n v="0.1"/>
    <x v="0"/>
    <s v="Website"/>
    <s v="Cash"/>
    <n v="28080"/>
    <s v="Kochi"/>
    <n v="28080"/>
    <s v="Match"/>
    <x v="9"/>
    <x v="4"/>
    <s v="Bhopal"/>
    <s v="Sales Executive"/>
    <x v="6"/>
    <x v="3"/>
    <n v="7800"/>
    <n v="5200"/>
    <n v="28080"/>
    <n v="7280"/>
  </r>
  <r>
    <s v="ORD26020766"/>
    <x v="176"/>
    <s v="C0243"/>
    <s v="E012"/>
    <s v="P009"/>
    <n v="5"/>
    <n v="19425"/>
    <n v="0"/>
    <x v="0"/>
    <s v="Direct"/>
    <s v="Card"/>
    <n v="97125"/>
    <s v="Jaipur"/>
    <n v="97125"/>
    <s v="Match"/>
    <x v="12"/>
    <x v="1"/>
    <s v="Kolkata"/>
    <s v="Sales Executive"/>
    <x v="5"/>
    <x v="3"/>
    <n v="18500"/>
    <n v="13900"/>
    <n v="97125"/>
    <n v="27625"/>
  </r>
  <r>
    <s v="ORD26040767"/>
    <x v="30"/>
    <s v="C0149"/>
    <s v="E015"/>
    <s v="P002"/>
    <n v="3"/>
    <n v="2200"/>
    <n v="0.1"/>
    <x v="0"/>
    <s v="Direct"/>
    <s v="Credit"/>
    <n v="5940"/>
    <s v="Delhi"/>
    <n v="5940"/>
    <s v="Match"/>
    <x v="9"/>
    <x v="4"/>
    <s v="Bhopal"/>
    <s v="Sales Executive"/>
    <x v="8"/>
    <x v="0"/>
    <n v="2200"/>
    <n v="1450"/>
    <n v="5940"/>
    <n v="1590"/>
  </r>
  <r>
    <s v="ORD26010768"/>
    <x v="145"/>
    <s v="C0074"/>
    <s v="E006"/>
    <s v="P005"/>
    <n v="10"/>
    <n v="15960"/>
    <n v="0.05"/>
    <x v="0"/>
    <s v="Website"/>
    <s v="Credit"/>
    <n v="151620"/>
    <s v="Pune"/>
    <n v="151620"/>
    <s v="Match"/>
    <x v="5"/>
    <x v="2"/>
    <s v="Mumbai"/>
    <s v="Sales Executive"/>
    <x v="9"/>
    <x v="1"/>
    <n v="16800"/>
    <n v="12600"/>
    <n v="151620"/>
    <n v="25620"/>
  </r>
  <r>
    <s v="ORD26010769"/>
    <x v="111"/>
    <s v="C0002"/>
    <s v="E015"/>
    <s v="P005"/>
    <n v="5"/>
    <n v="17640"/>
    <n v="0"/>
    <x v="0"/>
    <s v="Direct"/>
    <s v="Credit"/>
    <n v="88200"/>
    <s v="Kolkata"/>
    <n v="88200"/>
    <s v="Match"/>
    <x v="9"/>
    <x v="4"/>
    <s v="Bhopal"/>
    <s v="Sales Executive"/>
    <x v="9"/>
    <x v="1"/>
    <n v="16800"/>
    <n v="12600"/>
    <n v="88200"/>
    <n v="25200"/>
  </r>
  <r>
    <s v="ORD26010770"/>
    <x v="172"/>
    <s v="C0173"/>
    <s v="E014"/>
    <s v="P001"/>
    <n v="2"/>
    <n v="682.5"/>
    <n v="0.15"/>
    <x v="0"/>
    <s v="Phone"/>
    <s v="Cash"/>
    <n v="1160.25"/>
    <s v="Indore"/>
    <n v="1160.25"/>
    <s v="Match"/>
    <x v="10"/>
    <x v="4"/>
    <s v="Indore"/>
    <s v="Sales Executive"/>
    <x v="0"/>
    <x v="0"/>
    <n v="650"/>
    <n v="390"/>
    <n v="1160.25"/>
    <n v="380.25"/>
  </r>
  <r>
    <s v="ORD26020771"/>
    <x v="176"/>
    <s v="C0077"/>
    <s v="E013"/>
    <s v="P003"/>
    <n v="2"/>
    <n v="1890"/>
    <n v="0.1"/>
    <x v="0"/>
    <s v="Marketplace"/>
    <s v="Upi"/>
    <n v="3402"/>
    <s v="Indore"/>
    <n v="3402"/>
    <s v="Match"/>
    <x v="2"/>
    <x v="1"/>
    <s v="Bhubaneswar"/>
    <s v="Sales Executive"/>
    <x v="3"/>
    <x v="0"/>
    <n v="1800"/>
    <n v="1120"/>
    <n v="3402"/>
    <n v="1162"/>
  </r>
  <r>
    <s v="ORD26060772"/>
    <x v="31"/>
    <s v="C0227"/>
    <s v="E010"/>
    <s v="P007"/>
    <n v="2"/>
    <n v="2470"/>
    <n v="0.1"/>
    <x v="0"/>
    <s v="Marketplace"/>
    <s v="Upi"/>
    <n v="4446"/>
    <s v="Delhi"/>
    <n v="4446"/>
    <s v="Match"/>
    <x v="6"/>
    <x v="3"/>
    <s v="Jaipur"/>
    <s v="Sales Executive"/>
    <x v="10"/>
    <x v="0"/>
    <n v="2600"/>
    <n v="1750"/>
    <n v="4446"/>
    <n v="946"/>
  </r>
  <r>
    <s v="ORD26010773"/>
    <x v="32"/>
    <s v="C0044"/>
    <s v="E010"/>
    <s v="P011"/>
    <n v="4"/>
    <n v="2280"/>
    <n v="0.2"/>
    <x v="0"/>
    <s v="Website"/>
    <s v="Credit"/>
    <n v="7296"/>
    <s v="Jaipur"/>
    <n v="7296"/>
    <s v="Match"/>
    <x v="6"/>
    <x v="3"/>
    <s v="Jaipur"/>
    <s v="Sales Executive"/>
    <x v="7"/>
    <x v="4"/>
    <n v="2400"/>
    <n v="1480"/>
    <n v="7296"/>
    <n v="1376"/>
  </r>
  <r>
    <s v="ORD26050774"/>
    <x v="45"/>
    <s v="C0258"/>
    <s v="E013"/>
    <s v="P001"/>
    <n v="8"/>
    <n v="682.5"/>
    <n v="0.15"/>
    <x v="0"/>
    <s v="Direct"/>
    <s v="Upi"/>
    <n v="4641"/>
    <s v="Jaipur"/>
    <n v="4641"/>
    <s v="Match"/>
    <x v="2"/>
    <x v="1"/>
    <s v="Bhubaneswar"/>
    <s v="Sales Executive"/>
    <x v="0"/>
    <x v="0"/>
    <n v="650"/>
    <n v="390"/>
    <n v="4641"/>
    <n v="1521"/>
  </r>
  <r>
    <s v="ORD26020775"/>
    <x v="54"/>
    <s v="C0044"/>
    <s v="E001"/>
    <s v="P005"/>
    <n v="4"/>
    <n v="17640"/>
    <n v="0"/>
    <x v="0"/>
    <s v="Marketplace"/>
    <s v="Cash"/>
    <n v="70560"/>
    <s v="Indore"/>
    <n v="70560"/>
    <s v="Match"/>
    <x v="14"/>
    <x v="0"/>
    <s v="Chennai"/>
    <s v="Sales Executive"/>
    <x v="9"/>
    <x v="1"/>
    <n v="16800"/>
    <n v="12600"/>
    <n v="70560"/>
    <n v="20160"/>
  </r>
  <r>
    <s v="ORD26010776"/>
    <x v="138"/>
    <s v="C0196"/>
    <s v="E008"/>
    <s v="P001"/>
    <n v="2"/>
    <n v="650"/>
    <n v="0"/>
    <x v="0"/>
    <s v="Marketplace"/>
    <s v="Upi"/>
    <n v="1300"/>
    <s v="Mumbai"/>
    <n v="1300"/>
    <s v="Match"/>
    <x v="8"/>
    <x v="2"/>
    <s v="Ahmedabad"/>
    <s v="Sales Executive"/>
    <x v="0"/>
    <x v="0"/>
    <n v="650"/>
    <n v="390"/>
    <n v="1300"/>
    <n v="520"/>
  </r>
  <r>
    <s v="ORD26010777"/>
    <x v="25"/>
    <s v="C0079"/>
    <s v="E009"/>
    <s v="P003"/>
    <n v="1"/>
    <n v="1710"/>
    <n v="0"/>
    <x v="0"/>
    <s v="Marketplace"/>
    <s v="Cash"/>
    <n v="1710"/>
    <s v="Delhi"/>
    <n v="1710"/>
    <s v="Match"/>
    <x v="13"/>
    <x v="3"/>
    <s v="Delhi"/>
    <s v="Sales Executive"/>
    <x v="3"/>
    <x v="0"/>
    <n v="1800"/>
    <n v="1120"/>
    <n v="1710"/>
    <n v="590"/>
  </r>
  <r>
    <s v="ORD26010778"/>
    <x v="94"/>
    <s v="C0051"/>
    <s v="E010"/>
    <s v="P006"/>
    <n v="1"/>
    <n v="1470"/>
    <n v="0.2"/>
    <x v="0"/>
    <s v="Marketplace"/>
    <s v="Card"/>
    <n v="1176"/>
    <s v="Pune"/>
    <n v="1176"/>
    <s v="Match"/>
    <x v="6"/>
    <x v="3"/>
    <s v="Jaipur"/>
    <s v="Sales Executive"/>
    <x v="4"/>
    <x v="0"/>
    <n v="1400"/>
    <n v="780"/>
    <n v="1176"/>
    <n v="396"/>
  </r>
  <r>
    <s v="ORD26030779"/>
    <x v="167"/>
    <s v="C0122"/>
    <s v="E005"/>
    <s v="P007"/>
    <n v="8"/>
    <n v="2600"/>
    <n v="0"/>
    <x v="0"/>
    <s v="Phone"/>
    <s v="Credit"/>
    <n v="20800"/>
    <s v="Jaipur"/>
    <n v="20800"/>
    <s v="Match"/>
    <x v="3"/>
    <x v="0"/>
    <s v="Kochi"/>
    <s v="Sales Executive"/>
    <x v="10"/>
    <x v="0"/>
    <n v="2600"/>
    <n v="1750"/>
    <n v="20800"/>
    <n v="6800"/>
  </r>
  <r>
    <s v="ORD26040780"/>
    <x v="156"/>
    <s v="C0248"/>
    <s v="E002"/>
    <s v="P005"/>
    <n v="1"/>
    <n v="15960"/>
    <n v="0.1"/>
    <x v="0"/>
    <s v="Direct"/>
    <s v="Cash"/>
    <n v="14364"/>
    <s v="Bengaluru"/>
    <n v="14364"/>
    <s v="Match"/>
    <x v="0"/>
    <x v="0"/>
    <s v="Bengaluru"/>
    <s v="Sales Executive"/>
    <x v="9"/>
    <x v="1"/>
    <n v="16800"/>
    <n v="12600"/>
    <n v="14364"/>
    <n v="1764"/>
  </r>
  <r>
    <s v="ORD26010781"/>
    <x v="169"/>
    <s v="C0156"/>
    <s v="E005"/>
    <s v="P009"/>
    <n v="8"/>
    <n v="18500"/>
    <n v="0.2"/>
    <x v="0"/>
    <s v="Phone"/>
    <s v="Cash"/>
    <n v="118400"/>
    <s v="Mumbai"/>
    <n v="118400"/>
    <s v="Match"/>
    <x v="3"/>
    <x v="0"/>
    <s v="Kochi"/>
    <s v="Sales Executive"/>
    <x v="5"/>
    <x v="3"/>
    <n v="18500"/>
    <n v="13900"/>
    <n v="118400"/>
    <n v="7200"/>
  </r>
  <r>
    <s v="ORD26060782"/>
    <x v="10"/>
    <s v="C0126"/>
    <s v="E009"/>
    <s v="P004"/>
    <n v="4"/>
    <n v="11200"/>
    <n v="0"/>
    <x v="0"/>
    <s v="Phone"/>
    <s v="Credit"/>
    <n v="44800"/>
    <s v="Kochi"/>
    <n v="44800"/>
    <s v="Match"/>
    <x v="13"/>
    <x v="3"/>
    <s v="Delhi"/>
    <s v="Sales Executive"/>
    <x v="1"/>
    <x v="1"/>
    <n v="11200"/>
    <n v="8300"/>
    <n v="44800"/>
    <n v="11600"/>
  </r>
  <r>
    <s v="ORD26010783"/>
    <x v="66"/>
    <s v="C0001"/>
    <s v="E001"/>
    <s v="P008"/>
    <n v="8"/>
    <n v="7800"/>
    <n v="0.15"/>
    <x v="0"/>
    <s v="Direct"/>
    <s v="Cash"/>
    <n v="53040"/>
    <s v="Unknown"/>
    <n v="53040"/>
    <s v="Match"/>
    <x v="14"/>
    <x v="0"/>
    <s v="Chennai"/>
    <s v="Sales Executive"/>
    <x v="6"/>
    <x v="3"/>
    <n v="7800"/>
    <n v="5200"/>
    <n v="53040"/>
    <n v="11440"/>
  </r>
  <r>
    <s v="ORD26060784"/>
    <x v="65"/>
    <s v="C0145"/>
    <s v="E005"/>
    <s v="P011"/>
    <n v="2"/>
    <n v="2400"/>
    <n v="0.05"/>
    <x v="2"/>
    <s v="Direct"/>
    <s v="Card"/>
    <n v="4560"/>
    <s v="Jaipur"/>
    <n v="4560"/>
    <s v="Match"/>
    <x v="3"/>
    <x v="0"/>
    <s v="Kochi"/>
    <s v="Sales Executive"/>
    <x v="7"/>
    <x v="4"/>
    <n v="2400"/>
    <n v="1480"/>
    <n v="0"/>
    <n v="-2960"/>
  </r>
  <r>
    <s v="ORD26050785"/>
    <x v="51"/>
    <s v="C0144"/>
    <s v="E002"/>
    <s v="P005"/>
    <n v="1"/>
    <n v="16800"/>
    <n v="0.2"/>
    <x v="0"/>
    <s v="Phone"/>
    <s v="Card"/>
    <n v="13440"/>
    <s v="Indore"/>
    <n v="13440"/>
    <s v="Match"/>
    <x v="0"/>
    <x v="0"/>
    <s v="Bengaluru"/>
    <s v="Sales Executive"/>
    <x v="9"/>
    <x v="1"/>
    <n v="16800"/>
    <n v="12600"/>
    <n v="13440"/>
    <n v="840"/>
  </r>
  <r>
    <s v="ORD26050786"/>
    <x v="99"/>
    <s v="C0140"/>
    <s v="E013"/>
    <s v="P006"/>
    <n v="5"/>
    <n v="1470"/>
    <n v="0.05"/>
    <x v="0"/>
    <s v="Website"/>
    <s v="Bank Transfer"/>
    <n v="6982.5"/>
    <s v="Kolkata"/>
    <n v="6982.5"/>
    <s v="Match"/>
    <x v="2"/>
    <x v="1"/>
    <s v="Bhubaneswar"/>
    <s v="Sales Executive"/>
    <x v="4"/>
    <x v="0"/>
    <n v="1400"/>
    <n v="780"/>
    <n v="6982.5"/>
    <n v="3082.5"/>
  </r>
  <r>
    <s v="ORD26020787"/>
    <x v="171"/>
    <s v="C0244"/>
    <s v="E008"/>
    <s v="P010"/>
    <n v="2"/>
    <n v="3040"/>
    <n v="0.2"/>
    <x v="0"/>
    <s v="Direct"/>
    <s v="Upi"/>
    <n v="4864"/>
    <s v="Delhi"/>
    <n v="4864"/>
    <s v="Match"/>
    <x v="8"/>
    <x v="2"/>
    <s v="Ahmedabad"/>
    <s v="Sales Executive"/>
    <x v="11"/>
    <x v="4"/>
    <n v="3200"/>
    <n v="2050"/>
    <n v="4864"/>
    <n v="764"/>
  </r>
  <r>
    <s v="ORD26040788"/>
    <x v="123"/>
    <s v="C0016"/>
    <s v="E009"/>
    <s v="P012"/>
    <n v="3"/>
    <n v="46075"/>
    <n v="0.1"/>
    <x v="0"/>
    <s v="Phone"/>
    <s v="Upi"/>
    <n v="124402.5"/>
    <s v="Kolkata"/>
    <n v="124402.5"/>
    <s v="Match"/>
    <x v="13"/>
    <x v="3"/>
    <s v="Delhi"/>
    <s v="Sales Executive"/>
    <x v="2"/>
    <x v="2"/>
    <n v="48500"/>
    <n v="41200"/>
    <n v="124402.5"/>
    <n v="802.5"/>
  </r>
  <r>
    <s v="ORD26040789"/>
    <x v="97"/>
    <s v="C0064"/>
    <s v="E014"/>
    <s v="P010"/>
    <n v="2"/>
    <n v="3040"/>
    <n v="0"/>
    <x v="2"/>
    <s v="Phone"/>
    <s v="Bank Transfer"/>
    <n v="6080"/>
    <s v="Bengaluru"/>
    <n v="6080"/>
    <s v="Match"/>
    <x v="10"/>
    <x v="4"/>
    <s v="Indore"/>
    <s v="Sales Executive"/>
    <x v="11"/>
    <x v="4"/>
    <n v="3200"/>
    <n v="2050"/>
    <n v="0"/>
    <n v="-4100"/>
  </r>
  <r>
    <s v="ORD26040790"/>
    <x v="179"/>
    <s v="C0099"/>
    <s v="E001"/>
    <s v="P004"/>
    <n v="4"/>
    <n v="11200"/>
    <n v="0.05"/>
    <x v="0"/>
    <s v="Direct"/>
    <s v="Credit"/>
    <n v="42560"/>
    <s v="Hyderabad"/>
    <n v="42560"/>
    <s v="Match"/>
    <x v="14"/>
    <x v="0"/>
    <s v="Chennai"/>
    <s v="Sales Executive"/>
    <x v="1"/>
    <x v="1"/>
    <n v="11200"/>
    <n v="8300"/>
    <n v="42560"/>
    <n v="9360"/>
  </r>
  <r>
    <s v="ORD26020791"/>
    <x v="56"/>
    <s v="C0004"/>
    <s v="E004"/>
    <s v="P008"/>
    <n v="8"/>
    <n v="7800"/>
    <n v="0"/>
    <x v="0"/>
    <s v="Website"/>
    <s v="Cash"/>
    <n v="62400"/>
    <s v="Mumbai"/>
    <n v="62400"/>
    <s v="Match"/>
    <x v="1"/>
    <x v="0"/>
    <s v="Coimbatore"/>
    <s v="Sales Executive"/>
    <x v="6"/>
    <x v="3"/>
    <n v="7800"/>
    <n v="5200"/>
    <n v="62400"/>
    <n v="20800"/>
  </r>
  <r>
    <s v="ORD26030792"/>
    <x v="148"/>
    <s v="C0034"/>
    <s v="E010"/>
    <s v="P009"/>
    <n v="2"/>
    <n v="18500"/>
    <n v="0.15"/>
    <x v="0"/>
    <s v="Website"/>
    <s v="Upi"/>
    <n v="31450"/>
    <s v="Delhi"/>
    <n v="31450"/>
    <s v="Match"/>
    <x v="6"/>
    <x v="3"/>
    <s v="Jaipur"/>
    <s v="Sales Executive"/>
    <x v="5"/>
    <x v="3"/>
    <n v="18500"/>
    <n v="13900"/>
    <n v="31450"/>
    <n v="3650"/>
  </r>
  <r>
    <s v="ORD26030793"/>
    <x v="43"/>
    <s v="C0099"/>
    <s v="E015"/>
    <s v="P010"/>
    <n v="5"/>
    <n v="3200"/>
    <n v="0.15"/>
    <x v="0"/>
    <s v="Direct"/>
    <s v="Credit"/>
    <n v="13600"/>
    <s v="Indore"/>
    <n v="13600"/>
    <s v="Match"/>
    <x v="9"/>
    <x v="4"/>
    <s v="Bhopal"/>
    <s v="Sales Executive"/>
    <x v="11"/>
    <x v="4"/>
    <n v="3200"/>
    <n v="2050"/>
    <n v="13600"/>
    <n v="3350"/>
  </r>
  <r>
    <s v="ORD26030794"/>
    <x v="104"/>
    <s v="C0166"/>
    <s v="E011"/>
    <s v="P009"/>
    <n v="5"/>
    <n v="17575"/>
    <n v="0"/>
    <x v="1"/>
    <s v="Phone"/>
    <s v="Cash"/>
    <n v="87875"/>
    <s v="Hyderabad"/>
    <n v="87875"/>
    <s v="Match"/>
    <x v="11"/>
    <x v="3"/>
    <s v="Lucknow"/>
    <s v="Sales Executive"/>
    <x v="5"/>
    <x v="3"/>
    <n v="18500"/>
    <n v="13900"/>
    <n v="0"/>
    <n v="-69500"/>
  </r>
  <r>
    <s v="ORD26020795"/>
    <x v="102"/>
    <s v="C0115"/>
    <s v="E011"/>
    <s v="P009"/>
    <n v="2"/>
    <n v="17575"/>
    <n v="0.05"/>
    <x v="0"/>
    <s v="Direct"/>
    <s v="Bank Transfer"/>
    <n v="33392.5"/>
    <s v="Pune"/>
    <n v="33392.5"/>
    <s v="Match"/>
    <x v="11"/>
    <x v="3"/>
    <s v="Lucknow"/>
    <s v="Sales Executive"/>
    <x v="5"/>
    <x v="3"/>
    <n v="18500"/>
    <n v="13900"/>
    <n v="33392.5"/>
    <n v="5592.5"/>
  </r>
  <r>
    <s v="ORD26050796"/>
    <x v="4"/>
    <s v="C0116"/>
    <s v="E008"/>
    <s v="P006"/>
    <n v="1"/>
    <n v="1330"/>
    <n v="0"/>
    <x v="0"/>
    <s v="Phone"/>
    <s v="Upi"/>
    <n v="1330"/>
    <s v="Bengaluru"/>
    <n v="1330"/>
    <s v="Match"/>
    <x v="8"/>
    <x v="2"/>
    <s v="Ahmedabad"/>
    <s v="Sales Executive"/>
    <x v="4"/>
    <x v="0"/>
    <n v="1400"/>
    <n v="780"/>
    <n v="1330"/>
    <n v="550"/>
  </r>
  <r>
    <s v="ORD26020797"/>
    <x v="40"/>
    <s v="C0246"/>
    <s v="E003"/>
    <s v="P006"/>
    <n v="2"/>
    <n v="1330"/>
    <n v="0.2"/>
    <x v="0"/>
    <s v="Phone"/>
    <s v="Upi"/>
    <n v="2128"/>
    <s v="Indore"/>
    <n v="2128"/>
    <s v="Match"/>
    <x v="7"/>
    <x v="0"/>
    <s v="Hyderabad"/>
    <s v="Sales Executive"/>
    <x v="4"/>
    <x v="0"/>
    <n v="1400"/>
    <n v="780"/>
    <n v="2128"/>
    <n v="568"/>
  </r>
  <r>
    <s v="ORD26060798"/>
    <x v="9"/>
    <s v="C0175"/>
    <s v="E015"/>
    <s v="P006"/>
    <n v="4"/>
    <n v="1400"/>
    <n v="0"/>
    <x v="0"/>
    <s v="Direct"/>
    <s v="Bank Transfer"/>
    <n v="5600"/>
    <s v="Jaipur"/>
    <n v="5600"/>
    <s v="Match"/>
    <x v="9"/>
    <x v="4"/>
    <s v="Bhopal"/>
    <s v="Sales Executive"/>
    <x v="4"/>
    <x v="0"/>
    <n v="1400"/>
    <n v="780"/>
    <n v="5600"/>
    <n v="2480"/>
  </r>
  <r>
    <s v="ORD26030799"/>
    <x v="149"/>
    <s v="C0044"/>
    <s v="E002"/>
    <s v="P010"/>
    <n v="3"/>
    <n v="3040"/>
    <n v="0"/>
    <x v="0"/>
    <s v="Direct"/>
    <s v="Upi"/>
    <n v="9120"/>
    <s v="Pune"/>
    <n v="9120"/>
    <s v="Match"/>
    <x v="0"/>
    <x v="0"/>
    <s v="Bengaluru"/>
    <s v="Sales Executive"/>
    <x v="11"/>
    <x v="4"/>
    <n v="3200"/>
    <n v="2050"/>
    <n v="9120"/>
    <n v="2970"/>
  </r>
  <r>
    <s v="ORD26030800"/>
    <x v="114"/>
    <s v="C0029"/>
    <s v="E015"/>
    <s v="P012"/>
    <n v="1"/>
    <n v="50925"/>
    <n v="0"/>
    <x v="0"/>
    <s v="Marketplace"/>
    <s v="Credit"/>
    <n v="50925"/>
    <s v="Pune"/>
    <n v="50925"/>
    <s v="Match"/>
    <x v="9"/>
    <x v="4"/>
    <s v="Bhopal"/>
    <s v="Sales Executive"/>
    <x v="2"/>
    <x v="2"/>
    <n v="48500"/>
    <n v="41200"/>
    <n v="50925"/>
    <n v="9725"/>
  </r>
  <r>
    <s v="ORD26010801"/>
    <x v="15"/>
    <s v="C0206"/>
    <s v="E002"/>
    <s v="P011"/>
    <n v="1"/>
    <n v="2520"/>
    <n v="0"/>
    <x v="0"/>
    <s v="Direct"/>
    <s v="Credit"/>
    <n v="2520"/>
    <s v="Pune"/>
    <n v="2520"/>
    <s v="Match"/>
    <x v="0"/>
    <x v="0"/>
    <s v="Bengaluru"/>
    <s v="Sales Executive"/>
    <x v="7"/>
    <x v="4"/>
    <n v="2400"/>
    <n v="1480"/>
    <n v="2520"/>
    <n v="1040"/>
  </r>
  <r>
    <s v="ORD26030802"/>
    <x v="80"/>
    <s v="C0238"/>
    <s v="E014"/>
    <s v="P010"/>
    <n v="4"/>
    <n v="3360"/>
    <n v="0.15"/>
    <x v="0"/>
    <s v="Phone"/>
    <s v="Credit"/>
    <n v="11424"/>
    <s v="Indore"/>
    <n v="11424"/>
    <s v="Match"/>
    <x v="10"/>
    <x v="4"/>
    <s v="Indore"/>
    <s v="Sales Executive"/>
    <x v="11"/>
    <x v="4"/>
    <n v="3200"/>
    <n v="2050"/>
    <n v="11424"/>
    <n v="3224"/>
  </r>
  <r>
    <s v="ORD26010803"/>
    <x v="25"/>
    <s v="C0099"/>
    <s v="E006"/>
    <s v="P011"/>
    <n v="8"/>
    <n v="2400"/>
    <n v="0"/>
    <x v="0"/>
    <s v="Direct"/>
    <s v="Upi"/>
    <n v="19200"/>
    <s v="Chennai"/>
    <n v="19200"/>
    <s v="Match"/>
    <x v="5"/>
    <x v="2"/>
    <s v="Mumbai"/>
    <s v="Sales Executive"/>
    <x v="7"/>
    <x v="4"/>
    <n v="2400"/>
    <n v="1480"/>
    <n v="19200"/>
    <n v="7360"/>
  </r>
  <r>
    <s v="ORD26060804"/>
    <x v="13"/>
    <s v="C0132"/>
    <s v="E012"/>
    <s v="P002"/>
    <n v="3"/>
    <n v="2200"/>
    <n v="0"/>
    <x v="1"/>
    <s v="Marketplace"/>
    <s v="Cash"/>
    <n v="6600"/>
    <s v="Kochi"/>
    <n v="6600"/>
    <s v="Match"/>
    <x v="12"/>
    <x v="1"/>
    <s v="Kolkata"/>
    <s v="Sales Executive"/>
    <x v="8"/>
    <x v="0"/>
    <n v="2200"/>
    <n v="1450"/>
    <n v="0"/>
    <n v="-4350"/>
  </r>
  <r>
    <s v="ORD26060805"/>
    <x v="155"/>
    <s v="C0224"/>
    <s v="E008"/>
    <s v="P003"/>
    <n v="1"/>
    <n v="1800"/>
    <n v="0"/>
    <x v="0"/>
    <s v="Marketplace"/>
    <s v="Bank Transfer"/>
    <n v="1800"/>
    <s v="Indore"/>
    <n v="1800"/>
    <s v="Match"/>
    <x v="8"/>
    <x v="2"/>
    <s v="Ahmedabad"/>
    <s v="Sales Executive"/>
    <x v="3"/>
    <x v="0"/>
    <n v="1800"/>
    <n v="1120"/>
    <n v="1800"/>
    <n v="680"/>
  </r>
  <r>
    <s v="ORD26050806"/>
    <x v="75"/>
    <s v="C0189"/>
    <s v="E013"/>
    <s v="P003"/>
    <n v="1"/>
    <n v="1800"/>
    <n v="0.05"/>
    <x v="0"/>
    <s v="Direct"/>
    <s v="Credit"/>
    <n v="1710"/>
    <s v="Indore"/>
    <n v="1710"/>
    <s v="Match"/>
    <x v="2"/>
    <x v="1"/>
    <s v="Bhubaneswar"/>
    <s v="Sales Executive"/>
    <x v="3"/>
    <x v="0"/>
    <n v="1800"/>
    <n v="1120"/>
    <n v="1710"/>
    <n v="590"/>
  </r>
  <r>
    <s v="ORD26060807"/>
    <x v="68"/>
    <s v="C0217"/>
    <s v="E011"/>
    <s v="P003"/>
    <n v="1"/>
    <n v="1710"/>
    <n v="0.15"/>
    <x v="2"/>
    <s v="Marketplace"/>
    <s v="Card"/>
    <n v="1453.5"/>
    <s v="Bengaluru"/>
    <n v="1453.5"/>
    <s v="Match"/>
    <x v="11"/>
    <x v="3"/>
    <s v="Lucknow"/>
    <s v="Sales Executive"/>
    <x v="3"/>
    <x v="0"/>
    <n v="1800"/>
    <n v="1120"/>
    <n v="0"/>
    <n v="-1120"/>
  </r>
  <r>
    <s v="ORD26060808"/>
    <x v="0"/>
    <s v="C0240"/>
    <s v="E015"/>
    <s v="P004"/>
    <n v="4"/>
    <n v="11760"/>
    <n v="0.05"/>
    <x v="0"/>
    <s v="Marketplace"/>
    <s v="Credit"/>
    <n v="44688"/>
    <s v="Indore"/>
    <n v="44688"/>
    <s v="Match"/>
    <x v="9"/>
    <x v="4"/>
    <s v="Bhopal"/>
    <s v="Sales Executive"/>
    <x v="1"/>
    <x v="1"/>
    <n v="11200"/>
    <n v="8300"/>
    <n v="44688"/>
    <n v="11488"/>
  </r>
  <r>
    <s v="ORD26030809"/>
    <x v="96"/>
    <s v="C0254"/>
    <s v="E010"/>
    <s v="P005"/>
    <n v="2"/>
    <n v="15960"/>
    <n v="0"/>
    <x v="0"/>
    <s v="Website"/>
    <s v="Upi"/>
    <n v="31920"/>
    <s v="Bengaluru"/>
    <n v="31920"/>
    <s v="Match"/>
    <x v="6"/>
    <x v="3"/>
    <s v="Jaipur"/>
    <s v="Sales Executive"/>
    <x v="9"/>
    <x v="1"/>
    <n v="16800"/>
    <n v="12600"/>
    <n v="31920"/>
    <n v="6720"/>
  </r>
  <r>
    <s v="ORD26060810"/>
    <x v="127"/>
    <s v="C0193"/>
    <s v="E004"/>
    <s v="P008"/>
    <n v="3"/>
    <n v="7800"/>
    <n v="0"/>
    <x v="0"/>
    <s v="Website"/>
    <s v="Cash"/>
    <n v="23400"/>
    <s v="Delhi"/>
    <n v="23400"/>
    <s v="Match"/>
    <x v="1"/>
    <x v="0"/>
    <s v="Coimbatore"/>
    <s v="Sales Executive"/>
    <x v="6"/>
    <x v="3"/>
    <n v="7800"/>
    <n v="5200"/>
    <n v="23400"/>
    <n v="7800"/>
  </r>
  <r>
    <s v="ORD26010811"/>
    <x v="3"/>
    <s v="C0149"/>
    <s v="E006"/>
    <s v="P001"/>
    <n v="1"/>
    <n v="650"/>
    <n v="0"/>
    <x v="0"/>
    <s v="Phone"/>
    <s v="Card"/>
    <n v="650"/>
    <s v="Indore"/>
    <n v="650"/>
    <s v="Match"/>
    <x v="5"/>
    <x v="2"/>
    <s v="Mumbai"/>
    <s v="Sales Executive"/>
    <x v="0"/>
    <x v="0"/>
    <n v="650"/>
    <n v="390"/>
    <n v="650"/>
    <n v="260"/>
  </r>
  <r>
    <s v="ORD26040812"/>
    <x v="59"/>
    <s v="C0090"/>
    <s v="Unknown"/>
    <s v="P001"/>
    <n v="1"/>
    <n v="650"/>
    <n v="0.05"/>
    <x v="0"/>
    <s v="Marketplace"/>
    <s v="Credit"/>
    <n v="617.5"/>
    <s v="Bengaluru"/>
    <n v="617.5"/>
    <s v="Match"/>
    <x v="15"/>
    <x v="5"/>
    <m/>
    <m/>
    <x v="0"/>
    <x v="0"/>
    <n v="650"/>
    <n v="390"/>
    <n v="617.5"/>
    <n v="227.5"/>
  </r>
  <r>
    <s v="ORD26020813"/>
    <x v="35"/>
    <s v="C0071"/>
    <s v="E004"/>
    <s v="P001"/>
    <n v="1"/>
    <n v="617.5"/>
    <n v="0.05"/>
    <x v="1"/>
    <s v="Phone"/>
    <s v="Upi"/>
    <n v="586.62"/>
    <s v="Kolkata"/>
    <n v="586.625"/>
    <s v="Match"/>
    <x v="1"/>
    <x v="0"/>
    <s v="Coimbatore"/>
    <s v="Sales Executive"/>
    <x v="0"/>
    <x v="0"/>
    <n v="650"/>
    <n v="390"/>
    <n v="0"/>
    <n v="-390"/>
  </r>
  <r>
    <s v="ORD26020814"/>
    <x v="171"/>
    <s v="C0034"/>
    <s v="E005"/>
    <s v="P008"/>
    <n v="1"/>
    <n v="8190"/>
    <n v="0.05"/>
    <x v="0"/>
    <s v="Direct"/>
    <s v="Card"/>
    <n v="7780.5"/>
    <s v="Delhi"/>
    <n v="7780.5"/>
    <s v="Match"/>
    <x v="3"/>
    <x v="0"/>
    <s v="Kochi"/>
    <s v="Sales Executive"/>
    <x v="6"/>
    <x v="3"/>
    <n v="7800"/>
    <n v="5200"/>
    <n v="7780.5"/>
    <n v="2580.5"/>
  </r>
  <r>
    <s v="ORD26020815"/>
    <x v="36"/>
    <s v="C0126"/>
    <s v="E004"/>
    <s v="P009"/>
    <n v="2"/>
    <n v="19425"/>
    <n v="0.05"/>
    <x v="0"/>
    <s v="Direct"/>
    <s v="Credit"/>
    <n v="36907.5"/>
    <s v="Indore"/>
    <n v="36907.5"/>
    <s v="Match"/>
    <x v="1"/>
    <x v="0"/>
    <s v="Coimbatore"/>
    <s v="Sales Executive"/>
    <x v="5"/>
    <x v="3"/>
    <n v="18500"/>
    <n v="13900"/>
    <n v="36907.5"/>
    <n v="9107.5"/>
  </r>
  <r>
    <s v="ORD26020816"/>
    <x v="36"/>
    <s v="C0144"/>
    <s v="E014"/>
    <s v="P009"/>
    <n v="1"/>
    <n v="17575"/>
    <n v="0"/>
    <x v="1"/>
    <s v="Direct"/>
    <s v="Credit"/>
    <n v="17575"/>
    <s v="Indore"/>
    <n v="17575"/>
    <s v="Match"/>
    <x v="10"/>
    <x v="4"/>
    <s v="Indore"/>
    <s v="Sales Executive"/>
    <x v="5"/>
    <x v="3"/>
    <n v="18500"/>
    <n v="13900"/>
    <n v="0"/>
    <n v="-13900"/>
  </r>
  <r>
    <s v="ORD26050817"/>
    <x v="28"/>
    <s v="C0086"/>
    <s v="E004"/>
    <s v="P012"/>
    <n v="1"/>
    <n v="46075"/>
    <n v="0.1"/>
    <x v="0"/>
    <s v="Phone"/>
    <s v="Credit"/>
    <n v="41467.5"/>
    <s v="Kolkata"/>
    <n v="41467.5"/>
    <s v="Match"/>
    <x v="1"/>
    <x v="0"/>
    <s v="Coimbatore"/>
    <s v="Sales Executive"/>
    <x v="2"/>
    <x v="2"/>
    <n v="48500"/>
    <n v="41200"/>
    <n v="41467.5"/>
    <n v="267.5"/>
  </r>
  <r>
    <s v="ORD26050818"/>
    <x v="140"/>
    <s v="C0254"/>
    <s v="E009"/>
    <s v="P008"/>
    <n v="1"/>
    <n v="8190"/>
    <n v="0.2"/>
    <x v="0"/>
    <s v="Phone"/>
    <s v="Bank Transfer"/>
    <n v="6552"/>
    <s v="Indore"/>
    <n v="6552"/>
    <s v="Match"/>
    <x v="13"/>
    <x v="3"/>
    <s v="Delhi"/>
    <s v="Sales Executive"/>
    <x v="6"/>
    <x v="3"/>
    <n v="7800"/>
    <n v="5200"/>
    <n v="6552"/>
    <n v="1352"/>
  </r>
  <r>
    <s v="ORD26040819"/>
    <x v="82"/>
    <s v="C0232"/>
    <s v="E011"/>
    <s v="P010"/>
    <n v="3"/>
    <n v="3200"/>
    <n v="0"/>
    <x v="1"/>
    <s v="Website"/>
    <s v="Cash"/>
    <n v="9600"/>
    <s v="Bengaluru"/>
    <n v="9600"/>
    <s v="Match"/>
    <x v="11"/>
    <x v="3"/>
    <s v="Lucknow"/>
    <s v="Sales Executive"/>
    <x v="11"/>
    <x v="4"/>
    <n v="3200"/>
    <n v="2050"/>
    <n v="0"/>
    <n v="-6150"/>
  </r>
  <r>
    <s v="ORD26030820"/>
    <x v="151"/>
    <s v="C0069"/>
    <s v="E007"/>
    <s v="P007"/>
    <n v="3"/>
    <n v="2470"/>
    <n v="0.05"/>
    <x v="0"/>
    <s v="Direct"/>
    <s v="Bank Transfer"/>
    <n v="7039.5"/>
    <s v="Kochi"/>
    <n v="7039.5"/>
    <s v="Match"/>
    <x v="4"/>
    <x v="2"/>
    <s v="Pune"/>
    <s v="Sales Executive"/>
    <x v="10"/>
    <x v="0"/>
    <n v="2600"/>
    <n v="1750"/>
    <n v="7039.5"/>
    <n v="1789.5"/>
  </r>
  <r>
    <s v="ORD26050821"/>
    <x v="163"/>
    <s v="C0219"/>
    <s v="E006"/>
    <s v="P004"/>
    <n v="3"/>
    <n v="11200"/>
    <m/>
    <x v="0"/>
    <s v="Phone"/>
    <s v="Cash"/>
    <n v="30240"/>
    <s v="Pune"/>
    <m/>
    <s v="Invalid Inputs"/>
    <x v="5"/>
    <x v="2"/>
    <s v="Mumbai"/>
    <s v="Sales Executive"/>
    <x v="1"/>
    <x v="1"/>
    <n v="11200"/>
    <n v="8300"/>
    <n v="0"/>
    <n v="-24900"/>
  </r>
  <r>
    <s v="ORD26040822"/>
    <x v="55"/>
    <s v="C0120"/>
    <s v="E006"/>
    <s v="P008"/>
    <n v="2"/>
    <n v="8190"/>
    <n v="0.1"/>
    <x v="0"/>
    <s v="Marketplace"/>
    <s v="Upi"/>
    <n v="14742"/>
    <s v="Kolkata"/>
    <n v="14742"/>
    <s v="Match"/>
    <x v="5"/>
    <x v="2"/>
    <s v="Mumbai"/>
    <s v="Sales Executive"/>
    <x v="6"/>
    <x v="3"/>
    <n v="7800"/>
    <n v="5200"/>
    <n v="14742"/>
    <n v="4342"/>
  </r>
  <r>
    <s v="ORD26010823"/>
    <x v="61"/>
    <s v="C0117"/>
    <s v="E005"/>
    <s v="P009"/>
    <n v="2"/>
    <n v="18500"/>
    <n v="0.2"/>
    <x v="0"/>
    <s v="Direct"/>
    <s v="Upi"/>
    <n v="29600"/>
    <s v="Mumbai"/>
    <n v="29600"/>
    <s v="Match"/>
    <x v="3"/>
    <x v="0"/>
    <s v="Kochi"/>
    <s v="Sales Executive"/>
    <x v="5"/>
    <x v="3"/>
    <n v="18500"/>
    <n v="13900"/>
    <n v="29600"/>
    <n v="1800"/>
  </r>
  <r>
    <s v="ORD26040824"/>
    <x v="59"/>
    <s v="C0155"/>
    <s v="E001"/>
    <s v="P009"/>
    <n v="1"/>
    <n v="18500"/>
    <n v="0"/>
    <x v="0"/>
    <s v="Marketplace"/>
    <s v="Card"/>
    <n v="18500"/>
    <s v="Indore"/>
    <n v="18500"/>
    <s v="Match"/>
    <x v="14"/>
    <x v="0"/>
    <s v="Chennai"/>
    <s v="Sales Executive"/>
    <x v="5"/>
    <x v="3"/>
    <n v="18500"/>
    <n v="13900"/>
    <n v="18500"/>
    <n v="4600"/>
  </r>
  <r>
    <s v="ORD26020825"/>
    <x v="88"/>
    <s v="C0145"/>
    <s v="E014"/>
    <s v="P012"/>
    <n v="4"/>
    <n v="48500"/>
    <n v="0.05"/>
    <x v="0"/>
    <s v="Marketplace"/>
    <s v="Cash"/>
    <n v="184300"/>
    <s v="Pune"/>
    <n v="184300"/>
    <s v="Match"/>
    <x v="10"/>
    <x v="4"/>
    <s v="Indore"/>
    <s v="Sales Executive"/>
    <x v="2"/>
    <x v="2"/>
    <n v="48500"/>
    <n v="41200"/>
    <n v="184300"/>
    <n v="19500"/>
  </r>
  <r>
    <s v="ORD26050826"/>
    <x v="23"/>
    <s v="C0204"/>
    <s v="E013"/>
    <s v="P011"/>
    <n v="1"/>
    <n v="2400"/>
    <n v="0.2"/>
    <x v="0"/>
    <s v="Website"/>
    <s v="Card"/>
    <n v="1920"/>
    <s v="Bengaluru"/>
    <n v="1920"/>
    <s v="Match"/>
    <x v="2"/>
    <x v="1"/>
    <s v="Bhubaneswar"/>
    <s v="Sales Executive"/>
    <x v="7"/>
    <x v="4"/>
    <n v="2400"/>
    <n v="1480"/>
    <n v="1920"/>
    <n v="440"/>
  </r>
  <r>
    <s v="ORD26050827"/>
    <x v="16"/>
    <s v="C0175"/>
    <s v="E004"/>
    <s v="P009"/>
    <n v="3"/>
    <n v="19425"/>
    <n v="0.15"/>
    <x v="0"/>
    <s v="Direct"/>
    <s v="Bank Transfer"/>
    <n v="49533.75"/>
    <s v="Bengaluru"/>
    <n v="49533.75"/>
    <s v="Match"/>
    <x v="1"/>
    <x v="0"/>
    <s v="Coimbatore"/>
    <s v="Sales Executive"/>
    <x v="5"/>
    <x v="3"/>
    <n v="18500"/>
    <n v="13900"/>
    <n v="49533.75"/>
    <n v="7833.75"/>
  </r>
  <r>
    <s v="ORD26040828"/>
    <x v="164"/>
    <s v="C0192"/>
    <s v="E013"/>
    <s v="P012"/>
    <n v="2"/>
    <n v="46075"/>
    <n v="0.1"/>
    <x v="0"/>
    <s v="Website"/>
    <s v="Credit"/>
    <n v="82935"/>
    <s v="Delhi"/>
    <n v="82935"/>
    <s v="Match"/>
    <x v="2"/>
    <x v="1"/>
    <s v="Bhubaneswar"/>
    <s v="Sales Executive"/>
    <x v="2"/>
    <x v="2"/>
    <n v="48500"/>
    <n v="41200"/>
    <n v="82935"/>
    <n v="535"/>
  </r>
  <r>
    <s v="ORD26030829"/>
    <x v="151"/>
    <s v="C0116"/>
    <s v="E012"/>
    <s v="P001"/>
    <n v="2"/>
    <n v="650"/>
    <n v="0.2"/>
    <x v="2"/>
    <s v="Direct"/>
    <s v="Cash"/>
    <n v="1040"/>
    <s v="Pune"/>
    <n v="1040"/>
    <s v="Match"/>
    <x v="12"/>
    <x v="1"/>
    <s v="Kolkata"/>
    <s v="Sales Executive"/>
    <x v="0"/>
    <x v="0"/>
    <n v="650"/>
    <n v="390"/>
    <n v="0"/>
    <n v="-780"/>
  </r>
  <r>
    <s v="ORD26060830"/>
    <x v="2"/>
    <s v="C0072"/>
    <s v="E009"/>
    <s v="P005"/>
    <n v="2"/>
    <n v="15960"/>
    <n v="0"/>
    <x v="0"/>
    <s v="Website"/>
    <s v="Bank Transfer"/>
    <n v="31920"/>
    <s v="Indore"/>
    <n v="31920"/>
    <s v="Match"/>
    <x v="13"/>
    <x v="3"/>
    <s v="Delhi"/>
    <s v="Sales Executive"/>
    <x v="9"/>
    <x v="1"/>
    <n v="16800"/>
    <n v="12600"/>
    <n v="31920"/>
    <n v="6720"/>
  </r>
  <r>
    <s v="ORD26060831"/>
    <x v="136"/>
    <s v="C0105"/>
    <s v="E013"/>
    <s v="P010"/>
    <n v="5"/>
    <n v="3360"/>
    <n v="0.15"/>
    <x v="2"/>
    <s v="Phone"/>
    <s v="Upi"/>
    <n v="14280"/>
    <s v="Jaipur"/>
    <n v="14280"/>
    <s v="Match"/>
    <x v="2"/>
    <x v="1"/>
    <s v="Bhubaneswar"/>
    <s v="Sales Executive"/>
    <x v="11"/>
    <x v="4"/>
    <n v="3200"/>
    <n v="2050"/>
    <n v="0"/>
    <n v="-10250"/>
  </r>
  <r>
    <s v="ORD26040832"/>
    <x v="156"/>
    <s v="C0048"/>
    <s v="E004"/>
    <s v="P008"/>
    <n v="1"/>
    <n v="7800"/>
    <n v="0.15"/>
    <x v="3"/>
    <s v="Website"/>
    <s v="Upi"/>
    <n v="6630"/>
    <s v="Jaipur"/>
    <n v="6630"/>
    <s v="Match"/>
    <x v="1"/>
    <x v="0"/>
    <s v="Coimbatore"/>
    <s v="Sales Executive"/>
    <x v="6"/>
    <x v="3"/>
    <n v="7800"/>
    <n v="5200"/>
    <n v="0"/>
    <n v="-5200"/>
  </r>
  <r>
    <s v="ORD26020833"/>
    <x v="35"/>
    <s v="C0198"/>
    <s v="E001"/>
    <s v="P012"/>
    <n v="3"/>
    <n v="46075"/>
    <n v="0"/>
    <x v="0"/>
    <s v="Marketplace"/>
    <s v="Card"/>
    <n v="138225"/>
    <s v="Bengaluru"/>
    <n v="138225"/>
    <s v="Match"/>
    <x v="14"/>
    <x v="0"/>
    <s v="Chennai"/>
    <s v="Sales Executive"/>
    <x v="2"/>
    <x v="2"/>
    <n v="48500"/>
    <n v="41200"/>
    <n v="138225"/>
    <n v="14625"/>
  </r>
  <r>
    <s v="ORD26030834"/>
    <x v="70"/>
    <s v="C0088"/>
    <s v="E011"/>
    <s v="P009"/>
    <n v="1"/>
    <n v="17575"/>
    <n v="0"/>
    <x v="0"/>
    <s v="Marketplace"/>
    <s v="Cash"/>
    <n v="17575"/>
    <s v="Pune"/>
    <n v="17575"/>
    <s v="Match"/>
    <x v="11"/>
    <x v="3"/>
    <s v="Lucknow"/>
    <s v="Sales Executive"/>
    <x v="5"/>
    <x v="3"/>
    <n v="18500"/>
    <n v="13900"/>
    <n v="17575"/>
    <n v="3675"/>
  </r>
  <r>
    <s v="ORD26020835"/>
    <x v="26"/>
    <s v="C0106"/>
    <s v="E002"/>
    <s v="P003"/>
    <n v="2"/>
    <n v="1890"/>
    <n v="0.1"/>
    <x v="0"/>
    <s v="Website"/>
    <s v="Card"/>
    <n v="3402"/>
    <s v="Hyderabad"/>
    <n v="3402"/>
    <s v="Match"/>
    <x v="0"/>
    <x v="0"/>
    <s v="Bengaluru"/>
    <s v="Sales Executive"/>
    <x v="3"/>
    <x v="0"/>
    <n v="1800"/>
    <n v="1120"/>
    <n v="3402"/>
    <n v="1162"/>
  </r>
  <r>
    <s v="ORD26040836"/>
    <x v="175"/>
    <s v="C0104"/>
    <s v="E014"/>
    <s v="P012"/>
    <n v="3"/>
    <n v="48500"/>
    <n v="0"/>
    <x v="0"/>
    <s v="Phone"/>
    <s v="Bank Transfer"/>
    <n v="145500"/>
    <s v="Bengaluru"/>
    <n v="145500"/>
    <s v="Match"/>
    <x v="10"/>
    <x v="4"/>
    <s v="Indore"/>
    <s v="Sales Executive"/>
    <x v="2"/>
    <x v="2"/>
    <n v="48500"/>
    <n v="41200"/>
    <n v="145500"/>
    <n v="21900"/>
  </r>
  <r>
    <s v="ORD26010837"/>
    <x v="3"/>
    <s v="C0169"/>
    <s v="E003"/>
    <s v="P008"/>
    <n v="1"/>
    <n v="7800"/>
    <n v="0.1"/>
    <x v="0"/>
    <s v="Phone"/>
    <s v="Cash"/>
    <n v="7020"/>
    <s v="Kochi"/>
    <n v="7020"/>
    <s v="Match"/>
    <x v="7"/>
    <x v="0"/>
    <s v="Hyderabad"/>
    <s v="Sales Executive"/>
    <x v="6"/>
    <x v="3"/>
    <n v="7800"/>
    <n v="5200"/>
    <n v="7020"/>
    <n v="1820"/>
  </r>
  <r>
    <s v="ORD26050838"/>
    <x v="45"/>
    <s v="C0178"/>
    <s v="E001"/>
    <s v="P012"/>
    <n v="1"/>
    <n v="50925"/>
    <n v="0.2"/>
    <x v="2"/>
    <s v="Marketplace"/>
    <s v="Cash"/>
    <n v="40740"/>
    <s v="Indore"/>
    <n v="40740"/>
    <s v="Match"/>
    <x v="14"/>
    <x v="0"/>
    <s v="Chennai"/>
    <s v="Sales Executive"/>
    <x v="2"/>
    <x v="2"/>
    <n v="48500"/>
    <n v="41200"/>
    <n v="0"/>
    <n v="-41200"/>
  </r>
  <r>
    <s v="ORD26020839"/>
    <x v="153"/>
    <s v="C0197"/>
    <s v="E007"/>
    <s v="P004"/>
    <n v="1"/>
    <n v="11760"/>
    <n v="0.15"/>
    <x v="0"/>
    <s v="Website"/>
    <s v="Credit"/>
    <n v="9996"/>
    <s v="Mumbai"/>
    <n v="9996"/>
    <s v="Match"/>
    <x v="4"/>
    <x v="2"/>
    <s v="Pune"/>
    <s v="Sales Executive"/>
    <x v="1"/>
    <x v="1"/>
    <n v="11200"/>
    <n v="8300"/>
    <n v="9996"/>
    <n v="1696"/>
  </r>
  <r>
    <s v="ORD26040840"/>
    <x v="173"/>
    <s v="C0035"/>
    <s v="E012"/>
    <s v="P001"/>
    <n v="1"/>
    <n v="650"/>
    <n v="0"/>
    <x v="0"/>
    <s v="Website"/>
    <s v="Cash"/>
    <n v="650"/>
    <s v="Pune"/>
    <n v="650"/>
    <s v="Match"/>
    <x v="12"/>
    <x v="1"/>
    <s v="Kolkata"/>
    <s v="Sales Executive"/>
    <x v="0"/>
    <x v="0"/>
    <n v="650"/>
    <n v="390"/>
    <n v="650"/>
    <n v="260"/>
  </r>
  <r>
    <s v="ORD26050841"/>
    <x v="38"/>
    <s v="C0210"/>
    <s v="E002"/>
    <s v="P006"/>
    <n v="1"/>
    <n v="1400"/>
    <n v="0"/>
    <x v="0"/>
    <s v="Phone"/>
    <s v="Card"/>
    <n v="1400"/>
    <s v="Hyderabad"/>
    <n v="1400"/>
    <s v="Match"/>
    <x v="0"/>
    <x v="0"/>
    <s v="Bengaluru"/>
    <s v="Sales Executive"/>
    <x v="4"/>
    <x v="0"/>
    <n v="1400"/>
    <n v="780"/>
    <n v="1400"/>
    <n v="620"/>
  </r>
  <r>
    <s v="ORD26020842"/>
    <x v="171"/>
    <s v="C0196"/>
    <s v="E009"/>
    <s v="P001"/>
    <n v="2"/>
    <n v="682.5"/>
    <n v="0"/>
    <x v="0"/>
    <s v="Marketplace"/>
    <s v="Cash"/>
    <n v="1365"/>
    <s v="Bengaluru"/>
    <n v="1365"/>
    <s v="Match"/>
    <x v="13"/>
    <x v="3"/>
    <s v="Delhi"/>
    <s v="Sales Executive"/>
    <x v="0"/>
    <x v="0"/>
    <n v="650"/>
    <n v="390"/>
    <n v="1365"/>
    <n v="585"/>
  </r>
  <r>
    <s v="ORD26040843"/>
    <x v="50"/>
    <s v="C0238"/>
    <s v="E001"/>
    <s v="P001"/>
    <n v="1"/>
    <n v="650"/>
    <n v="0.2"/>
    <x v="1"/>
    <s v="Phone"/>
    <s v="Cash"/>
    <n v="520"/>
    <s v="Mumbai"/>
    <n v="520"/>
    <s v="Match"/>
    <x v="14"/>
    <x v="0"/>
    <s v="Chennai"/>
    <s v="Sales Executive"/>
    <x v="0"/>
    <x v="0"/>
    <n v="650"/>
    <n v="390"/>
    <n v="0"/>
    <n v="-390"/>
  </r>
  <r>
    <s v="ORD26010844"/>
    <x v="61"/>
    <s v="C0083"/>
    <s v="E009"/>
    <s v="P011"/>
    <n v="1"/>
    <n v="2400"/>
    <n v="0.1"/>
    <x v="0"/>
    <s v="Website"/>
    <s v="Upi"/>
    <n v="2160"/>
    <s v="Indore"/>
    <n v="2160"/>
    <s v="Match"/>
    <x v="13"/>
    <x v="3"/>
    <s v="Delhi"/>
    <s v="Sales Executive"/>
    <x v="7"/>
    <x v="4"/>
    <n v="2400"/>
    <n v="1480"/>
    <n v="2160"/>
    <n v="680"/>
  </r>
  <r>
    <s v="ORD26010845"/>
    <x v="25"/>
    <s v="C0006"/>
    <s v="E003"/>
    <s v="P005"/>
    <n v="1"/>
    <n v="15960"/>
    <n v="0.2"/>
    <x v="0"/>
    <s v="Marketplace"/>
    <s v="Card"/>
    <n v="12768"/>
    <s v="Kochi"/>
    <n v="12768"/>
    <s v="Match"/>
    <x v="7"/>
    <x v="0"/>
    <s v="Hyderabad"/>
    <s v="Sales Executive"/>
    <x v="9"/>
    <x v="1"/>
    <n v="16800"/>
    <n v="12600"/>
    <n v="12768"/>
    <n v="168"/>
  </r>
  <r>
    <s v="ORD26040846"/>
    <x v="76"/>
    <s v="C0025"/>
    <s v="E003"/>
    <s v="P004"/>
    <n v="3"/>
    <n v="11760"/>
    <n v="0.2"/>
    <x v="0"/>
    <s v="Direct"/>
    <s v="Cash"/>
    <n v="28224"/>
    <s v="Hyderabad"/>
    <n v="28224"/>
    <s v="Match"/>
    <x v="7"/>
    <x v="0"/>
    <s v="Hyderabad"/>
    <s v="Sales Executive"/>
    <x v="1"/>
    <x v="1"/>
    <n v="11200"/>
    <n v="8300"/>
    <n v="28224"/>
    <n v="3324"/>
  </r>
  <r>
    <s v="ORD26040847"/>
    <x v="179"/>
    <s v="C0192"/>
    <s v="E001"/>
    <s v="P010"/>
    <n v="1"/>
    <n v="3200"/>
    <n v="0.1"/>
    <x v="0"/>
    <s v="Website"/>
    <s v="Card"/>
    <n v="2880"/>
    <s v="Mumbai"/>
    <n v="2880"/>
    <s v="Match"/>
    <x v="14"/>
    <x v="0"/>
    <s v="Chennai"/>
    <s v="Sales Executive"/>
    <x v="11"/>
    <x v="4"/>
    <n v="3200"/>
    <n v="2050"/>
    <n v="2880"/>
    <n v="830"/>
  </r>
  <r>
    <s v="ORD26010848"/>
    <x v="169"/>
    <s v="C0113"/>
    <s v="E007"/>
    <s v="P001"/>
    <n v="10"/>
    <n v="617.5"/>
    <n v="0.05"/>
    <x v="0"/>
    <s v="Direct"/>
    <s v="Card"/>
    <n v="5866.25"/>
    <s v="Delhi"/>
    <n v="5866.25"/>
    <s v="Match"/>
    <x v="4"/>
    <x v="2"/>
    <s v="Pune"/>
    <s v="Sales Executive"/>
    <x v="0"/>
    <x v="0"/>
    <n v="650"/>
    <n v="390"/>
    <n v="5866.25"/>
    <n v="1966.25"/>
  </r>
  <r>
    <s v="ORD26010849"/>
    <x v="138"/>
    <s v="C0107"/>
    <s v="E007"/>
    <s v="P009"/>
    <n v="1"/>
    <n v="18500"/>
    <n v="0.05"/>
    <x v="0"/>
    <s v="Phone"/>
    <s v="Cash"/>
    <n v="17575"/>
    <s v="Mumbai"/>
    <n v="17575"/>
    <s v="Match"/>
    <x v="4"/>
    <x v="2"/>
    <s v="Pune"/>
    <s v="Sales Executive"/>
    <x v="5"/>
    <x v="3"/>
    <n v="18500"/>
    <n v="13900"/>
    <n v="17575"/>
    <n v="3675"/>
  </r>
  <r>
    <s v="ORD26030850"/>
    <x v="80"/>
    <s v="C0007"/>
    <s v="E004"/>
    <s v="P002"/>
    <n v="2"/>
    <n v="2200"/>
    <n v="0"/>
    <x v="0"/>
    <s v="Phone"/>
    <s v="Card"/>
    <n v="4400"/>
    <s v="Kochi"/>
    <n v="4400"/>
    <s v="Match"/>
    <x v="1"/>
    <x v="0"/>
    <s v="Coimbatore"/>
    <s v="Sales Executive"/>
    <x v="8"/>
    <x v="0"/>
    <n v="2200"/>
    <n v="1450"/>
    <n v="4400"/>
    <n v="1500"/>
  </r>
  <r>
    <s v="ORD26020851"/>
    <x v="56"/>
    <s v="C0035"/>
    <s v="E002"/>
    <s v="P011"/>
    <n v="4"/>
    <n v="2280"/>
    <n v="0.2"/>
    <x v="0"/>
    <s v="Website"/>
    <s v="Cash"/>
    <n v="7296"/>
    <s v="Hyderabad"/>
    <n v="7296"/>
    <s v="Match"/>
    <x v="0"/>
    <x v="0"/>
    <s v="Bengaluru"/>
    <s v="Sales Executive"/>
    <x v="7"/>
    <x v="4"/>
    <n v="2400"/>
    <n v="1480"/>
    <n v="7296"/>
    <n v="1376"/>
  </r>
  <r>
    <s v="ORD26060852"/>
    <x v="65"/>
    <s v="C0167"/>
    <s v="E008"/>
    <s v="P002"/>
    <n v="3"/>
    <n v="2090"/>
    <n v="0.15"/>
    <x v="0"/>
    <s v="Phone"/>
    <s v="Card"/>
    <n v="5329.5"/>
    <s v="Kolkata"/>
    <n v="5329.5"/>
    <s v="Match"/>
    <x v="8"/>
    <x v="2"/>
    <s v="Ahmedabad"/>
    <s v="Sales Executive"/>
    <x v="8"/>
    <x v="0"/>
    <n v="2200"/>
    <n v="1450"/>
    <n v="5329.5"/>
    <n v="979.5"/>
  </r>
  <r>
    <s v="ORD26020853"/>
    <x v="153"/>
    <s v="C0010"/>
    <s v="E011"/>
    <s v="P012"/>
    <n v="2"/>
    <n v="48500"/>
    <n v="0.2"/>
    <x v="0"/>
    <s v="Phone"/>
    <s v="Cash"/>
    <n v="77600"/>
    <s v="Jaipur"/>
    <n v="77600"/>
    <s v="Match"/>
    <x v="11"/>
    <x v="3"/>
    <s v="Lucknow"/>
    <s v="Sales Executive"/>
    <x v="2"/>
    <x v="2"/>
    <n v="48500"/>
    <n v="41200"/>
    <n v="77600"/>
    <n v="-4800"/>
  </r>
  <r>
    <s v="ORD26060854"/>
    <x v="0"/>
    <s v="C0011"/>
    <s v="E012"/>
    <s v="P004"/>
    <n v="2"/>
    <n v="11200"/>
    <n v="0.2"/>
    <x v="3"/>
    <s v="Direct"/>
    <s v="Bank Transfer"/>
    <n v="17920"/>
    <s v="Bengaluru"/>
    <n v="17920"/>
    <s v="Match"/>
    <x v="12"/>
    <x v="1"/>
    <s v="Kolkata"/>
    <s v="Sales Executive"/>
    <x v="1"/>
    <x v="1"/>
    <n v="11200"/>
    <n v="8300"/>
    <n v="0"/>
    <n v="-16600"/>
  </r>
  <r>
    <s v="ORD26040855"/>
    <x v="164"/>
    <s v="Unknown"/>
    <s v="E013"/>
    <s v="P004"/>
    <n v="3"/>
    <n v="11760"/>
    <n v="0"/>
    <x v="0"/>
    <s v="Website"/>
    <s v="Card"/>
    <n v="35280"/>
    <s v="Pune"/>
    <n v="35280"/>
    <s v="Match"/>
    <x v="2"/>
    <x v="1"/>
    <s v="Bhubaneswar"/>
    <s v="Sales Executive"/>
    <x v="1"/>
    <x v="1"/>
    <n v="11200"/>
    <n v="8300"/>
    <n v="35280"/>
    <n v="10380"/>
  </r>
  <r>
    <s v="ORD26020856"/>
    <x v="134"/>
    <s v="C0169"/>
    <s v="E011"/>
    <s v="P001"/>
    <n v="1"/>
    <n v="682.5"/>
    <n v="0.2"/>
    <x v="0"/>
    <s v="Website"/>
    <s v="Bank Transfer"/>
    <n v="546"/>
    <s v="Kolkata"/>
    <n v="546"/>
    <s v="Match"/>
    <x v="11"/>
    <x v="3"/>
    <s v="Lucknow"/>
    <s v="Sales Executive"/>
    <x v="0"/>
    <x v="0"/>
    <n v="650"/>
    <n v="390"/>
    <n v="546"/>
    <n v="156"/>
  </r>
  <r>
    <s v="ORD26060857"/>
    <x v="101"/>
    <s v="C0013"/>
    <s v="E013"/>
    <s v="P001"/>
    <n v="2"/>
    <n v="650"/>
    <n v="0.1"/>
    <x v="0"/>
    <s v="Website"/>
    <s v="Bank Transfer"/>
    <n v="1170"/>
    <s v="Kolkata"/>
    <n v="1170"/>
    <s v="Match"/>
    <x v="2"/>
    <x v="1"/>
    <s v="Bhubaneswar"/>
    <s v="Sales Executive"/>
    <x v="0"/>
    <x v="0"/>
    <n v="650"/>
    <n v="390"/>
    <n v="1170"/>
    <n v="390"/>
  </r>
  <r>
    <s v="ORD26030858"/>
    <x v="108"/>
    <s v="C0196"/>
    <s v="E004"/>
    <s v="P009"/>
    <n v="1"/>
    <n v="18500"/>
    <n v="0.2"/>
    <x v="3"/>
    <s v="Marketplace"/>
    <s v="Card"/>
    <n v="14800"/>
    <s v="Kochi"/>
    <n v="14800"/>
    <s v="Match"/>
    <x v="1"/>
    <x v="0"/>
    <s v="Coimbatore"/>
    <s v="Sales Executive"/>
    <x v="5"/>
    <x v="3"/>
    <n v="18500"/>
    <n v="13900"/>
    <n v="0"/>
    <n v="-13900"/>
  </r>
  <r>
    <s v="ORD26060859"/>
    <x v="136"/>
    <s v="C0073"/>
    <s v="E001"/>
    <s v="P002"/>
    <n v="5"/>
    <n v="2090"/>
    <n v="0"/>
    <x v="1"/>
    <s v="Website"/>
    <s v="Card"/>
    <n v="10450"/>
    <s v="Mumbai"/>
    <n v="10450"/>
    <s v="Match"/>
    <x v="14"/>
    <x v="0"/>
    <s v="Chennai"/>
    <s v="Sales Executive"/>
    <x v="8"/>
    <x v="0"/>
    <n v="2200"/>
    <n v="1450"/>
    <n v="0"/>
    <n v="-7250"/>
  </r>
  <r>
    <s v="ORD26020860"/>
    <x v="153"/>
    <s v="C0219"/>
    <s v="E010"/>
    <s v="P009"/>
    <n v="4"/>
    <n v="17575"/>
    <n v="0"/>
    <x v="0"/>
    <s v="Phone"/>
    <s v="Bank Transfer"/>
    <n v="70300"/>
    <s v="Delhi"/>
    <n v="70300"/>
    <s v="Match"/>
    <x v="6"/>
    <x v="3"/>
    <s v="Jaipur"/>
    <s v="Sales Executive"/>
    <x v="5"/>
    <x v="3"/>
    <n v="18500"/>
    <n v="13900"/>
    <n v="70300"/>
    <n v="14700"/>
  </r>
  <r>
    <s v="ORD26020861"/>
    <x v="40"/>
    <s v="C0104"/>
    <s v="E004"/>
    <s v="P007"/>
    <n v="1"/>
    <n v="2730"/>
    <n v="0"/>
    <x v="0"/>
    <s v="Marketplace"/>
    <s v="Cash"/>
    <n v="2730"/>
    <s v="Mumbai"/>
    <n v="2730"/>
    <s v="Match"/>
    <x v="1"/>
    <x v="0"/>
    <s v="Coimbatore"/>
    <s v="Sales Executive"/>
    <x v="10"/>
    <x v="0"/>
    <n v="2600"/>
    <n v="1750"/>
    <n v="2730"/>
    <n v="980"/>
  </r>
  <r>
    <s v="ORD26040862"/>
    <x v="59"/>
    <s v="C0080"/>
    <s v="E007"/>
    <s v="P007"/>
    <n v="1"/>
    <n v="2730"/>
    <n v="0.1"/>
    <x v="0"/>
    <s v="Phone"/>
    <s v="Upi"/>
    <n v="2457"/>
    <s v="Pune"/>
    <n v="2457"/>
    <s v="Match"/>
    <x v="4"/>
    <x v="2"/>
    <s v="Pune"/>
    <s v="Sales Executive"/>
    <x v="10"/>
    <x v="0"/>
    <n v="2600"/>
    <n v="1750"/>
    <n v="2457"/>
    <n v="707"/>
  </r>
  <r>
    <s v="ORD26040863"/>
    <x v="164"/>
    <s v="C0090"/>
    <s v="E014"/>
    <s v="P002"/>
    <n v="4"/>
    <n v="2200"/>
    <n v="0.05"/>
    <x v="0"/>
    <s v="Marketplace"/>
    <s v="Cash"/>
    <n v="8360"/>
    <s v="Kochi"/>
    <n v="8360"/>
    <s v="Match"/>
    <x v="10"/>
    <x v="4"/>
    <s v="Indore"/>
    <s v="Sales Executive"/>
    <x v="8"/>
    <x v="0"/>
    <n v="2200"/>
    <n v="1450"/>
    <n v="8360"/>
    <n v="2560"/>
  </r>
  <r>
    <s v="ORD26030864"/>
    <x v="151"/>
    <s v="C0070"/>
    <s v="E008"/>
    <s v="P005"/>
    <n v="2"/>
    <n v="16800"/>
    <n v="0.15"/>
    <x v="0"/>
    <s v="Phone"/>
    <s v="Card"/>
    <n v="28560"/>
    <s v="Delhi"/>
    <n v="28560"/>
    <s v="Match"/>
    <x v="8"/>
    <x v="2"/>
    <s v="Ahmedabad"/>
    <s v="Sales Executive"/>
    <x v="9"/>
    <x v="1"/>
    <n v="16800"/>
    <n v="12600"/>
    <n v="28560"/>
    <n v="3360"/>
  </r>
  <r>
    <s v="ORD26020865"/>
    <x v="36"/>
    <s v="C0208"/>
    <s v="E001"/>
    <s v="P001"/>
    <n v="5"/>
    <n v="682.5"/>
    <n v="0.2"/>
    <x v="0"/>
    <s v="Phone"/>
    <s v="Cash"/>
    <n v="2730"/>
    <s v="Kolkata"/>
    <n v="2730"/>
    <s v="Match"/>
    <x v="14"/>
    <x v="0"/>
    <s v="Chennai"/>
    <s v="Sales Executive"/>
    <x v="0"/>
    <x v="0"/>
    <n v="650"/>
    <n v="390"/>
    <n v="2730"/>
    <n v="780"/>
  </r>
  <r>
    <s v="ORD26040866"/>
    <x v="156"/>
    <s v="C0064"/>
    <s v="E008"/>
    <s v="P005"/>
    <n v="3"/>
    <n v="15960"/>
    <m/>
    <x v="0"/>
    <s v="Phone"/>
    <s v="Credit"/>
    <n v="40698"/>
    <s v="Delhi"/>
    <m/>
    <s v="Invalid Inputs"/>
    <x v="8"/>
    <x v="2"/>
    <s v="Ahmedabad"/>
    <s v="Sales Executive"/>
    <x v="9"/>
    <x v="1"/>
    <n v="16800"/>
    <n v="12600"/>
    <n v="0"/>
    <n v="-37800"/>
  </r>
  <r>
    <s v="ORD26020867"/>
    <x v="58"/>
    <s v="C0189"/>
    <s v="E013"/>
    <s v="P007"/>
    <n v="8"/>
    <n v="2730"/>
    <n v="0.2"/>
    <x v="0"/>
    <s v="Direct"/>
    <s v="Cash"/>
    <n v="17472"/>
    <s v="Pune"/>
    <n v="17472"/>
    <s v="Match"/>
    <x v="2"/>
    <x v="1"/>
    <s v="Bhubaneswar"/>
    <s v="Sales Executive"/>
    <x v="10"/>
    <x v="0"/>
    <n v="2600"/>
    <n v="1750"/>
    <n v="17472"/>
    <n v="3472"/>
  </r>
  <r>
    <s v="ORD26030868"/>
    <x v="118"/>
    <s v="C0076"/>
    <s v="E004"/>
    <s v="P008"/>
    <n v="1"/>
    <n v="7410"/>
    <n v="0.05"/>
    <x v="0"/>
    <s v="Marketplace"/>
    <s v="Credit"/>
    <n v="7039.5"/>
    <s v="Kochi"/>
    <n v="7039.5"/>
    <s v="Match"/>
    <x v="1"/>
    <x v="0"/>
    <s v="Coimbatore"/>
    <s v="Sales Executive"/>
    <x v="6"/>
    <x v="3"/>
    <n v="7800"/>
    <n v="5200"/>
    <n v="7039.5"/>
    <n v="1839.5"/>
  </r>
  <r>
    <s v="ORD26060869"/>
    <x v="180"/>
    <s v="C0007"/>
    <s v="E003"/>
    <s v="P005"/>
    <n v="1"/>
    <n v="16800"/>
    <n v="0.15"/>
    <x v="1"/>
    <s v="Direct"/>
    <s v="Upi"/>
    <n v="14280"/>
    <s v="Pune"/>
    <n v="14280"/>
    <s v="Match"/>
    <x v="7"/>
    <x v="0"/>
    <s v="Hyderabad"/>
    <s v="Sales Executive"/>
    <x v="9"/>
    <x v="1"/>
    <n v="16800"/>
    <n v="12600"/>
    <n v="0"/>
    <n v="-12600"/>
  </r>
  <r>
    <s v="ORD26040870"/>
    <x v="50"/>
    <s v="C0217"/>
    <s v="E012"/>
    <s v="P010"/>
    <n v="10"/>
    <n v="3200"/>
    <n v="0"/>
    <x v="0"/>
    <s v="Website"/>
    <s v="Cash"/>
    <n v="32000"/>
    <s v="Hyderabad"/>
    <n v="32000"/>
    <s v="Match"/>
    <x v="12"/>
    <x v="1"/>
    <s v="Kolkata"/>
    <s v="Sales Executive"/>
    <x v="11"/>
    <x v="4"/>
    <n v="3200"/>
    <n v="2050"/>
    <n v="32000"/>
    <n v="11500"/>
  </r>
  <r>
    <s v="ORD26060871"/>
    <x v="127"/>
    <s v="C0211"/>
    <s v="E005"/>
    <s v="P009"/>
    <n v="8"/>
    <n v="18500"/>
    <n v="0.2"/>
    <x v="2"/>
    <s v="Direct"/>
    <s v="Upi"/>
    <n v="118400"/>
    <s v="Indore"/>
    <n v="118400"/>
    <s v="Match"/>
    <x v="3"/>
    <x v="0"/>
    <s v="Kochi"/>
    <s v="Sales Executive"/>
    <x v="5"/>
    <x v="3"/>
    <n v="18500"/>
    <n v="13900"/>
    <n v="0"/>
    <n v="-111200"/>
  </r>
  <r>
    <s v="ORD26030872"/>
    <x v="119"/>
    <s v="C0158"/>
    <s v="E014"/>
    <s v="P003"/>
    <n v="1"/>
    <n v="1890"/>
    <n v="0"/>
    <x v="1"/>
    <s v="Direct"/>
    <s v="Card"/>
    <n v="1890"/>
    <s v="Kochi"/>
    <n v="1890"/>
    <s v="Match"/>
    <x v="10"/>
    <x v="4"/>
    <s v="Indore"/>
    <s v="Sales Executive"/>
    <x v="3"/>
    <x v="0"/>
    <n v="1800"/>
    <n v="1120"/>
    <n v="0"/>
    <n v="-1120"/>
  </r>
  <r>
    <s v="ORD26010873"/>
    <x v="150"/>
    <s v="C0221"/>
    <s v="E002"/>
    <s v="P002"/>
    <n v="4"/>
    <n v="2200"/>
    <n v="0.1"/>
    <x v="0"/>
    <s v="Website"/>
    <s v="Card"/>
    <n v="7920"/>
    <s v="Kolkata"/>
    <n v="7920"/>
    <s v="Match"/>
    <x v="0"/>
    <x v="0"/>
    <s v="Bengaluru"/>
    <s v="Sales Executive"/>
    <x v="8"/>
    <x v="0"/>
    <n v="2200"/>
    <n v="1450"/>
    <n v="7920"/>
    <n v="2120"/>
  </r>
  <r>
    <s v="ORD26020874"/>
    <x v="117"/>
    <s v="C0231"/>
    <s v="E012"/>
    <s v="P003"/>
    <n v="1"/>
    <n v="1710"/>
    <n v="0"/>
    <x v="0"/>
    <s v="Website"/>
    <s v="Card"/>
    <n v="1710"/>
    <s v="Bengaluru"/>
    <n v="1710"/>
    <s v="Match"/>
    <x v="12"/>
    <x v="1"/>
    <s v="Kolkata"/>
    <s v="Sales Executive"/>
    <x v="3"/>
    <x v="0"/>
    <n v="1800"/>
    <n v="1120"/>
    <n v="1710"/>
    <n v="590"/>
  </r>
  <r>
    <s v="ORD26010875"/>
    <x v="94"/>
    <s v="C0226"/>
    <s v="E012"/>
    <s v="P003"/>
    <n v="4"/>
    <n v="1890"/>
    <n v="0"/>
    <x v="0"/>
    <s v="Direct"/>
    <s v="Card"/>
    <n v="7560"/>
    <s v="Mumbai"/>
    <n v="7560"/>
    <s v="Match"/>
    <x v="12"/>
    <x v="1"/>
    <s v="Kolkata"/>
    <s v="Sales Executive"/>
    <x v="3"/>
    <x v="0"/>
    <n v="1800"/>
    <n v="1120"/>
    <n v="7560"/>
    <n v="3080"/>
  </r>
  <r>
    <s v="ORD26030876"/>
    <x v="6"/>
    <s v="C0245"/>
    <s v="E002"/>
    <s v="P007"/>
    <n v="1"/>
    <n v="2600"/>
    <n v="0"/>
    <x v="0"/>
    <s v="Phone"/>
    <s v="Upi"/>
    <n v="2600"/>
    <s v="Chennai"/>
    <n v="2600"/>
    <s v="Match"/>
    <x v="0"/>
    <x v="0"/>
    <s v="Bengaluru"/>
    <s v="Sales Executive"/>
    <x v="10"/>
    <x v="0"/>
    <n v="2600"/>
    <n v="1750"/>
    <n v="2600"/>
    <n v="850"/>
  </r>
  <r>
    <s v="ORD26010877"/>
    <x v="94"/>
    <s v="C0193"/>
    <s v="E005"/>
    <s v="P001"/>
    <n v="3"/>
    <n v="617.5"/>
    <n v="0"/>
    <x v="0"/>
    <s v="Marketplace"/>
    <s v="Cash"/>
    <n v="1852.5"/>
    <s v="Kochi"/>
    <n v="1852.5"/>
    <s v="Match"/>
    <x v="3"/>
    <x v="0"/>
    <s v="Kochi"/>
    <s v="Sales Executive"/>
    <x v="0"/>
    <x v="0"/>
    <n v="650"/>
    <n v="390"/>
    <n v="1852.5"/>
    <n v="682.5"/>
  </r>
  <r>
    <s v="ORD26030878"/>
    <x v="84"/>
    <s v="C0123"/>
    <s v="E010"/>
    <s v="P007"/>
    <n v="2"/>
    <n v="2600"/>
    <n v="0.2"/>
    <x v="2"/>
    <s v="Marketplace"/>
    <s v="Cash"/>
    <n v="4160"/>
    <s v="Pune"/>
    <n v="4160"/>
    <s v="Match"/>
    <x v="6"/>
    <x v="3"/>
    <s v="Jaipur"/>
    <s v="Sales Executive"/>
    <x v="10"/>
    <x v="0"/>
    <n v="2600"/>
    <n v="1750"/>
    <n v="0"/>
    <n v="-3500"/>
  </r>
  <r>
    <s v="ORD26060879"/>
    <x v="100"/>
    <s v="C0072"/>
    <s v="E001"/>
    <s v="P006"/>
    <n v="5"/>
    <n v="1470"/>
    <n v="0"/>
    <x v="0"/>
    <s v="Direct"/>
    <s v="Credit"/>
    <n v="7350"/>
    <s v="Mumbai"/>
    <n v="7350"/>
    <s v="Match"/>
    <x v="14"/>
    <x v="0"/>
    <s v="Chennai"/>
    <s v="Sales Executive"/>
    <x v="4"/>
    <x v="0"/>
    <n v="1400"/>
    <n v="780"/>
    <n v="7350"/>
    <n v="3450"/>
  </r>
  <r>
    <s v="ORD26050880"/>
    <x v="120"/>
    <s v="C0212"/>
    <s v="E005"/>
    <s v="P012"/>
    <n v="4"/>
    <n v="50925"/>
    <n v="0"/>
    <x v="0"/>
    <s v="Website"/>
    <s v="Upi"/>
    <n v="203700"/>
    <s v="Kolkata"/>
    <n v="203700"/>
    <s v="Match"/>
    <x v="3"/>
    <x v="0"/>
    <s v="Kochi"/>
    <s v="Sales Executive"/>
    <x v="2"/>
    <x v="2"/>
    <n v="48500"/>
    <n v="41200"/>
    <n v="203700"/>
    <n v="38900"/>
  </r>
  <r>
    <s v="ORD26010881"/>
    <x v="169"/>
    <s v="C0120"/>
    <s v="E011"/>
    <s v="P006"/>
    <n v="5"/>
    <n v="1470"/>
    <n v="0.2"/>
    <x v="0"/>
    <s v="Phone"/>
    <s v="Cash"/>
    <n v="5880"/>
    <s v="Indore"/>
    <n v="5880"/>
    <s v="Match"/>
    <x v="11"/>
    <x v="3"/>
    <s v="Lucknow"/>
    <s v="Sales Executive"/>
    <x v="4"/>
    <x v="0"/>
    <n v="1400"/>
    <n v="780"/>
    <n v="5880"/>
    <n v="1980"/>
  </r>
  <r>
    <s v="ORD26010882"/>
    <x v="22"/>
    <s v="C0198"/>
    <s v="E006"/>
    <s v="P007"/>
    <n v="8"/>
    <n v="2470"/>
    <n v="0.1"/>
    <x v="3"/>
    <s v="Marketplace"/>
    <s v="Credit"/>
    <n v="17784"/>
    <s v="Bengaluru"/>
    <n v="17784"/>
    <s v="Match"/>
    <x v="5"/>
    <x v="2"/>
    <s v="Mumbai"/>
    <s v="Sales Executive"/>
    <x v="10"/>
    <x v="0"/>
    <n v="2600"/>
    <n v="1750"/>
    <n v="0"/>
    <n v="-14000"/>
  </r>
  <r>
    <s v="ORD26020883"/>
    <x v="5"/>
    <s v="C0255"/>
    <s v="E014"/>
    <s v="P009"/>
    <m/>
    <n v="18500"/>
    <n v="0.2"/>
    <x v="0"/>
    <s v="Direct"/>
    <s v="Bank Transfer"/>
    <n v="74000"/>
    <s v="Jaipur"/>
    <m/>
    <s v="Invalid Inputs"/>
    <x v="10"/>
    <x v="4"/>
    <s v="Indore"/>
    <s v="Sales Executive"/>
    <x v="5"/>
    <x v="3"/>
    <n v="18500"/>
    <n v="13900"/>
    <n v="0"/>
    <n v="0"/>
  </r>
  <r>
    <s v="ORD26040884"/>
    <x v="77"/>
    <s v="C0125"/>
    <s v="E003"/>
    <s v="P008"/>
    <n v="8"/>
    <n v="7800"/>
    <n v="0.1"/>
    <x v="0"/>
    <s v="Website"/>
    <s v="Card"/>
    <n v="56160"/>
    <s v="Mumbai"/>
    <n v="56160"/>
    <s v="Match"/>
    <x v="7"/>
    <x v="0"/>
    <s v="Hyderabad"/>
    <s v="Sales Executive"/>
    <x v="6"/>
    <x v="3"/>
    <n v="7800"/>
    <n v="5200"/>
    <n v="56160"/>
    <n v="14560"/>
  </r>
  <r>
    <s v="ORD26010885"/>
    <x v="81"/>
    <s v="C0113"/>
    <s v="E007"/>
    <s v="P012"/>
    <n v="1"/>
    <n v="48500"/>
    <n v="0.05"/>
    <x v="1"/>
    <s v="Marketplace"/>
    <s v="Cash"/>
    <n v="46075"/>
    <s v="Mumbai"/>
    <n v="46075"/>
    <s v="Match"/>
    <x v="4"/>
    <x v="2"/>
    <s v="Pune"/>
    <s v="Sales Executive"/>
    <x v="2"/>
    <x v="2"/>
    <n v="48500"/>
    <n v="41200"/>
    <n v="0"/>
    <n v="-41200"/>
  </r>
  <r>
    <s v="ORD26060886"/>
    <x v="31"/>
    <s v="C0115"/>
    <s v="E003"/>
    <s v="P009"/>
    <n v="3"/>
    <n v="18500"/>
    <n v="0.1"/>
    <x v="0"/>
    <s v="Direct"/>
    <s v="Bank Transfer"/>
    <n v="49950"/>
    <s v="Pune"/>
    <n v="49950"/>
    <s v="Match"/>
    <x v="7"/>
    <x v="0"/>
    <s v="Hyderabad"/>
    <s v="Sales Executive"/>
    <x v="5"/>
    <x v="3"/>
    <n v="18500"/>
    <n v="13900"/>
    <n v="49950"/>
    <n v="8250"/>
  </r>
  <r>
    <s v="ORD26040887"/>
    <x v="11"/>
    <s v="C0133"/>
    <s v="E011"/>
    <s v="P011"/>
    <n v="4"/>
    <n v="2400"/>
    <n v="0.1"/>
    <x v="0"/>
    <s v="Direct"/>
    <s v="Bank Transfer"/>
    <n v="8640"/>
    <s v="Mumbai"/>
    <n v="8640"/>
    <s v="Match"/>
    <x v="11"/>
    <x v="3"/>
    <s v="Lucknow"/>
    <s v="Sales Executive"/>
    <x v="7"/>
    <x v="4"/>
    <n v="2400"/>
    <n v="1480"/>
    <n v="8640"/>
    <n v="2720"/>
  </r>
  <r>
    <s v="ORD26010888"/>
    <x v="106"/>
    <s v="C0189"/>
    <s v="E002"/>
    <s v="P006"/>
    <n v="4"/>
    <n v="1330"/>
    <n v="0"/>
    <x v="0"/>
    <s v="Website"/>
    <s v="Bank Transfer"/>
    <n v="5320"/>
    <s v="Pune"/>
    <n v="5320"/>
    <s v="Match"/>
    <x v="0"/>
    <x v="0"/>
    <s v="Bengaluru"/>
    <s v="Sales Executive"/>
    <x v="4"/>
    <x v="0"/>
    <n v="1400"/>
    <n v="780"/>
    <n v="5320"/>
    <n v="2200"/>
  </r>
  <r>
    <s v="ORD26050889"/>
    <x v="45"/>
    <s v="C0217"/>
    <s v="E012"/>
    <s v="P001"/>
    <n v="2"/>
    <n v="682.5"/>
    <n v="0.15"/>
    <x v="0"/>
    <s v="Marketplace"/>
    <s v="Bank Transfer"/>
    <n v="1160.25"/>
    <s v="Delhi"/>
    <n v="1160.25"/>
    <s v="Match"/>
    <x v="12"/>
    <x v="1"/>
    <s v="Kolkata"/>
    <s v="Sales Executive"/>
    <x v="0"/>
    <x v="0"/>
    <n v="650"/>
    <n v="390"/>
    <n v="1160.25"/>
    <n v="380.25"/>
  </r>
  <r>
    <s v="ORD26050890"/>
    <x v="144"/>
    <s v="C0162"/>
    <s v="E011"/>
    <s v="P010"/>
    <n v="3"/>
    <n v="3360"/>
    <n v="0"/>
    <x v="0"/>
    <s v="Website"/>
    <s v="Bank Transfer"/>
    <n v="10080"/>
    <s v="Bengaluru"/>
    <n v="10080"/>
    <s v="Match"/>
    <x v="11"/>
    <x v="3"/>
    <s v="Lucknow"/>
    <s v="Sales Executive"/>
    <x v="11"/>
    <x v="4"/>
    <n v="3200"/>
    <n v="2050"/>
    <n v="10080"/>
    <n v="3930"/>
  </r>
  <r>
    <s v="ORD26050891"/>
    <x v="140"/>
    <s v="C0164"/>
    <s v="E011"/>
    <s v="P008"/>
    <n v="1"/>
    <n v="7410"/>
    <n v="0.05"/>
    <x v="0"/>
    <s v="Marketplace"/>
    <s v="Card"/>
    <n v="7039.5"/>
    <s v="Mumbai"/>
    <n v="7039.5"/>
    <s v="Match"/>
    <x v="11"/>
    <x v="3"/>
    <s v="Lucknow"/>
    <s v="Sales Executive"/>
    <x v="6"/>
    <x v="3"/>
    <n v="7800"/>
    <n v="5200"/>
    <n v="7039.5"/>
    <n v="1839.5"/>
  </r>
  <r>
    <s v="ORD26030892"/>
    <x v="78"/>
    <s v="C0150"/>
    <s v="E014"/>
    <s v="P012"/>
    <n v="3"/>
    <n v="50925"/>
    <n v="0.2"/>
    <x v="0"/>
    <s v="Phone"/>
    <s v="Upi"/>
    <n v="122220"/>
    <s v="Kolkata"/>
    <n v="122220"/>
    <s v="Match"/>
    <x v="10"/>
    <x v="4"/>
    <s v="Indore"/>
    <s v="Sales Executive"/>
    <x v="2"/>
    <x v="2"/>
    <n v="48500"/>
    <n v="41200"/>
    <n v="122220"/>
    <n v="-1380"/>
  </r>
  <r>
    <s v="ORD26020893"/>
    <x v="107"/>
    <s v="C0027"/>
    <s v="E014"/>
    <s v="P012"/>
    <n v="1"/>
    <n v="48500"/>
    <n v="0.2"/>
    <x v="1"/>
    <s v="Website"/>
    <s v="Cash"/>
    <n v="38800"/>
    <s v="Pune"/>
    <n v="38800"/>
    <s v="Match"/>
    <x v="10"/>
    <x v="4"/>
    <s v="Indore"/>
    <s v="Sales Executive"/>
    <x v="2"/>
    <x v="2"/>
    <n v="48500"/>
    <n v="41200"/>
    <n v="0"/>
    <n v="-41200"/>
  </r>
  <r>
    <s v="ORD26030894"/>
    <x v="71"/>
    <s v="C0173"/>
    <s v="E014"/>
    <s v="P011"/>
    <n v="5"/>
    <n v="2520"/>
    <n v="0"/>
    <x v="3"/>
    <s v="Phone"/>
    <s v="Cash"/>
    <n v="12600"/>
    <s v="Kolkata"/>
    <n v="12600"/>
    <s v="Match"/>
    <x v="10"/>
    <x v="4"/>
    <s v="Indore"/>
    <s v="Sales Executive"/>
    <x v="7"/>
    <x v="4"/>
    <n v="2400"/>
    <n v="1480"/>
    <n v="0"/>
    <n v="-7400"/>
  </r>
  <r>
    <s v="ORD26040895"/>
    <x v="173"/>
    <s v="C0202"/>
    <s v="E007"/>
    <s v="P002"/>
    <n v="2"/>
    <n v="2200"/>
    <n v="0.05"/>
    <x v="0"/>
    <s v="Direct"/>
    <s v="Card"/>
    <n v="4180"/>
    <s v="Kolkata"/>
    <n v="4180"/>
    <s v="Match"/>
    <x v="4"/>
    <x v="2"/>
    <s v="Pune"/>
    <s v="Sales Executive"/>
    <x v="8"/>
    <x v="0"/>
    <n v="2200"/>
    <n v="1450"/>
    <n v="4180"/>
    <n v="1280"/>
  </r>
  <r>
    <s v="ORD26050896"/>
    <x v="23"/>
    <s v="C0071"/>
    <s v="E014"/>
    <s v="P001"/>
    <n v="4"/>
    <n v="650"/>
    <n v="0.2"/>
    <x v="0"/>
    <s v="Phone"/>
    <s v="Cash"/>
    <n v="2080"/>
    <s v="Hyderabad"/>
    <n v="2080"/>
    <s v="Match"/>
    <x v="10"/>
    <x v="4"/>
    <s v="Indore"/>
    <s v="Sales Executive"/>
    <x v="0"/>
    <x v="0"/>
    <n v="650"/>
    <n v="390"/>
    <n v="2080"/>
    <n v="520"/>
  </r>
  <r>
    <s v="ORD26020897"/>
    <x v="92"/>
    <s v="C0186"/>
    <s v="E004"/>
    <s v="P004"/>
    <n v="4"/>
    <n v="10640"/>
    <n v="0"/>
    <x v="0"/>
    <s v="Direct"/>
    <s v="Card"/>
    <n v="42560"/>
    <s v="Pune"/>
    <n v="42560"/>
    <s v="Match"/>
    <x v="1"/>
    <x v="0"/>
    <s v="Coimbatore"/>
    <s v="Sales Executive"/>
    <x v="1"/>
    <x v="1"/>
    <n v="11200"/>
    <n v="8300"/>
    <n v="42560"/>
    <n v="9360"/>
  </r>
  <r>
    <s v="ORD26040898"/>
    <x v="164"/>
    <s v="C0092"/>
    <s v="E011"/>
    <s v="P003"/>
    <n v="8"/>
    <n v="1890"/>
    <n v="0"/>
    <x v="0"/>
    <s v="Direct"/>
    <s v="Upi"/>
    <n v="15120"/>
    <s v="Jaipur"/>
    <n v="15120"/>
    <s v="Match"/>
    <x v="11"/>
    <x v="3"/>
    <s v="Lucknow"/>
    <s v="Sales Executive"/>
    <x v="3"/>
    <x v="0"/>
    <n v="1800"/>
    <n v="1120"/>
    <n v="15120"/>
    <n v="6160"/>
  </r>
  <r>
    <s v="ORD26060899"/>
    <x v="52"/>
    <s v="C0126"/>
    <s v="E006"/>
    <s v="P010"/>
    <n v="2"/>
    <n v="3360"/>
    <n v="0"/>
    <x v="0"/>
    <s v="Direct"/>
    <s v="Upi"/>
    <n v="6720"/>
    <s v="Bengaluru"/>
    <n v="6720"/>
    <s v="Match"/>
    <x v="5"/>
    <x v="2"/>
    <s v="Mumbai"/>
    <s v="Sales Executive"/>
    <x v="11"/>
    <x v="4"/>
    <n v="3200"/>
    <n v="2050"/>
    <n v="6720"/>
    <n v="2620"/>
  </r>
  <r>
    <s v="ORD26040900"/>
    <x v="50"/>
    <s v="C0046"/>
    <s v="E008"/>
    <s v="P005"/>
    <n v="3"/>
    <n v="17640"/>
    <n v="0"/>
    <x v="0"/>
    <s v="Phone"/>
    <s v="Cash"/>
    <n v="52920"/>
    <s v="Hyderabad"/>
    <n v="52920"/>
    <s v="Match"/>
    <x v="8"/>
    <x v="2"/>
    <s v="Ahmedabad"/>
    <s v="Sales Executive"/>
    <x v="9"/>
    <x v="1"/>
    <n v="16800"/>
    <n v="12600"/>
    <n v="52920"/>
    <n v="15120"/>
  </r>
  <r>
    <s v="ORD26060901"/>
    <x v="136"/>
    <s v="C0251"/>
    <s v="E011"/>
    <s v="P008"/>
    <n v="2"/>
    <n v="7410"/>
    <n v="0"/>
    <x v="0"/>
    <s v="Website"/>
    <s v="Upi"/>
    <n v="14820"/>
    <s v="Indore"/>
    <n v="14820"/>
    <s v="Match"/>
    <x v="11"/>
    <x v="3"/>
    <s v="Lucknow"/>
    <s v="Sales Executive"/>
    <x v="6"/>
    <x v="3"/>
    <n v="7800"/>
    <n v="5200"/>
    <n v="14820"/>
    <n v="4420"/>
  </r>
  <r>
    <s v="ORD26050902"/>
    <x v="135"/>
    <s v="C0197"/>
    <s v="E010"/>
    <s v="P008"/>
    <n v="1"/>
    <n v="7800"/>
    <n v="0.2"/>
    <x v="0"/>
    <s v="Phone"/>
    <s v="Cash"/>
    <n v="6240"/>
    <s v="Hyderabad"/>
    <n v="6240"/>
    <s v="Match"/>
    <x v="6"/>
    <x v="3"/>
    <s v="Jaipur"/>
    <s v="Sales Executive"/>
    <x v="6"/>
    <x v="3"/>
    <n v="7800"/>
    <n v="5200"/>
    <n v="6240"/>
    <n v="1040"/>
  </r>
  <r>
    <s v="ORD26050903"/>
    <x v="135"/>
    <s v="C0208"/>
    <s v="E003"/>
    <s v="P002"/>
    <n v="2"/>
    <n v="2200"/>
    <n v="0.2"/>
    <x v="1"/>
    <s v="Direct"/>
    <s v="Cash"/>
    <n v="3520"/>
    <s v="Jaipur"/>
    <n v="3520"/>
    <s v="Match"/>
    <x v="7"/>
    <x v="0"/>
    <s v="Hyderabad"/>
    <s v="Sales Executive"/>
    <x v="8"/>
    <x v="0"/>
    <n v="2200"/>
    <n v="1450"/>
    <n v="0"/>
    <n v="-2900"/>
  </r>
  <r>
    <s v="ORD26050904"/>
    <x v="18"/>
    <s v="C0107"/>
    <s v="E013"/>
    <s v="P009"/>
    <n v="2"/>
    <n v="17575"/>
    <n v="0.15"/>
    <x v="2"/>
    <s v="Direct"/>
    <s v="Card"/>
    <n v="29877.5"/>
    <s v="Indore"/>
    <n v="29877.5"/>
    <s v="Match"/>
    <x v="2"/>
    <x v="1"/>
    <s v="Bhubaneswar"/>
    <s v="Sales Executive"/>
    <x v="5"/>
    <x v="3"/>
    <n v="18500"/>
    <n v="13900"/>
    <n v="0"/>
    <n v="-27800"/>
  </r>
  <r>
    <s v="ORD26060905"/>
    <x v="127"/>
    <s v="C0106"/>
    <s v="E003"/>
    <s v="P001"/>
    <n v="3"/>
    <n v="650"/>
    <n v="0.05"/>
    <x v="0"/>
    <s v="Website"/>
    <s v="Upi"/>
    <n v="1852.5"/>
    <s v="Jaipur"/>
    <n v="1852.5"/>
    <s v="Match"/>
    <x v="7"/>
    <x v="0"/>
    <s v="Hyderabad"/>
    <s v="Sales Executive"/>
    <x v="0"/>
    <x v="0"/>
    <n v="650"/>
    <n v="390"/>
    <n v="1852.5"/>
    <n v="682.5"/>
  </r>
  <r>
    <s v="ORD26030906"/>
    <x v="160"/>
    <s v="C0088"/>
    <s v="E014"/>
    <s v="P001"/>
    <n v="1"/>
    <n v="650"/>
    <n v="0"/>
    <x v="0"/>
    <s v="Phone"/>
    <s v="Upi"/>
    <n v="650"/>
    <s v="Bengaluru"/>
    <n v="650"/>
    <s v="Match"/>
    <x v="10"/>
    <x v="4"/>
    <s v="Indore"/>
    <s v="Sales Executive"/>
    <x v="0"/>
    <x v="0"/>
    <n v="650"/>
    <n v="390"/>
    <n v="650"/>
    <n v="260"/>
  </r>
  <r>
    <s v="ORD26030907"/>
    <x v="71"/>
    <s v="C0072"/>
    <s v="E001"/>
    <s v="P009"/>
    <n v="5"/>
    <n v="19425"/>
    <n v="0.05"/>
    <x v="0"/>
    <s v="Phone"/>
    <s v="Bank Transfer"/>
    <n v="92268.75"/>
    <s v="Jaipur"/>
    <n v="92268.75"/>
    <s v="Match"/>
    <x v="14"/>
    <x v="0"/>
    <s v="Chennai"/>
    <s v="Sales Executive"/>
    <x v="5"/>
    <x v="3"/>
    <n v="18500"/>
    <n v="13900"/>
    <n v="92268.75"/>
    <n v="22768.75"/>
  </r>
  <r>
    <s v="ORD26040908"/>
    <x v="57"/>
    <s v="C0122"/>
    <s v="E010"/>
    <s v="P009"/>
    <n v="2"/>
    <n v="17575"/>
    <n v="0.2"/>
    <x v="0"/>
    <s v="Direct"/>
    <s v="Card"/>
    <n v="28120"/>
    <s v="Delhi"/>
    <n v="28120"/>
    <s v="Match"/>
    <x v="6"/>
    <x v="3"/>
    <s v="Jaipur"/>
    <s v="Sales Executive"/>
    <x v="5"/>
    <x v="3"/>
    <n v="18500"/>
    <n v="13900"/>
    <n v="28120"/>
    <n v="320"/>
  </r>
  <r>
    <s v="ORD26030909"/>
    <x v="71"/>
    <s v="C0143"/>
    <s v="E014"/>
    <s v="P004"/>
    <n v="8"/>
    <n v="11200"/>
    <n v="0.15"/>
    <x v="0"/>
    <s v="Website"/>
    <s v="Credit"/>
    <n v="76160"/>
    <s v="Pune"/>
    <n v="76160"/>
    <s v="Match"/>
    <x v="10"/>
    <x v="4"/>
    <s v="Indore"/>
    <s v="Sales Executive"/>
    <x v="1"/>
    <x v="1"/>
    <n v="11200"/>
    <n v="8300"/>
    <n v="76160"/>
    <n v="9760"/>
  </r>
  <r>
    <s v="ORD26010910"/>
    <x v="74"/>
    <s v="C0234"/>
    <s v="E009"/>
    <s v="P005"/>
    <n v="1"/>
    <n v="17640"/>
    <n v="0.2"/>
    <x v="1"/>
    <s v="Direct"/>
    <s v="Bank Transfer"/>
    <n v="14112"/>
    <s v="Pune"/>
    <n v="14112"/>
    <s v="Match"/>
    <x v="13"/>
    <x v="3"/>
    <s v="Delhi"/>
    <s v="Sales Executive"/>
    <x v="9"/>
    <x v="1"/>
    <n v="16800"/>
    <n v="12600"/>
    <n v="0"/>
    <n v="-12600"/>
  </r>
  <r>
    <s v="ORD26060911"/>
    <x v="127"/>
    <s v="C0191"/>
    <s v="E003"/>
    <s v="P009"/>
    <n v="1"/>
    <n v="18500"/>
    <n v="0.2"/>
    <x v="0"/>
    <s v="Website"/>
    <s v="Cash"/>
    <n v="14800"/>
    <s v="Delhi"/>
    <n v="14800"/>
    <s v="Match"/>
    <x v="7"/>
    <x v="0"/>
    <s v="Hyderabad"/>
    <s v="Sales Executive"/>
    <x v="5"/>
    <x v="3"/>
    <n v="18500"/>
    <n v="13900"/>
    <n v="14800"/>
    <n v="900"/>
  </r>
  <r>
    <s v="ORD26030912"/>
    <x v="114"/>
    <s v="C0064"/>
    <s v="E013"/>
    <s v="P007"/>
    <n v="2"/>
    <n v="2600"/>
    <n v="0.15"/>
    <x v="0"/>
    <s v="Direct"/>
    <s v="Credit"/>
    <n v="4420"/>
    <s v="Pune"/>
    <n v="4420"/>
    <s v="Match"/>
    <x v="2"/>
    <x v="1"/>
    <s v="Bhubaneswar"/>
    <s v="Sales Executive"/>
    <x v="10"/>
    <x v="0"/>
    <n v="2600"/>
    <n v="1750"/>
    <n v="4420"/>
    <n v="920"/>
  </r>
  <r>
    <s v="ORD26010913"/>
    <x v="15"/>
    <s v="C0116"/>
    <s v="E006"/>
    <s v="P011"/>
    <n v="1"/>
    <n v="2400"/>
    <n v="0.05"/>
    <x v="0"/>
    <s v="Marketplace"/>
    <s v="Upi"/>
    <n v="2280"/>
    <s v="Mumbai"/>
    <n v="2280"/>
    <s v="Match"/>
    <x v="5"/>
    <x v="2"/>
    <s v="Mumbai"/>
    <s v="Sales Executive"/>
    <x v="7"/>
    <x v="4"/>
    <n v="2400"/>
    <n v="1480"/>
    <n v="2280"/>
    <n v="800"/>
  </r>
  <r>
    <s v="ORD26040914"/>
    <x v="97"/>
    <s v="C0251"/>
    <s v="E004"/>
    <s v="P007"/>
    <n v="8"/>
    <n v="2600"/>
    <n v="0"/>
    <x v="0"/>
    <s v="Direct"/>
    <s v="Credit"/>
    <n v="20800"/>
    <s v="Kolkata"/>
    <n v="20800"/>
    <s v="Match"/>
    <x v="1"/>
    <x v="0"/>
    <s v="Coimbatore"/>
    <s v="Sales Executive"/>
    <x v="10"/>
    <x v="0"/>
    <n v="2600"/>
    <n v="1750"/>
    <n v="20800"/>
    <n v="6800"/>
  </r>
  <r>
    <s v="ORD26060915"/>
    <x v="86"/>
    <s v="Unknown"/>
    <s v="E010"/>
    <s v="P005"/>
    <n v="3"/>
    <n v="15960"/>
    <n v="0.15"/>
    <x v="0"/>
    <s v="Marketplace"/>
    <s v="Cash"/>
    <n v="40698"/>
    <s v="Delhi"/>
    <n v="40698"/>
    <s v="Match"/>
    <x v="6"/>
    <x v="3"/>
    <s v="Jaipur"/>
    <s v="Sales Executive"/>
    <x v="9"/>
    <x v="1"/>
    <n v="16800"/>
    <n v="12600"/>
    <n v="40698"/>
    <n v="2898"/>
  </r>
  <r>
    <s v="ORD26030916"/>
    <x v="119"/>
    <s v="C0245"/>
    <s v="E013"/>
    <s v="P012"/>
    <n v="3"/>
    <n v="50925"/>
    <n v="0.15"/>
    <x v="0"/>
    <s v="Website"/>
    <s v="Bank Transfer"/>
    <n v="129858.75"/>
    <s v="Chennai"/>
    <n v="129858.75"/>
    <s v="Match"/>
    <x v="2"/>
    <x v="1"/>
    <s v="Bhubaneswar"/>
    <s v="Sales Executive"/>
    <x v="2"/>
    <x v="2"/>
    <n v="48500"/>
    <n v="41200"/>
    <n v="129858.75"/>
    <n v="6258.75"/>
  </r>
  <r>
    <s v="ORD26060917"/>
    <x v="85"/>
    <s v="C0028"/>
    <s v="E009"/>
    <s v="P012"/>
    <n v="1"/>
    <n v="48500"/>
    <n v="0"/>
    <x v="0"/>
    <s v="Marketplace"/>
    <s v="Card"/>
    <n v="48500"/>
    <s v="Indore"/>
    <n v="48500"/>
    <s v="Match"/>
    <x v="13"/>
    <x v="3"/>
    <s v="Delhi"/>
    <s v="Sales Executive"/>
    <x v="2"/>
    <x v="2"/>
    <n v="48500"/>
    <n v="41200"/>
    <n v="48500"/>
    <n v="7300"/>
  </r>
  <r>
    <s v="ORD26040918"/>
    <x v="170"/>
    <s v="C0142"/>
    <s v="E012"/>
    <s v="P008"/>
    <n v="1"/>
    <n v="7800"/>
    <n v="0.05"/>
    <x v="0"/>
    <s v="Phone"/>
    <s v="Credit"/>
    <n v="7410"/>
    <s v="Bengaluru"/>
    <n v="7410"/>
    <s v="Match"/>
    <x v="12"/>
    <x v="1"/>
    <s v="Kolkata"/>
    <s v="Sales Executive"/>
    <x v="6"/>
    <x v="3"/>
    <n v="7800"/>
    <n v="5200"/>
    <n v="7410"/>
    <n v="2210"/>
  </r>
  <r>
    <s v="ORD26030919"/>
    <x v="151"/>
    <s v="C0041"/>
    <s v="E011"/>
    <s v="P002"/>
    <n v="8"/>
    <n v="2090"/>
    <n v="0.1"/>
    <x v="0"/>
    <s v="Direct"/>
    <s v="Card"/>
    <n v="15048"/>
    <s v="Mumbai"/>
    <n v="15048"/>
    <s v="Match"/>
    <x v="11"/>
    <x v="3"/>
    <s v="Lucknow"/>
    <s v="Sales Executive"/>
    <x v="8"/>
    <x v="0"/>
    <n v="2200"/>
    <n v="1450"/>
    <n v="15048"/>
    <n v="3448"/>
  </r>
  <r>
    <s v="ORD26020920"/>
    <x v="174"/>
    <s v="C0006"/>
    <s v="E010"/>
    <s v="P001"/>
    <n v="1"/>
    <n v="682.5"/>
    <n v="0.05"/>
    <x v="0"/>
    <s v="Phone"/>
    <s v="Credit"/>
    <n v="648.38"/>
    <s v="Delhi"/>
    <n v="648.375"/>
    <s v="Match"/>
    <x v="6"/>
    <x v="3"/>
    <s v="Jaipur"/>
    <s v="Sales Executive"/>
    <x v="0"/>
    <x v="0"/>
    <n v="650"/>
    <n v="390"/>
    <n v="648.375"/>
    <n v="258.375"/>
  </r>
  <r>
    <s v="ORD26050921"/>
    <x v="162"/>
    <s v="C0208"/>
    <s v="E008"/>
    <s v="P009"/>
    <n v="3"/>
    <n v="17575"/>
    <n v="0.2"/>
    <x v="2"/>
    <s v="Direct"/>
    <s v="Credit"/>
    <n v="42180"/>
    <s v="Bengaluru"/>
    <n v="42180"/>
    <s v="Match"/>
    <x v="8"/>
    <x v="2"/>
    <s v="Ahmedabad"/>
    <s v="Sales Executive"/>
    <x v="5"/>
    <x v="3"/>
    <n v="18500"/>
    <n v="13900"/>
    <n v="0"/>
    <n v="-41700"/>
  </r>
  <r>
    <s v="ORD26010922"/>
    <x v="3"/>
    <s v="C0230"/>
    <s v="E012"/>
    <s v="P007"/>
    <n v="3"/>
    <n v="2470"/>
    <n v="0.2"/>
    <x v="0"/>
    <s v="Website"/>
    <s v="Credit"/>
    <n v="5928"/>
    <s v="Bengaluru"/>
    <n v="5928"/>
    <s v="Match"/>
    <x v="12"/>
    <x v="1"/>
    <s v="Kolkata"/>
    <s v="Sales Executive"/>
    <x v="10"/>
    <x v="0"/>
    <n v="2600"/>
    <n v="1750"/>
    <n v="5928"/>
    <n v="678"/>
  </r>
  <r>
    <s v="ORD26020923"/>
    <x v="153"/>
    <s v="C0217"/>
    <s v="E002"/>
    <s v="P006"/>
    <n v="4"/>
    <n v="1330"/>
    <n v="0.15"/>
    <x v="0"/>
    <s v="Phone"/>
    <s v="Cash"/>
    <n v="4522"/>
    <s v="Delhi"/>
    <n v="4522"/>
    <s v="Match"/>
    <x v="0"/>
    <x v="0"/>
    <s v="Bengaluru"/>
    <s v="Sales Executive"/>
    <x v="4"/>
    <x v="0"/>
    <n v="1400"/>
    <n v="780"/>
    <n v="4522"/>
    <n v="1402"/>
  </r>
  <r>
    <s v="ORD26040924"/>
    <x v="122"/>
    <s v="C0149"/>
    <s v="E002"/>
    <s v="P006"/>
    <n v="5"/>
    <n v="1330"/>
    <n v="0"/>
    <x v="2"/>
    <s v="Marketplace"/>
    <s v="Cash"/>
    <n v="6650"/>
    <s v="Hyderabad"/>
    <n v="6650"/>
    <s v="Match"/>
    <x v="0"/>
    <x v="0"/>
    <s v="Bengaluru"/>
    <s v="Sales Executive"/>
    <x v="4"/>
    <x v="0"/>
    <n v="1400"/>
    <n v="780"/>
    <n v="0"/>
    <n v="-3900"/>
  </r>
  <r>
    <s v="ORD26030925"/>
    <x v="24"/>
    <s v="C0019"/>
    <s v="E004"/>
    <s v="P001"/>
    <n v="4"/>
    <n v="650"/>
    <n v="0.15"/>
    <x v="0"/>
    <s v="Phone"/>
    <s v="Credit"/>
    <n v="2210"/>
    <s v="Kochi"/>
    <n v="2210"/>
    <s v="Match"/>
    <x v="1"/>
    <x v="0"/>
    <s v="Coimbatore"/>
    <s v="Sales Executive"/>
    <x v="0"/>
    <x v="0"/>
    <n v="650"/>
    <n v="390"/>
    <n v="2210"/>
    <n v="650"/>
  </r>
  <r>
    <s v="ORD26010926"/>
    <x v="21"/>
    <s v="C0003"/>
    <s v="E006"/>
    <s v="P001"/>
    <n v="3"/>
    <n v="617.5"/>
    <n v="0.05"/>
    <x v="0"/>
    <s v="Marketplace"/>
    <s v="Card"/>
    <n v="1759.88"/>
    <s v="Pune"/>
    <n v="1759.875"/>
    <s v="Match"/>
    <x v="5"/>
    <x v="2"/>
    <s v="Mumbai"/>
    <s v="Sales Executive"/>
    <x v="0"/>
    <x v="0"/>
    <n v="650"/>
    <n v="390"/>
    <n v="1759.875"/>
    <n v="589.875"/>
  </r>
  <r>
    <s v="ORD26040927"/>
    <x v="57"/>
    <s v="C0211"/>
    <s v="E001"/>
    <s v="P002"/>
    <n v="2"/>
    <n v="2200"/>
    <n v="0"/>
    <x v="0"/>
    <s v="Direct"/>
    <s v="Cash"/>
    <n v="4400"/>
    <s v="Chennai"/>
    <n v="4400"/>
    <s v="Match"/>
    <x v="14"/>
    <x v="0"/>
    <s v="Chennai"/>
    <s v="Sales Executive"/>
    <x v="8"/>
    <x v="0"/>
    <n v="2200"/>
    <n v="1450"/>
    <n v="4400"/>
    <n v="1500"/>
  </r>
  <r>
    <s v="ORD26020928"/>
    <x v="107"/>
    <s v="C0187"/>
    <s v="E013"/>
    <s v="P011"/>
    <n v="1"/>
    <n v="2400"/>
    <n v="0.1"/>
    <x v="0"/>
    <s v="Phone"/>
    <s v="Card"/>
    <n v="2160"/>
    <s v="Jaipur"/>
    <n v="2160"/>
    <s v="Match"/>
    <x v="2"/>
    <x v="1"/>
    <s v="Bhubaneswar"/>
    <s v="Sales Executive"/>
    <x v="7"/>
    <x v="4"/>
    <n v="2400"/>
    <n v="1480"/>
    <n v="2160"/>
    <n v="680"/>
  </r>
  <r>
    <s v="ORD26030929"/>
    <x v="69"/>
    <s v="C0223"/>
    <s v="E002"/>
    <s v="P008"/>
    <n v="3"/>
    <n v="7800"/>
    <n v="0.1"/>
    <x v="0"/>
    <s v="Direct"/>
    <s v="Bank Transfer"/>
    <n v="21060"/>
    <s v="Bengaluru"/>
    <n v="21060"/>
    <s v="Match"/>
    <x v="0"/>
    <x v="0"/>
    <s v="Bengaluru"/>
    <s v="Sales Executive"/>
    <x v="6"/>
    <x v="3"/>
    <n v="7800"/>
    <n v="5200"/>
    <n v="21060"/>
    <n v="5460"/>
  </r>
  <r>
    <s v="ORD26010930"/>
    <x v="14"/>
    <s v="C0017"/>
    <s v="E004"/>
    <s v="P005"/>
    <n v="1"/>
    <n v="16800"/>
    <n v="0.1"/>
    <x v="0"/>
    <s v="Website"/>
    <s v="Card"/>
    <n v="15120"/>
    <s v="Kochi"/>
    <n v="15120"/>
    <s v="Match"/>
    <x v="1"/>
    <x v="0"/>
    <s v="Coimbatore"/>
    <s v="Sales Executive"/>
    <x v="9"/>
    <x v="1"/>
    <n v="16800"/>
    <n v="12600"/>
    <n v="15120"/>
    <n v="2520"/>
  </r>
  <r>
    <s v="ORD26060931"/>
    <x v="31"/>
    <s v="C0167"/>
    <s v="E005"/>
    <s v="P002"/>
    <n v="2"/>
    <n v="2200"/>
    <n v="0.15"/>
    <x v="0"/>
    <s v="Phone"/>
    <s v="Credit"/>
    <n v="3740"/>
    <s v="Pune"/>
    <n v="3740"/>
    <s v="Match"/>
    <x v="3"/>
    <x v="0"/>
    <s v="Kochi"/>
    <s v="Sales Executive"/>
    <x v="8"/>
    <x v="0"/>
    <n v="2200"/>
    <n v="1450"/>
    <n v="3740"/>
    <n v="840"/>
  </r>
  <r>
    <s v="ORD26020932"/>
    <x v="176"/>
    <s v="C0122"/>
    <s v="E002"/>
    <s v="P002"/>
    <n v="4"/>
    <n v="2090"/>
    <n v="0"/>
    <x v="0"/>
    <s v="Direct"/>
    <s v="Card"/>
    <n v="8360"/>
    <s v="Pune"/>
    <n v="8360"/>
    <s v="Match"/>
    <x v="0"/>
    <x v="0"/>
    <s v="Bengaluru"/>
    <s v="Sales Executive"/>
    <x v="8"/>
    <x v="0"/>
    <n v="2200"/>
    <n v="1450"/>
    <n v="8360"/>
    <n v="2560"/>
  </r>
  <r>
    <s v="ORD26060933"/>
    <x v="13"/>
    <s v="C0220"/>
    <s v="E012"/>
    <s v="P001"/>
    <n v="2"/>
    <n v="617.5"/>
    <n v="0.05"/>
    <x v="0"/>
    <s v="Website"/>
    <s v="Credit"/>
    <n v="1173.25"/>
    <s v="Delhi"/>
    <n v="1173.25"/>
    <s v="Match"/>
    <x v="12"/>
    <x v="1"/>
    <s v="Kolkata"/>
    <s v="Sales Executive"/>
    <x v="0"/>
    <x v="0"/>
    <n v="650"/>
    <n v="390"/>
    <n v="1173.25"/>
    <n v="393.25"/>
  </r>
  <r>
    <s v="ORD26050934"/>
    <x v="12"/>
    <s v="C0220"/>
    <s v="E003"/>
    <s v="P004"/>
    <n v="1"/>
    <n v="11200"/>
    <n v="0"/>
    <x v="2"/>
    <s v="Website"/>
    <s v="Cash"/>
    <n v="11200"/>
    <s v="Mumbai"/>
    <n v="11200"/>
    <s v="Match"/>
    <x v="7"/>
    <x v="0"/>
    <s v="Hyderabad"/>
    <s v="Sales Executive"/>
    <x v="1"/>
    <x v="1"/>
    <n v="11200"/>
    <n v="8300"/>
    <n v="0"/>
    <n v="-8300"/>
  </r>
  <r>
    <s v="ORD26060935"/>
    <x v="86"/>
    <s v="C0118"/>
    <s v="E012"/>
    <s v="P009"/>
    <n v="3"/>
    <n v="18500"/>
    <n v="0"/>
    <x v="3"/>
    <s v="Direct"/>
    <s v="Card"/>
    <n v="55500"/>
    <s v="Pune"/>
    <n v="55500"/>
    <s v="Match"/>
    <x v="12"/>
    <x v="1"/>
    <s v="Kolkata"/>
    <s v="Sales Executive"/>
    <x v="5"/>
    <x v="3"/>
    <n v="18500"/>
    <n v="13900"/>
    <n v="0"/>
    <n v="-41700"/>
  </r>
  <r>
    <s v="ORD26010936"/>
    <x v="33"/>
    <s v="C0047"/>
    <s v="E005"/>
    <s v="P004"/>
    <n v="8"/>
    <n v="11200"/>
    <n v="0.1"/>
    <x v="0"/>
    <s v="Direct"/>
    <s v="Cash"/>
    <n v="80640"/>
    <s v="Pune"/>
    <n v="80640"/>
    <s v="Match"/>
    <x v="3"/>
    <x v="0"/>
    <s v="Kochi"/>
    <s v="Sales Executive"/>
    <x v="1"/>
    <x v="1"/>
    <n v="11200"/>
    <n v="8300"/>
    <n v="80640"/>
    <n v="14240"/>
  </r>
  <r>
    <s v="ORD26050937"/>
    <x v="87"/>
    <s v="C0246"/>
    <s v="E005"/>
    <s v="P012"/>
    <n v="3"/>
    <n v="50925"/>
    <n v="0"/>
    <x v="0"/>
    <s v="Direct"/>
    <s v="Credit"/>
    <n v="152775"/>
    <s v="Pune"/>
    <n v="152775"/>
    <s v="Match"/>
    <x v="3"/>
    <x v="0"/>
    <s v="Kochi"/>
    <s v="Sales Executive"/>
    <x v="2"/>
    <x v="2"/>
    <n v="48500"/>
    <n v="41200"/>
    <n v="152775"/>
    <n v="29175"/>
  </r>
  <r>
    <s v="ORD26060938"/>
    <x v="101"/>
    <s v="C0215"/>
    <s v="E001"/>
    <s v="P005"/>
    <n v="1"/>
    <n v="16800"/>
    <n v="0.05"/>
    <x v="0"/>
    <s v="Website"/>
    <s v="Bank Transfer"/>
    <n v="15960"/>
    <s v="Chennai"/>
    <n v="15960"/>
    <s v="Match"/>
    <x v="14"/>
    <x v="0"/>
    <s v="Chennai"/>
    <s v="Sales Executive"/>
    <x v="9"/>
    <x v="1"/>
    <n v="16800"/>
    <n v="12600"/>
    <n v="15960"/>
    <n v="3360"/>
  </r>
  <r>
    <s v="ORD26020939"/>
    <x v="54"/>
    <s v="C0242"/>
    <s v="E001"/>
    <s v="P001"/>
    <n v="1"/>
    <n v="650"/>
    <n v="0.2"/>
    <x v="0"/>
    <s v="Marketplace"/>
    <s v="Credit"/>
    <n v="520"/>
    <s v="Unknown"/>
    <n v="520"/>
    <s v="Match"/>
    <x v="14"/>
    <x v="0"/>
    <s v="Chennai"/>
    <s v="Sales Executive"/>
    <x v="0"/>
    <x v="0"/>
    <n v="650"/>
    <n v="390"/>
    <n v="520"/>
    <n v="130"/>
  </r>
  <r>
    <s v="ORD26040940"/>
    <x v="175"/>
    <s v="C0050"/>
    <s v="E003"/>
    <s v="P005"/>
    <n v="8"/>
    <n v="15960"/>
    <n v="0.05"/>
    <x v="0"/>
    <s v="Direct"/>
    <s v="Credit"/>
    <n v="121296"/>
    <s v="Delhi"/>
    <n v="121296"/>
    <s v="Match"/>
    <x v="7"/>
    <x v="0"/>
    <s v="Hyderabad"/>
    <s v="Sales Executive"/>
    <x v="9"/>
    <x v="1"/>
    <n v="16800"/>
    <n v="12600"/>
    <n v="121296"/>
    <n v="20496"/>
  </r>
  <r>
    <s v="ORD26030941"/>
    <x v="34"/>
    <s v="C0122"/>
    <s v="E006"/>
    <s v="P012"/>
    <n v="4"/>
    <n v="48500"/>
    <n v="0.2"/>
    <x v="0"/>
    <s v="Marketplace"/>
    <s v="Card"/>
    <n v="155200"/>
    <s v="Indore"/>
    <n v="155200"/>
    <s v="Match"/>
    <x v="5"/>
    <x v="2"/>
    <s v="Mumbai"/>
    <s v="Sales Executive"/>
    <x v="2"/>
    <x v="2"/>
    <n v="48500"/>
    <n v="41200"/>
    <n v="155200"/>
    <n v="-9600"/>
  </r>
  <r>
    <s v="ORD26040942"/>
    <x v="156"/>
    <s v="C0098"/>
    <s v="E002"/>
    <s v="P002"/>
    <n v="1"/>
    <n v="2090"/>
    <n v="0.2"/>
    <x v="0"/>
    <s v="Website"/>
    <s v="Cash"/>
    <n v="1672"/>
    <s v="Mumbai"/>
    <n v="1672"/>
    <s v="Match"/>
    <x v="0"/>
    <x v="0"/>
    <s v="Bengaluru"/>
    <s v="Sales Executive"/>
    <x v="8"/>
    <x v="0"/>
    <n v="2200"/>
    <n v="1450"/>
    <n v="1672"/>
    <n v="222"/>
  </r>
  <r>
    <s v="ORD26010943"/>
    <x v="74"/>
    <s v="C0079"/>
    <s v="E009"/>
    <s v="P010"/>
    <n v="2"/>
    <n v="3200"/>
    <n v="0.2"/>
    <x v="0"/>
    <s v="Direct"/>
    <s v="Card"/>
    <n v="5120"/>
    <s v="Bengaluru"/>
    <n v="5120"/>
    <s v="Match"/>
    <x v="13"/>
    <x v="3"/>
    <s v="Delhi"/>
    <s v="Sales Executive"/>
    <x v="11"/>
    <x v="4"/>
    <n v="3200"/>
    <n v="2050"/>
    <n v="5120"/>
    <n v="1020"/>
  </r>
  <r>
    <s v="ORD26040944"/>
    <x v="170"/>
    <s v="C0230"/>
    <s v="E009"/>
    <s v="P012"/>
    <n v="1"/>
    <n v="48500"/>
    <n v="0.15"/>
    <x v="3"/>
    <s v="Direct"/>
    <s v="Cash"/>
    <n v="41225"/>
    <s v="Mumbai"/>
    <n v="41225"/>
    <s v="Match"/>
    <x v="13"/>
    <x v="3"/>
    <s v="Delhi"/>
    <s v="Sales Executive"/>
    <x v="2"/>
    <x v="2"/>
    <n v="48500"/>
    <n v="41200"/>
    <n v="0"/>
    <n v="-41200"/>
  </r>
  <r>
    <s v="ORD26050945"/>
    <x v="157"/>
    <s v="C0141"/>
    <s v="E007"/>
    <s v="P009"/>
    <n v="8"/>
    <n v="18500"/>
    <n v="0.15"/>
    <x v="0"/>
    <s v="Website"/>
    <s v="Bank Transfer"/>
    <n v="125800"/>
    <s v="Chennai"/>
    <n v="125800"/>
    <s v="Match"/>
    <x v="4"/>
    <x v="2"/>
    <s v="Pune"/>
    <s v="Sales Executive"/>
    <x v="5"/>
    <x v="3"/>
    <n v="18500"/>
    <n v="13900"/>
    <n v="125800"/>
    <n v="14600"/>
  </r>
  <r>
    <s v="ORD26050946"/>
    <x v="51"/>
    <s v="C0085"/>
    <s v="E001"/>
    <s v="P012"/>
    <n v="1"/>
    <n v="46075"/>
    <n v="0.1"/>
    <x v="0"/>
    <s v="Phone"/>
    <s v="Credit"/>
    <n v="41467.5"/>
    <s v="Pune"/>
    <n v="41467.5"/>
    <s v="Match"/>
    <x v="14"/>
    <x v="0"/>
    <s v="Chennai"/>
    <s v="Sales Executive"/>
    <x v="2"/>
    <x v="2"/>
    <n v="48500"/>
    <n v="41200"/>
    <n v="41467.5"/>
    <n v="267.5"/>
  </r>
  <r>
    <s v="ORD26050947"/>
    <x v="42"/>
    <s v="C0082"/>
    <s v="E013"/>
    <s v="P007"/>
    <n v="2"/>
    <n v="2470"/>
    <n v="0.05"/>
    <x v="0"/>
    <s v="Website"/>
    <s v="Credit"/>
    <n v="4693"/>
    <s v="Chennai"/>
    <n v="4693"/>
    <s v="Match"/>
    <x v="2"/>
    <x v="1"/>
    <s v="Bhubaneswar"/>
    <s v="Sales Executive"/>
    <x v="10"/>
    <x v="0"/>
    <n v="2600"/>
    <n v="1750"/>
    <n v="4693"/>
    <n v="1193"/>
  </r>
  <r>
    <s v="ORD26050948"/>
    <x v="110"/>
    <s v="C0152"/>
    <s v="E008"/>
    <s v="P009"/>
    <n v="3"/>
    <n v="18500"/>
    <n v="0.15"/>
    <x v="0"/>
    <s v="Marketplace"/>
    <s v="Credit"/>
    <n v="47175"/>
    <s v="Mumbai"/>
    <n v="47175"/>
    <s v="Match"/>
    <x v="8"/>
    <x v="2"/>
    <s v="Ahmedabad"/>
    <s v="Sales Executive"/>
    <x v="5"/>
    <x v="3"/>
    <n v="18500"/>
    <n v="13900"/>
    <n v="47175"/>
    <n v="5475"/>
  </r>
  <r>
    <s v="ORD26020949"/>
    <x v="121"/>
    <s v="C0143"/>
    <s v="E004"/>
    <s v="P001"/>
    <n v="2"/>
    <n v="650"/>
    <n v="0.05"/>
    <x v="0"/>
    <s v="Website"/>
    <s v="Bank Transfer"/>
    <n v="1235"/>
    <s v="Chennai"/>
    <n v="1235"/>
    <s v="Match"/>
    <x v="1"/>
    <x v="0"/>
    <s v="Coimbatore"/>
    <s v="Sales Executive"/>
    <x v="0"/>
    <x v="0"/>
    <n v="650"/>
    <n v="390"/>
    <n v="1235"/>
    <n v="455"/>
  </r>
  <r>
    <s v="ORD26060950"/>
    <x v="101"/>
    <s v="C0167"/>
    <s v="E004"/>
    <s v="P004"/>
    <n v="2"/>
    <n v="11200"/>
    <n v="0"/>
    <x v="0"/>
    <s v="Direct"/>
    <s v="Credit"/>
    <n v="22400"/>
    <s v="Hyderabad"/>
    <n v="22400"/>
    <s v="Match"/>
    <x v="1"/>
    <x v="0"/>
    <s v="Coimbatore"/>
    <s v="Sales Executive"/>
    <x v="1"/>
    <x v="1"/>
    <n v="11200"/>
    <n v="8300"/>
    <n v="22400"/>
    <n v="5800"/>
  </r>
  <r>
    <s v="ORD26020951"/>
    <x v="126"/>
    <s v="C0183"/>
    <s v="E007"/>
    <s v="P010"/>
    <n v="1"/>
    <n v="3040"/>
    <n v="0"/>
    <x v="0"/>
    <s v="Website"/>
    <s v="Bank Transfer"/>
    <n v="3040"/>
    <s v="Delhi"/>
    <n v="3040"/>
    <s v="Match"/>
    <x v="4"/>
    <x v="2"/>
    <s v="Pune"/>
    <s v="Sales Executive"/>
    <x v="11"/>
    <x v="4"/>
    <n v="3200"/>
    <n v="2050"/>
    <n v="3040"/>
    <n v="990"/>
  </r>
  <r>
    <s v="ORD26030952"/>
    <x v="160"/>
    <s v="C0132"/>
    <s v="E001"/>
    <s v="P009"/>
    <n v="3"/>
    <n v="19425"/>
    <n v="0.15"/>
    <x v="0"/>
    <s v="Website"/>
    <s v="Bank Transfer"/>
    <n v="49533.75"/>
    <s v="Bengaluru"/>
    <n v="49533.75"/>
    <s v="Match"/>
    <x v="14"/>
    <x v="0"/>
    <s v="Chennai"/>
    <s v="Sales Executive"/>
    <x v="5"/>
    <x v="3"/>
    <n v="18500"/>
    <n v="13900"/>
    <n v="49533.75"/>
    <n v="7833.75"/>
  </r>
  <r>
    <s v="ORD26030953"/>
    <x v="105"/>
    <s v="C0223"/>
    <s v="E005"/>
    <s v="P004"/>
    <n v="3"/>
    <n v="11200"/>
    <n v="0.1"/>
    <x v="0"/>
    <s v="Marketplace"/>
    <s v="Card"/>
    <n v="30240"/>
    <s v="Kochi"/>
    <n v="30240"/>
    <s v="Match"/>
    <x v="3"/>
    <x v="0"/>
    <s v="Kochi"/>
    <s v="Sales Executive"/>
    <x v="1"/>
    <x v="1"/>
    <n v="11200"/>
    <n v="8300"/>
    <n v="30240"/>
    <n v="5340"/>
  </r>
  <r>
    <s v="ORD26010954"/>
    <x v="1"/>
    <s v="C0093"/>
    <s v="E008"/>
    <s v="P003"/>
    <n v="2"/>
    <n v="1890"/>
    <n v="0"/>
    <x v="0"/>
    <s v="Marketplace"/>
    <s v="Upi"/>
    <n v="3780"/>
    <s v="Hyderabad"/>
    <n v="3780"/>
    <s v="Match"/>
    <x v="8"/>
    <x v="2"/>
    <s v="Ahmedabad"/>
    <s v="Sales Executive"/>
    <x v="3"/>
    <x v="0"/>
    <n v="1800"/>
    <n v="1120"/>
    <n v="3780"/>
    <n v="1540"/>
  </r>
  <r>
    <s v="ORD26020955"/>
    <x v="29"/>
    <s v="C0074"/>
    <s v="E015"/>
    <s v="P003"/>
    <n v="4"/>
    <n v="1710"/>
    <n v="0.2"/>
    <x v="0"/>
    <s v="Direct"/>
    <s v="Cash"/>
    <n v="5472"/>
    <s v="Bengaluru"/>
    <n v="5472"/>
    <s v="Match"/>
    <x v="9"/>
    <x v="4"/>
    <s v="Bhopal"/>
    <s v="Sales Executive"/>
    <x v="3"/>
    <x v="0"/>
    <n v="1800"/>
    <n v="1120"/>
    <n v="5472"/>
    <n v="992"/>
  </r>
  <r>
    <s v="ORD26040956"/>
    <x v="158"/>
    <s v="C0007"/>
    <s v="E015"/>
    <s v="P011"/>
    <n v="10"/>
    <n v="2400"/>
    <n v="0"/>
    <x v="0"/>
    <s v="Direct"/>
    <s v="Cash"/>
    <n v="24000"/>
    <s v="Pune"/>
    <n v="24000"/>
    <s v="Match"/>
    <x v="9"/>
    <x v="4"/>
    <s v="Bhopal"/>
    <s v="Sales Executive"/>
    <x v="7"/>
    <x v="4"/>
    <n v="2400"/>
    <n v="1480"/>
    <n v="24000"/>
    <n v="9200"/>
  </r>
  <r>
    <s v="ORD26010957"/>
    <x v="48"/>
    <s v="C0128"/>
    <s v="E002"/>
    <s v="P001"/>
    <n v="4"/>
    <n v="650"/>
    <n v="0.2"/>
    <x v="1"/>
    <s v="Direct"/>
    <s v="Bank Transfer"/>
    <n v="2080"/>
    <s v="Delhi"/>
    <n v="2080"/>
    <s v="Match"/>
    <x v="0"/>
    <x v="0"/>
    <s v="Bengaluru"/>
    <s v="Sales Executive"/>
    <x v="0"/>
    <x v="0"/>
    <n v="650"/>
    <n v="390"/>
    <n v="0"/>
    <n v="-1560"/>
  </r>
  <r>
    <s v="ORD26060958"/>
    <x v="9"/>
    <s v="C0174"/>
    <s v="E010"/>
    <s v="P001"/>
    <n v="4"/>
    <n v="617.5"/>
    <n v="0"/>
    <x v="1"/>
    <s v="Direct"/>
    <s v="Card"/>
    <n v="2470"/>
    <s v="Delhi"/>
    <n v="2470"/>
    <s v="Match"/>
    <x v="6"/>
    <x v="3"/>
    <s v="Jaipur"/>
    <s v="Sales Executive"/>
    <x v="0"/>
    <x v="0"/>
    <n v="650"/>
    <n v="390"/>
    <n v="0"/>
    <n v="-1560"/>
  </r>
  <r>
    <s v="ORD26050959"/>
    <x v="162"/>
    <s v="C0080"/>
    <s v="E013"/>
    <s v="P010"/>
    <n v="5"/>
    <n v="3360"/>
    <n v="0"/>
    <x v="0"/>
    <s v="Website"/>
    <s v="Upi"/>
    <n v="16800"/>
    <s v="Jaipur"/>
    <n v="16800"/>
    <s v="Match"/>
    <x v="2"/>
    <x v="1"/>
    <s v="Bhubaneswar"/>
    <s v="Sales Executive"/>
    <x v="11"/>
    <x v="4"/>
    <n v="3200"/>
    <n v="2050"/>
    <n v="16800"/>
    <n v="6550"/>
  </r>
  <r>
    <s v="ORD26060960"/>
    <x v="127"/>
    <s v="C0152"/>
    <s v="E005"/>
    <s v="P011"/>
    <n v="2"/>
    <n v="2280"/>
    <n v="0"/>
    <x v="0"/>
    <s v="Direct"/>
    <s v="Credit"/>
    <n v="4560"/>
    <s v="Pune"/>
    <n v="4560"/>
    <s v="Match"/>
    <x v="3"/>
    <x v="0"/>
    <s v="Kochi"/>
    <s v="Sales Executive"/>
    <x v="7"/>
    <x v="4"/>
    <n v="2400"/>
    <n v="1480"/>
    <n v="4560"/>
    <n v="1600"/>
  </r>
  <r>
    <s v="ORD26020961"/>
    <x v="5"/>
    <s v="C0147"/>
    <s v="E001"/>
    <s v="P004"/>
    <n v="1"/>
    <n v="11200"/>
    <n v="0.1"/>
    <x v="0"/>
    <s v="Website"/>
    <s v="Cash"/>
    <n v="10080"/>
    <s v="Mumbai"/>
    <n v="10080"/>
    <s v="Match"/>
    <x v="14"/>
    <x v="0"/>
    <s v="Chennai"/>
    <s v="Sales Executive"/>
    <x v="1"/>
    <x v="1"/>
    <n v="11200"/>
    <n v="8300"/>
    <n v="10080"/>
    <n v="1780"/>
  </r>
  <r>
    <s v="ORD26050962"/>
    <x v="28"/>
    <s v="C0061"/>
    <s v="E003"/>
    <s v="P002"/>
    <n v="1"/>
    <n v="2200"/>
    <n v="0.05"/>
    <x v="0"/>
    <s v="Marketplace"/>
    <s v="Upi"/>
    <n v="2090"/>
    <s v="Chennai"/>
    <n v="2090"/>
    <s v="Match"/>
    <x v="7"/>
    <x v="0"/>
    <s v="Hyderabad"/>
    <s v="Sales Executive"/>
    <x v="8"/>
    <x v="0"/>
    <n v="2200"/>
    <n v="1450"/>
    <n v="2090"/>
    <n v="640"/>
  </r>
  <r>
    <s v="ORD26060963"/>
    <x v="83"/>
    <s v="C0077"/>
    <s v="E003"/>
    <s v="P003"/>
    <n v="2"/>
    <n v="1890"/>
    <n v="0.05"/>
    <x v="0"/>
    <s v="Marketplace"/>
    <s v="Credit"/>
    <n v="3591"/>
    <s v="Hyderabad"/>
    <n v="3591"/>
    <s v="Match"/>
    <x v="7"/>
    <x v="0"/>
    <s v="Hyderabad"/>
    <s v="Sales Executive"/>
    <x v="3"/>
    <x v="0"/>
    <n v="1800"/>
    <n v="1120"/>
    <n v="3591"/>
    <n v="1351"/>
  </r>
  <r>
    <s v="ORD26030964"/>
    <x v="130"/>
    <s v="C0040"/>
    <s v="E015"/>
    <s v="P002"/>
    <n v="1"/>
    <n v="2200"/>
    <n v="0.1"/>
    <x v="0"/>
    <s v="Direct"/>
    <s v="Card"/>
    <n v="1980"/>
    <s v="Delhi"/>
    <n v="1980"/>
    <s v="Match"/>
    <x v="9"/>
    <x v="4"/>
    <s v="Bhopal"/>
    <s v="Sales Executive"/>
    <x v="8"/>
    <x v="0"/>
    <n v="2200"/>
    <n v="1450"/>
    <n v="1980"/>
    <n v="530"/>
  </r>
  <r>
    <s v="ORD26030965"/>
    <x v="72"/>
    <s v="C0219"/>
    <s v="E003"/>
    <s v="P007"/>
    <n v="2"/>
    <n v="2470"/>
    <n v="0.1"/>
    <x v="0"/>
    <s v="Marketplace"/>
    <s v="Card"/>
    <n v="4446"/>
    <s v="Mumbai"/>
    <n v="4446"/>
    <s v="Match"/>
    <x v="7"/>
    <x v="0"/>
    <s v="Hyderabad"/>
    <s v="Sales Executive"/>
    <x v="10"/>
    <x v="0"/>
    <n v="2600"/>
    <n v="1750"/>
    <n v="4446"/>
    <n v="946"/>
  </r>
  <r>
    <s v="ORD26030966"/>
    <x v="167"/>
    <s v="C0247"/>
    <s v="E003"/>
    <s v="P003"/>
    <n v="4"/>
    <n v="1890"/>
    <n v="0.05"/>
    <x v="0"/>
    <s v="Phone"/>
    <s v="Credit"/>
    <n v="7182"/>
    <s v="Kolkata"/>
    <n v="7182"/>
    <s v="Match"/>
    <x v="7"/>
    <x v="0"/>
    <s v="Hyderabad"/>
    <s v="Sales Executive"/>
    <x v="3"/>
    <x v="0"/>
    <n v="1800"/>
    <n v="1120"/>
    <n v="7182"/>
    <n v="2702"/>
  </r>
  <r>
    <s v="ORD26020967"/>
    <x v="88"/>
    <s v="C0253"/>
    <s v="E013"/>
    <s v="P011"/>
    <n v="8"/>
    <n v="2520"/>
    <n v="0.1"/>
    <x v="0"/>
    <s v="Website"/>
    <s v="Cash"/>
    <n v="18144"/>
    <s v="Mumbai"/>
    <n v="18144"/>
    <s v="Match"/>
    <x v="2"/>
    <x v="1"/>
    <s v="Bhubaneswar"/>
    <s v="Sales Executive"/>
    <x v="7"/>
    <x v="4"/>
    <n v="2400"/>
    <n v="1480"/>
    <n v="18144"/>
    <n v="6304"/>
  </r>
  <r>
    <s v="ORD26050968"/>
    <x v="23"/>
    <s v="C0045"/>
    <s v="E012"/>
    <s v="P007"/>
    <n v="2"/>
    <n v="2600"/>
    <n v="0.2"/>
    <x v="0"/>
    <s v="Website"/>
    <s v="Bank Transfer"/>
    <n v="4160"/>
    <s v="Chennai"/>
    <n v="4160"/>
    <s v="Match"/>
    <x v="12"/>
    <x v="1"/>
    <s v="Kolkata"/>
    <s v="Sales Executive"/>
    <x v="10"/>
    <x v="0"/>
    <n v="2600"/>
    <n v="1750"/>
    <n v="4160"/>
    <n v="660"/>
  </r>
  <r>
    <s v="ORD26020969"/>
    <x v="134"/>
    <s v="C0031"/>
    <s v="E014"/>
    <s v="P001"/>
    <n v="2"/>
    <n v="617.5"/>
    <n v="0.1"/>
    <x v="1"/>
    <s v="Marketplace"/>
    <s v="Bank Transfer"/>
    <n v="1111.5"/>
    <s v="Delhi"/>
    <n v="1111.5"/>
    <s v="Match"/>
    <x v="10"/>
    <x v="4"/>
    <s v="Indore"/>
    <s v="Sales Executive"/>
    <x v="0"/>
    <x v="0"/>
    <n v="650"/>
    <n v="390"/>
    <n v="0"/>
    <n v="-780"/>
  </r>
  <r>
    <s v="ORD26030970"/>
    <x v="6"/>
    <s v="C0125"/>
    <s v="E008"/>
    <s v="P003"/>
    <n v="4"/>
    <n v="1890"/>
    <n v="0.15"/>
    <x v="3"/>
    <s v="Website"/>
    <s v="Card"/>
    <n v="6426"/>
    <s v="Chennai"/>
    <n v="6426"/>
    <s v="Match"/>
    <x v="8"/>
    <x v="2"/>
    <s v="Ahmedabad"/>
    <s v="Sales Executive"/>
    <x v="3"/>
    <x v="0"/>
    <n v="1800"/>
    <n v="1120"/>
    <n v="0"/>
    <n v="-4480"/>
  </r>
  <r>
    <s v="ORD26020971"/>
    <x v="88"/>
    <s v="C0191"/>
    <s v="E002"/>
    <s v="P012"/>
    <n v="3"/>
    <n v="50925"/>
    <n v="0.1"/>
    <x v="0"/>
    <s v="Direct"/>
    <s v="Upi"/>
    <n v="137497.5"/>
    <s v="Indore"/>
    <n v="137497.5"/>
    <s v="Match"/>
    <x v="0"/>
    <x v="0"/>
    <s v="Bengaluru"/>
    <s v="Sales Executive"/>
    <x v="2"/>
    <x v="2"/>
    <n v="48500"/>
    <n v="41200"/>
    <n v="137497.5"/>
    <n v="13897.5"/>
  </r>
  <r>
    <s v="ORD26010972"/>
    <x v="112"/>
    <s v="C0041"/>
    <s v="E008"/>
    <s v="P010"/>
    <n v="5"/>
    <n v="3200"/>
    <n v="0"/>
    <x v="0"/>
    <s v="Website"/>
    <s v="Upi"/>
    <n v="16000"/>
    <s v="Chennai"/>
    <n v="16000"/>
    <s v="Match"/>
    <x v="8"/>
    <x v="2"/>
    <s v="Ahmedabad"/>
    <s v="Sales Executive"/>
    <x v="11"/>
    <x v="4"/>
    <n v="3200"/>
    <n v="2050"/>
    <n v="16000"/>
    <n v="5750"/>
  </r>
  <r>
    <s v="ORD26050973"/>
    <x v="64"/>
    <s v="C0154"/>
    <s v="E014"/>
    <s v="P007"/>
    <n v="1"/>
    <n v="2600"/>
    <n v="0"/>
    <x v="0"/>
    <s v="Phone"/>
    <s v="Cash"/>
    <n v="2600"/>
    <s v="Kolkata"/>
    <n v="2600"/>
    <s v="Match"/>
    <x v="10"/>
    <x v="4"/>
    <s v="Indore"/>
    <s v="Sales Executive"/>
    <x v="10"/>
    <x v="0"/>
    <n v="2600"/>
    <n v="1750"/>
    <n v="2600"/>
    <n v="850"/>
  </r>
  <r>
    <s v="ORD26040974"/>
    <x v="179"/>
    <s v="C0017"/>
    <s v="E013"/>
    <s v="P011"/>
    <n v="3"/>
    <n v="2280"/>
    <n v="0.05"/>
    <x v="0"/>
    <s v="Website"/>
    <s v="Credit"/>
    <n v="6498"/>
    <s v="Delhi"/>
    <n v="6498"/>
    <s v="Match"/>
    <x v="2"/>
    <x v="1"/>
    <s v="Bhubaneswar"/>
    <s v="Sales Executive"/>
    <x v="7"/>
    <x v="4"/>
    <n v="2400"/>
    <n v="1480"/>
    <n v="6498"/>
    <n v="2058"/>
  </r>
  <r>
    <s v="ORD26010975"/>
    <x v="165"/>
    <s v="C0257"/>
    <s v="E007"/>
    <s v="P007"/>
    <n v="3"/>
    <n v="2600"/>
    <n v="0.1"/>
    <x v="0"/>
    <s v="Marketplace"/>
    <s v="Card"/>
    <n v="7020"/>
    <s v="Pune"/>
    <n v="7020"/>
    <s v="Match"/>
    <x v="4"/>
    <x v="2"/>
    <s v="Pune"/>
    <s v="Sales Executive"/>
    <x v="10"/>
    <x v="0"/>
    <n v="2600"/>
    <n v="1750"/>
    <n v="7020"/>
    <n v="1770"/>
  </r>
  <r>
    <s v="ORD26020976"/>
    <x v="26"/>
    <s v="C0029"/>
    <s v="E005"/>
    <s v="P002"/>
    <n v="2"/>
    <n v="2310"/>
    <n v="0"/>
    <x v="0"/>
    <s v="Website"/>
    <s v="Cash"/>
    <n v="4620"/>
    <s v="Delhi"/>
    <n v="4620"/>
    <s v="Match"/>
    <x v="3"/>
    <x v="0"/>
    <s v="Kochi"/>
    <s v="Sales Executive"/>
    <x v="8"/>
    <x v="0"/>
    <n v="2200"/>
    <n v="1450"/>
    <n v="4620"/>
    <n v="1720"/>
  </r>
  <r>
    <s v="ORD26050977"/>
    <x v="42"/>
    <s v="C0195"/>
    <s v="E010"/>
    <s v="P002"/>
    <n v="4"/>
    <n v="2310"/>
    <n v="0.1"/>
    <x v="0"/>
    <s v="Website"/>
    <s v="Upi"/>
    <n v="8316"/>
    <s v="Kolkata"/>
    <n v="8316"/>
    <s v="Match"/>
    <x v="6"/>
    <x v="3"/>
    <s v="Jaipur"/>
    <s v="Sales Executive"/>
    <x v="8"/>
    <x v="0"/>
    <n v="2200"/>
    <n v="1450"/>
    <n v="8316"/>
    <n v="2516"/>
  </r>
  <r>
    <s v="ORD26060978"/>
    <x v="146"/>
    <s v="C0015"/>
    <s v="E007"/>
    <s v="P004"/>
    <n v="1"/>
    <n v="11200"/>
    <n v="0"/>
    <x v="0"/>
    <s v="Website"/>
    <s v="Bank Transfer"/>
    <n v="11200"/>
    <s v="Delhi"/>
    <n v="11200"/>
    <s v="Match"/>
    <x v="4"/>
    <x v="2"/>
    <s v="Pune"/>
    <s v="Sales Executive"/>
    <x v="1"/>
    <x v="1"/>
    <n v="11200"/>
    <n v="8300"/>
    <n v="11200"/>
    <n v="2900"/>
  </r>
  <r>
    <s v="ORD26050979"/>
    <x v="75"/>
    <s v="C0097"/>
    <s v="E002"/>
    <s v="P002"/>
    <n v="1"/>
    <n v="2200"/>
    <n v="0"/>
    <x v="0"/>
    <s v="Website"/>
    <s v="Upi"/>
    <n v="2200"/>
    <s v="Bengaluru"/>
    <n v="2200"/>
    <s v="Match"/>
    <x v="0"/>
    <x v="0"/>
    <s v="Bengaluru"/>
    <s v="Sales Executive"/>
    <x v="8"/>
    <x v="0"/>
    <n v="2200"/>
    <n v="1450"/>
    <n v="2200"/>
    <n v="750"/>
  </r>
  <r>
    <s v="ORD26030980"/>
    <x v="69"/>
    <s v="C0024"/>
    <s v="E002"/>
    <s v="P010"/>
    <n v="3"/>
    <n v="3360"/>
    <n v="0.15"/>
    <x v="3"/>
    <s v="Direct"/>
    <s v="Bank Transfer"/>
    <n v="8568"/>
    <s v="Mumbai"/>
    <n v="8568"/>
    <s v="Match"/>
    <x v="0"/>
    <x v="0"/>
    <s v="Bengaluru"/>
    <s v="Sales Executive"/>
    <x v="11"/>
    <x v="4"/>
    <n v="3200"/>
    <n v="2050"/>
    <n v="0"/>
    <n v="-6150"/>
  </r>
  <r>
    <s v="ORD26030981"/>
    <x v="98"/>
    <s v="C0201"/>
    <s v="E001"/>
    <s v="P006"/>
    <n v="4"/>
    <n v="1400"/>
    <n v="0.1"/>
    <x v="0"/>
    <s v="Marketplace"/>
    <s v="Card"/>
    <n v="5040"/>
    <s v="Mumbai"/>
    <n v="5040"/>
    <s v="Match"/>
    <x v="14"/>
    <x v="0"/>
    <s v="Chennai"/>
    <s v="Sales Executive"/>
    <x v="4"/>
    <x v="0"/>
    <n v="1400"/>
    <n v="780"/>
    <n v="5040"/>
    <n v="1920"/>
  </r>
  <r>
    <s v="ORD26030982"/>
    <x v="34"/>
    <s v="C0013"/>
    <s v="E007"/>
    <s v="P012"/>
    <n v="2"/>
    <n v="48500"/>
    <n v="0.15"/>
    <x v="0"/>
    <s v="Phone"/>
    <s v="Cash"/>
    <n v="82450"/>
    <s v="Indore"/>
    <n v="82450"/>
    <s v="Match"/>
    <x v="4"/>
    <x v="2"/>
    <s v="Pune"/>
    <s v="Sales Executive"/>
    <x v="2"/>
    <x v="2"/>
    <n v="48500"/>
    <n v="41200"/>
    <n v="82450"/>
    <n v="50"/>
  </r>
  <r>
    <s v="ORD26010983"/>
    <x v="33"/>
    <s v="C0119"/>
    <s v="E005"/>
    <s v="P003"/>
    <n v="1"/>
    <n v="1710"/>
    <n v="0.1"/>
    <x v="0"/>
    <s v="Website"/>
    <s v="Card"/>
    <n v="1539"/>
    <s v="Delhi"/>
    <n v="1539"/>
    <s v="Match"/>
    <x v="3"/>
    <x v="0"/>
    <s v="Kochi"/>
    <s v="Sales Executive"/>
    <x v="3"/>
    <x v="0"/>
    <n v="1800"/>
    <n v="1120"/>
    <n v="1539"/>
    <n v="419"/>
  </r>
  <r>
    <s v="ORD26050984"/>
    <x v="161"/>
    <s v="C0230"/>
    <s v="E009"/>
    <s v="P012"/>
    <n v="3"/>
    <n v="48500"/>
    <n v="0.15"/>
    <x v="1"/>
    <s v="Website"/>
    <s v="Bank Transfer"/>
    <n v="123675"/>
    <s v="Hyderabad"/>
    <n v="123675"/>
    <s v="Match"/>
    <x v="13"/>
    <x v="3"/>
    <s v="Delhi"/>
    <s v="Sales Executive"/>
    <x v="2"/>
    <x v="2"/>
    <n v="48500"/>
    <n v="41200"/>
    <n v="0"/>
    <n v="-123600"/>
  </r>
  <r>
    <s v="ORD26040985"/>
    <x v="59"/>
    <s v="C0123"/>
    <s v="E010"/>
    <s v="P007"/>
    <n v="1"/>
    <n v="2730"/>
    <n v="0.2"/>
    <x v="0"/>
    <s v="Website"/>
    <s v="Credit"/>
    <n v="2184"/>
    <s v="Indore"/>
    <n v="2184"/>
    <s v="Match"/>
    <x v="6"/>
    <x v="3"/>
    <s v="Jaipur"/>
    <s v="Sales Executive"/>
    <x v="10"/>
    <x v="0"/>
    <n v="2600"/>
    <n v="1750"/>
    <n v="2184"/>
    <n v="434"/>
  </r>
  <r>
    <s v="ORD26010986"/>
    <x v="74"/>
    <s v="C0074"/>
    <s v="E003"/>
    <s v="P010"/>
    <n v="3"/>
    <n v="3040"/>
    <n v="0.1"/>
    <x v="0"/>
    <s v="Marketplace"/>
    <s v="Credit"/>
    <n v="8208"/>
    <s v="Mumbai"/>
    <n v="8208"/>
    <s v="Match"/>
    <x v="7"/>
    <x v="0"/>
    <s v="Hyderabad"/>
    <s v="Sales Executive"/>
    <x v="11"/>
    <x v="4"/>
    <n v="3200"/>
    <n v="2050"/>
    <n v="8208"/>
    <n v="2058"/>
  </r>
  <r>
    <s v="ORD26050987"/>
    <x v="140"/>
    <s v="C0187"/>
    <s v="E002"/>
    <s v="P008"/>
    <n v="2"/>
    <n v="7800"/>
    <n v="0.05"/>
    <x v="0"/>
    <s v="Marketplace"/>
    <s v="Upi"/>
    <n v="14820"/>
    <s v="Mumbai"/>
    <n v="14820"/>
    <s v="Match"/>
    <x v="0"/>
    <x v="0"/>
    <s v="Bengaluru"/>
    <s v="Sales Executive"/>
    <x v="6"/>
    <x v="3"/>
    <n v="7800"/>
    <n v="5200"/>
    <n v="14820"/>
    <n v="4420"/>
  </r>
  <r>
    <s v="ORD26020988"/>
    <x v="35"/>
    <s v="C0072"/>
    <s v="E012"/>
    <s v="P008"/>
    <n v="1"/>
    <n v="8190"/>
    <n v="0.1"/>
    <x v="3"/>
    <s v="Direct"/>
    <s v="Credit"/>
    <n v="7371"/>
    <s v="Kochi"/>
    <n v="7371"/>
    <s v="Match"/>
    <x v="12"/>
    <x v="1"/>
    <s v="Kolkata"/>
    <s v="Sales Executive"/>
    <x v="6"/>
    <x v="3"/>
    <n v="7800"/>
    <n v="5200"/>
    <n v="0"/>
    <n v="-5200"/>
  </r>
  <r>
    <s v="ORD26010989"/>
    <x v="66"/>
    <s v="C0226"/>
    <s v="E006"/>
    <s v="P005"/>
    <n v="2"/>
    <n v="16800"/>
    <n v="0.15"/>
    <x v="1"/>
    <s v="Marketplace"/>
    <s v="Credit"/>
    <n v="28560"/>
    <s v="Indore"/>
    <n v="28560"/>
    <s v="Match"/>
    <x v="5"/>
    <x v="2"/>
    <s v="Mumbai"/>
    <s v="Sales Executive"/>
    <x v="9"/>
    <x v="1"/>
    <n v="16800"/>
    <n v="12600"/>
    <n v="0"/>
    <n v="-25200"/>
  </r>
  <r>
    <s v="ORD26030990"/>
    <x v="114"/>
    <s v="C0030"/>
    <s v="E006"/>
    <s v="P002"/>
    <n v="3"/>
    <n v="2090"/>
    <n v="0.15"/>
    <x v="0"/>
    <s v="Website"/>
    <s v="Credit"/>
    <n v="5329.5"/>
    <s v="Chennai"/>
    <n v="5329.5"/>
    <s v="Match"/>
    <x v="5"/>
    <x v="2"/>
    <s v="Mumbai"/>
    <s v="Sales Executive"/>
    <x v="8"/>
    <x v="0"/>
    <n v="2200"/>
    <n v="1450"/>
    <n v="5329.5"/>
    <n v="979.5"/>
  </r>
  <r>
    <s v="ORD26020991"/>
    <x v="107"/>
    <s v="C0115"/>
    <s v="E014"/>
    <s v="P002"/>
    <n v="1"/>
    <n v="2090"/>
    <n v="0"/>
    <x v="0"/>
    <s v="Phone"/>
    <s v="Cash"/>
    <n v="2090"/>
    <s v="Mumbai"/>
    <n v="2090"/>
    <s v="Match"/>
    <x v="10"/>
    <x v="4"/>
    <s v="Indore"/>
    <s v="Sales Executive"/>
    <x v="8"/>
    <x v="0"/>
    <n v="2200"/>
    <n v="1450"/>
    <n v="2090"/>
    <n v="640"/>
  </r>
  <r>
    <s v="ORD26030992"/>
    <x v="130"/>
    <s v="C0056"/>
    <s v="E008"/>
    <s v="P008"/>
    <n v="3"/>
    <n v="7800"/>
    <n v="0.1"/>
    <x v="0"/>
    <s v="Phone"/>
    <s v="Cash"/>
    <n v="21060"/>
    <s v="Bengaluru"/>
    <n v="21060"/>
    <s v="Match"/>
    <x v="8"/>
    <x v="2"/>
    <s v="Ahmedabad"/>
    <s v="Sales Executive"/>
    <x v="6"/>
    <x v="3"/>
    <n v="7800"/>
    <n v="5200"/>
    <n v="21060"/>
    <n v="5460"/>
  </r>
  <r>
    <s v="ORD26040993"/>
    <x v="82"/>
    <s v="C0059"/>
    <s v="E006"/>
    <s v="P002"/>
    <n v="2"/>
    <n v="2310"/>
    <n v="0.15"/>
    <x v="0"/>
    <s v="Marketplace"/>
    <s v="Cash"/>
    <n v="3927"/>
    <s v="Chennai"/>
    <n v="3927"/>
    <s v="Match"/>
    <x v="5"/>
    <x v="2"/>
    <s v="Mumbai"/>
    <s v="Sales Executive"/>
    <x v="8"/>
    <x v="0"/>
    <n v="2200"/>
    <n v="1450"/>
    <n v="3927"/>
    <n v="1027"/>
  </r>
  <r>
    <s v="ORD26050994"/>
    <x v="63"/>
    <s v="C0195"/>
    <s v="E003"/>
    <s v="P008"/>
    <n v="1"/>
    <n v="7410"/>
    <n v="0"/>
    <x v="0"/>
    <s v="Direct"/>
    <s v="Bank Transfer"/>
    <n v="7410"/>
    <s v="Pune"/>
    <n v="7410"/>
    <s v="Match"/>
    <x v="7"/>
    <x v="0"/>
    <s v="Hyderabad"/>
    <s v="Sales Executive"/>
    <x v="6"/>
    <x v="3"/>
    <n v="7800"/>
    <n v="5200"/>
    <n v="7410"/>
    <n v="2210"/>
  </r>
  <r>
    <s v="ORD26050995"/>
    <x v="16"/>
    <s v="C0139"/>
    <s v="E004"/>
    <s v="P001"/>
    <n v="1"/>
    <n v="682.5"/>
    <n v="0"/>
    <x v="1"/>
    <s v="Marketplace"/>
    <s v="Card"/>
    <n v="682.5"/>
    <s v="Mumbai"/>
    <n v="682.5"/>
    <s v="Match"/>
    <x v="1"/>
    <x v="0"/>
    <s v="Coimbatore"/>
    <s v="Sales Executive"/>
    <x v="0"/>
    <x v="0"/>
    <n v="650"/>
    <n v="390"/>
    <n v="0"/>
    <n v="-390"/>
  </r>
  <r>
    <s v="ORD26020996"/>
    <x v="5"/>
    <s v="C0215"/>
    <s v="E002"/>
    <s v="P005"/>
    <n v="2"/>
    <n v="17640"/>
    <n v="0.05"/>
    <x v="2"/>
    <s v="Website"/>
    <s v="Bank Transfer"/>
    <n v="33516"/>
    <s v="Delhi"/>
    <n v="33516"/>
    <s v="Match"/>
    <x v="0"/>
    <x v="0"/>
    <s v="Bengaluru"/>
    <s v="Sales Executive"/>
    <x v="9"/>
    <x v="1"/>
    <n v="16800"/>
    <n v="12600"/>
    <n v="0"/>
    <n v="-25200"/>
  </r>
  <r>
    <s v="ORD26010997"/>
    <x v="17"/>
    <s v="C0215"/>
    <s v="E002"/>
    <s v="P007"/>
    <n v="2"/>
    <n v="2600"/>
    <n v="0.05"/>
    <x v="0"/>
    <s v="Phone"/>
    <s v="Cash"/>
    <n v="4940"/>
    <s v="Jaipur"/>
    <n v="4940"/>
    <s v="Match"/>
    <x v="0"/>
    <x v="0"/>
    <s v="Bengaluru"/>
    <s v="Sales Executive"/>
    <x v="10"/>
    <x v="0"/>
    <n v="2600"/>
    <n v="1750"/>
    <n v="4940"/>
    <n v="1440"/>
  </r>
  <r>
    <s v="ORD26060998"/>
    <x v="2"/>
    <s v="C0006"/>
    <s v="E013"/>
    <s v="P003"/>
    <n v="8"/>
    <n v="1890"/>
    <n v="0.1"/>
    <x v="0"/>
    <s v="Website"/>
    <s v="Upi"/>
    <n v="13608"/>
    <s v="Indore"/>
    <n v="13608"/>
    <s v="Match"/>
    <x v="2"/>
    <x v="1"/>
    <s v="Bhubaneswar"/>
    <s v="Sales Executive"/>
    <x v="3"/>
    <x v="0"/>
    <n v="1800"/>
    <n v="1120"/>
    <n v="13608"/>
    <n v="4648"/>
  </r>
  <r>
    <s v="ORD26060999"/>
    <x v="79"/>
    <s v="C0008"/>
    <s v="E003"/>
    <s v="P006"/>
    <n v="3"/>
    <n v="1400"/>
    <n v="0.2"/>
    <x v="0"/>
    <s v="Website"/>
    <s v="Cash"/>
    <n v="3360"/>
    <s v="Delhi"/>
    <n v="3360"/>
    <s v="Match"/>
    <x v="7"/>
    <x v="0"/>
    <s v="Hyderabad"/>
    <s v="Sales Executive"/>
    <x v="4"/>
    <x v="0"/>
    <n v="1400"/>
    <n v="780"/>
    <n v="3360"/>
    <n v="1020"/>
  </r>
  <r>
    <s v="ORD26051000"/>
    <x v="140"/>
    <s v="C0231"/>
    <s v="E014"/>
    <s v="P006"/>
    <n v="1"/>
    <n v="1330"/>
    <n v="0.2"/>
    <x v="0"/>
    <s v="Website"/>
    <s v="Cash"/>
    <n v="1064"/>
    <s v="Indore"/>
    <n v="1064"/>
    <s v="Match"/>
    <x v="10"/>
    <x v="4"/>
    <s v="Indore"/>
    <s v="Sales Executive"/>
    <x v="4"/>
    <x v="0"/>
    <n v="1400"/>
    <n v="780"/>
    <n v="1064"/>
    <n v="284"/>
  </r>
  <r>
    <s v="ORD26011001"/>
    <x v="8"/>
    <s v="C0194"/>
    <s v="E001"/>
    <s v="P004"/>
    <n v="4"/>
    <n v="11200"/>
    <n v="0"/>
    <x v="1"/>
    <s v="Website"/>
    <s v="Bank Transfer"/>
    <n v="44800"/>
    <s v="Bengaluru"/>
    <n v="44800"/>
    <s v="Match"/>
    <x v="14"/>
    <x v="0"/>
    <s v="Chennai"/>
    <s v="Sales Executive"/>
    <x v="1"/>
    <x v="1"/>
    <n v="11200"/>
    <n v="8300"/>
    <n v="0"/>
    <n v="-33200"/>
  </r>
  <r>
    <s v="ORD26021002"/>
    <x v="36"/>
    <s v="C0155"/>
    <s v="E011"/>
    <s v="P010"/>
    <n v="8"/>
    <n v="3040"/>
    <n v="0.05"/>
    <x v="0"/>
    <s v="Marketplace"/>
    <s v="Credit"/>
    <n v="23104"/>
    <s v="Mumbai"/>
    <n v="23104"/>
    <s v="Match"/>
    <x v="11"/>
    <x v="3"/>
    <s v="Lucknow"/>
    <s v="Sales Executive"/>
    <x v="11"/>
    <x v="4"/>
    <n v="3200"/>
    <n v="2050"/>
    <n v="23104"/>
    <n v="6704"/>
  </r>
  <r>
    <s v="ORD26061003"/>
    <x v="86"/>
    <s v="C0219"/>
    <s v="E008"/>
    <s v="P011"/>
    <n v="10"/>
    <n v="2400"/>
    <n v="0.1"/>
    <x v="0"/>
    <s v="Marketplace"/>
    <s v="Card"/>
    <n v="21600"/>
    <s v="Delhi"/>
    <n v="21600"/>
    <s v="Match"/>
    <x v="8"/>
    <x v="2"/>
    <s v="Ahmedabad"/>
    <s v="Sales Executive"/>
    <x v="7"/>
    <x v="4"/>
    <n v="2400"/>
    <n v="1480"/>
    <n v="21600"/>
    <n v="6800"/>
  </r>
  <r>
    <s v="ORD26041004"/>
    <x v="90"/>
    <s v="C0196"/>
    <s v="E007"/>
    <s v="P006"/>
    <n v="1"/>
    <n v="1470"/>
    <n v="0.15"/>
    <x v="0"/>
    <s v="Marketplace"/>
    <s v="Cash"/>
    <n v="1249.5"/>
    <s v="Hyderabad"/>
    <n v="1249.5"/>
    <s v="Match"/>
    <x v="4"/>
    <x v="2"/>
    <s v="Pune"/>
    <s v="Sales Executive"/>
    <x v="4"/>
    <x v="0"/>
    <n v="1400"/>
    <n v="780"/>
    <n v="1249.5"/>
    <n v="469.5"/>
  </r>
  <r>
    <s v="ORD26061005"/>
    <x v="86"/>
    <s v="C0211"/>
    <s v="E010"/>
    <s v="P002"/>
    <n v="10"/>
    <n v="2090"/>
    <n v="0"/>
    <x v="0"/>
    <s v="Direct"/>
    <s v="Cash"/>
    <n v="20900"/>
    <s v="Indore"/>
    <n v="20900"/>
    <s v="Match"/>
    <x v="6"/>
    <x v="3"/>
    <s v="Jaipur"/>
    <s v="Sales Executive"/>
    <x v="8"/>
    <x v="0"/>
    <n v="2200"/>
    <n v="1450"/>
    <n v="20900"/>
    <n v="6400"/>
  </r>
  <r>
    <s v="ORD26051006"/>
    <x v="63"/>
    <s v="C0216"/>
    <s v="E002"/>
    <s v="P011"/>
    <n v="2"/>
    <n v="2400"/>
    <n v="0.15"/>
    <x v="0"/>
    <s v="Website"/>
    <s v="Card"/>
    <n v="4080"/>
    <s v="Kochi"/>
    <n v="4080"/>
    <s v="Match"/>
    <x v="0"/>
    <x v="0"/>
    <s v="Bengaluru"/>
    <s v="Sales Executive"/>
    <x v="7"/>
    <x v="4"/>
    <n v="2400"/>
    <n v="1480"/>
    <n v="4080"/>
    <n v="1120"/>
  </r>
  <r>
    <s v="ORD26051007"/>
    <x v="38"/>
    <s v="C0238"/>
    <s v="E007"/>
    <s v="P002"/>
    <n v="1"/>
    <n v="2200"/>
    <n v="0.1"/>
    <x v="1"/>
    <s v="Phone"/>
    <s v="Cash"/>
    <n v="1980"/>
    <s v="Chennai"/>
    <n v="1980"/>
    <s v="Match"/>
    <x v="4"/>
    <x v="2"/>
    <s v="Pune"/>
    <s v="Sales Executive"/>
    <x v="8"/>
    <x v="0"/>
    <n v="2200"/>
    <n v="1450"/>
    <n v="0"/>
    <n v="-1450"/>
  </r>
  <r>
    <s v="ORD26041008"/>
    <x v="122"/>
    <s v="C0158"/>
    <s v="E013"/>
    <s v="P004"/>
    <n v="2"/>
    <n v="11200"/>
    <n v="0.05"/>
    <x v="2"/>
    <s v="Phone"/>
    <s v="Card"/>
    <n v="21280"/>
    <s v="Chennai"/>
    <n v="21280"/>
    <s v="Match"/>
    <x v="2"/>
    <x v="1"/>
    <s v="Bhubaneswar"/>
    <s v="Sales Executive"/>
    <x v="1"/>
    <x v="1"/>
    <n v="11200"/>
    <n v="8300"/>
    <n v="0"/>
    <n v="-16600"/>
  </r>
  <r>
    <s v="ORD26041009"/>
    <x v="168"/>
    <s v="C0172"/>
    <s v="E001"/>
    <s v="P001"/>
    <n v="1"/>
    <n v="650"/>
    <n v="0.05"/>
    <x v="2"/>
    <s v="Website"/>
    <s v="Credit"/>
    <n v="617.5"/>
    <s v="Pune"/>
    <n v="617.5"/>
    <s v="Match"/>
    <x v="14"/>
    <x v="0"/>
    <s v="Chennai"/>
    <s v="Sales Executive"/>
    <x v="0"/>
    <x v="0"/>
    <n v="650"/>
    <n v="390"/>
    <n v="0"/>
    <n v="-390"/>
  </r>
  <r>
    <s v="ORD26031010"/>
    <x v="103"/>
    <s v="C0220"/>
    <s v="E009"/>
    <s v="P007"/>
    <n v="1"/>
    <n v="2470"/>
    <n v="0.2"/>
    <x v="0"/>
    <s v="Website"/>
    <s v="Cash"/>
    <n v="1976"/>
    <s v="Delhi"/>
    <n v="1976"/>
    <s v="Match"/>
    <x v="13"/>
    <x v="3"/>
    <s v="Delhi"/>
    <s v="Sales Executive"/>
    <x v="10"/>
    <x v="0"/>
    <n v="2600"/>
    <n v="1750"/>
    <n v="1976"/>
    <n v="226"/>
  </r>
  <r>
    <s v="ORD26041011"/>
    <x v="124"/>
    <s v="C0259"/>
    <s v="E015"/>
    <s v="P006"/>
    <m/>
    <n v="1400"/>
    <n v="0.1"/>
    <x v="0"/>
    <s v="Direct"/>
    <s v="Credit"/>
    <n v="2520"/>
    <s v="Pune"/>
    <m/>
    <s v="Invalid Inputs"/>
    <x v="9"/>
    <x v="4"/>
    <s v="Bhopal"/>
    <s v="Sales Executive"/>
    <x v="4"/>
    <x v="0"/>
    <n v="1400"/>
    <n v="780"/>
    <n v="0"/>
    <n v="0"/>
  </r>
  <r>
    <s v="ORD26061012"/>
    <x v="9"/>
    <s v="C0048"/>
    <s v="E015"/>
    <s v="P005"/>
    <n v="4"/>
    <n v="16800"/>
    <n v="0"/>
    <x v="1"/>
    <s v="Direct"/>
    <s v="Upi"/>
    <n v="67200"/>
    <s v="Pune"/>
    <n v="67200"/>
    <s v="Match"/>
    <x v="9"/>
    <x v="4"/>
    <s v="Bhopal"/>
    <s v="Sales Executive"/>
    <x v="9"/>
    <x v="1"/>
    <n v="16800"/>
    <n v="12600"/>
    <n v="0"/>
    <n v="-50400"/>
  </r>
  <r>
    <s v="ORD26011013"/>
    <x v="165"/>
    <s v="C0196"/>
    <s v="E011"/>
    <s v="P010"/>
    <n v="1"/>
    <n v="3040"/>
    <n v="0.15"/>
    <x v="0"/>
    <s v="Direct"/>
    <s v="Card"/>
    <n v="2584"/>
    <s v="Kochi"/>
    <n v="2584"/>
    <s v="Match"/>
    <x v="11"/>
    <x v="3"/>
    <s v="Lucknow"/>
    <s v="Sales Executive"/>
    <x v="11"/>
    <x v="4"/>
    <n v="3200"/>
    <n v="2050"/>
    <n v="2584"/>
    <n v="534"/>
  </r>
  <r>
    <s v="ORD26061014"/>
    <x v="10"/>
    <s v="C0100"/>
    <s v="E011"/>
    <s v="P006"/>
    <n v="1"/>
    <n v="1400"/>
    <n v="0.2"/>
    <x v="2"/>
    <s v="Website"/>
    <s v="Cash"/>
    <n v="1120"/>
    <s v="Hyderabad"/>
    <n v="1120"/>
    <s v="Match"/>
    <x v="11"/>
    <x v="3"/>
    <s v="Lucknow"/>
    <s v="Sales Executive"/>
    <x v="4"/>
    <x v="0"/>
    <n v="1400"/>
    <n v="780"/>
    <n v="0"/>
    <n v="-780"/>
  </r>
  <r>
    <s v="ORD26061015"/>
    <x v="68"/>
    <s v="C0057"/>
    <s v="E001"/>
    <s v="P005"/>
    <n v="1"/>
    <n v="15960"/>
    <n v="0"/>
    <x v="0"/>
    <s v="Phone"/>
    <s v="Credit"/>
    <n v="15960"/>
    <s v="Mumbai"/>
    <n v="15960"/>
    <s v="Match"/>
    <x v="14"/>
    <x v="0"/>
    <s v="Chennai"/>
    <s v="Sales Executive"/>
    <x v="9"/>
    <x v="1"/>
    <n v="16800"/>
    <n v="12600"/>
    <n v="15960"/>
    <n v="3360"/>
  </r>
  <r>
    <s v="ORD26011016"/>
    <x v="81"/>
    <s v="C0186"/>
    <s v="E003"/>
    <s v="P005"/>
    <n v="1"/>
    <n v="17640"/>
    <n v="0"/>
    <x v="0"/>
    <s v="Website"/>
    <s v="Cash"/>
    <n v="17640"/>
    <s v="Mumbai"/>
    <n v="17640"/>
    <s v="Match"/>
    <x v="7"/>
    <x v="0"/>
    <s v="Hyderabad"/>
    <s v="Sales Executive"/>
    <x v="9"/>
    <x v="1"/>
    <n v="16800"/>
    <n v="12600"/>
    <n v="17640"/>
    <n v="5040"/>
  </r>
  <r>
    <s v="ORD26051017"/>
    <x v="28"/>
    <s v="C0108"/>
    <s v="E013"/>
    <s v="P001"/>
    <n v="2"/>
    <n v="617.5"/>
    <n v="0.1"/>
    <x v="1"/>
    <s v="Phone"/>
    <s v="Cash"/>
    <n v="1111.5"/>
    <s v="Kolkata"/>
    <n v="1111.5"/>
    <s v="Match"/>
    <x v="2"/>
    <x v="1"/>
    <s v="Bhubaneswar"/>
    <s v="Sales Executive"/>
    <x v="0"/>
    <x v="0"/>
    <n v="650"/>
    <n v="390"/>
    <n v="0"/>
    <n v="-780"/>
  </r>
  <r>
    <s v="ORD26061018"/>
    <x v="10"/>
    <s v="C0017"/>
    <s v="E015"/>
    <s v="P008"/>
    <n v="4"/>
    <n v="7800"/>
    <n v="0"/>
    <x v="0"/>
    <s v="Direct"/>
    <s v="Bank Transfer"/>
    <n v="31200"/>
    <s v="Kolkata"/>
    <n v="31200"/>
    <s v="Match"/>
    <x v="9"/>
    <x v="4"/>
    <s v="Bhopal"/>
    <s v="Sales Executive"/>
    <x v="6"/>
    <x v="3"/>
    <n v="7800"/>
    <n v="5200"/>
    <n v="31200"/>
    <n v="10400"/>
  </r>
  <r>
    <s v="ORD26051019"/>
    <x v="157"/>
    <s v="C0063"/>
    <s v="E010"/>
    <s v="P010"/>
    <n v="2"/>
    <n v="3200"/>
    <n v="0"/>
    <x v="0"/>
    <s v="Website"/>
    <s v="Credit"/>
    <n v="6400"/>
    <s v="Chennai"/>
    <n v="6400"/>
    <s v="Match"/>
    <x v="6"/>
    <x v="3"/>
    <s v="Jaipur"/>
    <s v="Sales Executive"/>
    <x v="11"/>
    <x v="4"/>
    <n v="3200"/>
    <n v="2050"/>
    <n v="6400"/>
    <n v="2300"/>
  </r>
  <r>
    <s v="ORD26051020"/>
    <x v="18"/>
    <s v="C0059"/>
    <s v="E001"/>
    <s v="P009"/>
    <n v="2"/>
    <n v="18500"/>
    <n v="0"/>
    <x v="0"/>
    <s v="Website"/>
    <s v="Upi"/>
    <n v="37000"/>
    <s v="Kolkata"/>
    <n v="37000"/>
    <s v="Match"/>
    <x v="14"/>
    <x v="0"/>
    <s v="Chennai"/>
    <s v="Sales Executive"/>
    <x v="5"/>
    <x v="3"/>
    <n v="18500"/>
    <n v="13900"/>
    <n v="37000"/>
    <n v="9200"/>
  </r>
  <r>
    <s v="ORD26021021"/>
    <x v="88"/>
    <s v="C0103"/>
    <s v="E004"/>
    <s v="P002"/>
    <n v="3"/>
    <n v="2310"/>
    <n v="0"/>
    <x v="0"/>
    <s v="Direct"/>
    <s v="Bank Transfer"/>
    <n v="6930"/>
    <s v="Jaipur"/>
    <n v="6930"/>
    <s v="Match"/>
    <x v="1"/>
    <x v="0"/>
    <s v="Coimbatore"/>
    <s v="Sales Executive"/>
    <x v="8"/>
    <x v="0"/>
    <n v="2200"/>
    <n v="1450"/>
    <n v="6930"/>
    <n v="2580"/>
  </r>
  <r>
    <s v="ORD26061022"/>
    <x v="52"/>
    <s v="C0099"/>
    <s v="E005"/>
    <s v="P008"/>
    <n v="4"/>
    <n v="8190"/>
    <n v="0.1"/>
    <x v="0"/>
    <s v="Marketplace"/>
    <s v="Card"/>
    <n v="29484"/>
    <s v="Bengaluru"/>
    <n v="29484"/>
    <s v="Match"/>
    <x v="3"/>
    <x v="0"/>
    <s v="Kochi"/>
    <s v="Sales Executive"/>
    <x v="6"/>
    <x v="3"/>
    <n v="7800"/>
    <n v="5200"/>
    <n v="29484"/>
    <n v="8684"/>
  </r>
  <r>
    <s v="ORD26061023"/>
    <x v="85"/>
    <s v="C0085"/>
    <s v="E014"/>
    <s v="P012"/>
    <n v="1"/>
    <n v="48500"/>
    <n v="0.1"/>
    <x v="0"/>
    <s v="Website"/>
    <s v="Cash"/>
    <n v="43650"/>
    <s v="Pune"/>
    <n v="43650"/>
    <s v="Match"/>
    <x v="10"/>
    <x v="4"/>
    <s v="Indore"/>
    <s v="Sales Executive"/>
    <x v="2"/>
    <x v="2"/>
    <n v="48500"/>
    <n v="41200"/>
    <n v="43650"/>
    <n v="2450"/>
  </r>
  <r>
    <s v="ORD26041024"/>
    <x v="177"/>
    <s v="C0220"/>
    <s v="E007"/>
    <s v="P010"/>
    <n v="4"/>
    <n v="3360"/>
    <n v="0.05"/>
    <x v="0"/>
    <s v="Website"/>
    <s v="Credit"/>
    <n v="12768"/>
    <s v="Kolkata"/>
    <n v="12768"/>
    <s v="Match"/>
    <x v="4"/>
    <x v="2"/>
    <s v="Pune"/>
    <s v="Sales Executive"/>
    <x v="11"/>
    <x v="4"/>
    <n v="3200"/>
    <n v="2050"/>
    <n v="12768"/>
    <n v="4568"/>
  </r>
  <r>
    <s v="ORD26041025"/>
    <x v="122"/>
    <s v="C0130"/>
    <s v="E015"/>
    <s v="P011"/>
    <n v="4"/>
    <n v="2280"/>
    <n v="0.1"/>
    <x v="0"/>
    <s v="Phone"/>
    <s v="Bank Transfer"/>
    <n v="8208"/>
    <s v="Indore"/>
    <n v="8208"/>
    <s v="Match"/>
    <x v="9"/>
    <x v="4"/>
    <s v="Bhopal"/>
    <s v="Sales Executive"/>
    <x v="7"/>
    <x v="4"/>
    <n v="2400"/>
    <n v="1480"/>
    <n v="8208"/>
    <n v="2288"/>
  </r>
  <r>
    <s v="ORD26061026"/>
    <x v="146"/>
    <s v="C0220"/>
    <s v="E009"/>
    <s v="P006"/>
    <n v="2"/>
    <n v="1400"/>
    <n v="0"/>
    <x v="0"/>
    <s v="Website"/>
    <s v="Bank Transfer"/>
    <n v="2800"/>
    <s v="Bengaluru"/>
    <n v="2800"/>
    <s v="Match"/>
    <x v="13"/>
    <x v="3"/>
    <s v="Delhi"/>
    <s v="Sales Executive"/>
    <x v="4"/>
    <x v="0"/>
    <n v="1400"/>
    <n v="780"/>
    <n v="2800"/>
    <n v="1240"/>
  </r>
  <r>
    <s v="ORD26011027"/>
    <x v="112"/>
    <s v="C0005"/>
    <s v="E004"/>
    <s v="P011"/>
    <n v="2"/>
    <n v="2280"/>
    <n v="0"/>
    <x v="0"/>
    <s v="Marketplace"/>
    <s v="Upi"/>
    <n v="4560"/>
    <s v="Kolkata"/>
    <n v="4560"/>
    <s v="Match"/>
    <x v="1"/>
    <x v="0"/>
    <s v="Coimbatore"/>
    <s v="Sales Executive"/>
    <x v="7"/>
    <x v="4"/>
    <n v="2400"/>
    <n v="1480"/>
    <n v="4560"/>
    <n v="1600"/>
  </r>
  <r>
    <s v="ORD26021028"/>
    <x v="139"/>
    <s v="C0146"/>
    <s v="E008"/>
    <s v="P010"/>
    <n v="4"/>
    <n v="3360"/>
    <n v="0"/>
    <x v="0"/>
    <s v="Website"/>
    <s v="Credit"/>
    <n v="13440"/>
    <s v="Bengaluru"/>
    <n v="13440"/>
    <s v="Match"/>
    <x v="8"/>
    <x v="2"/>
    <s v="Ahmedabad"/>
    <s v="Sales Executive"/>
    <x v="11"/>
    <x v="4"/>
    <n v="3200"/>
    <n v="2050"/>
    <n v="13440"/>
    <n v="5240"/>
  </r>
  <r>
    <s v="ORD26011029"/>
    <x v="60"/>
    <s v="C0223"/>
    <s v="E009"/>
    <s v="P005"/>
    <n v="3"/>
    <n v="17640"/>
    <n v="0.2"/>
    <x v="0"/>
    <s v="Marketplace"/>
    <s v="Bank Transfer"/>
    <n v="42336"/>
    <s v="Bengaluru"/>
    <n v="42336"/>
    <s v="Match"/>
    <x v="13"/>
    <x v="3"/>
    <s v="Delhi"/>
    <s v="Sales Executive"/>
    <x v="9"/>
    <x v="1"/>
    <n v="16800"/>
    <n v="12600"/>
    <n v="42336"/>
    <n v="4536"/>
  </r>
  <r>
    <s v="ORD26021030"/>
    <x v="40"/>
    <s v="C0232"/>
    <s v="E001"/>
    <s v="P008"/>
    <n v="2"/>
    <n v="7410"/>
    <n v="0.05"/>
    <x v="0"/>
    <s v="Website"/>
    <s v="Credit"/>
    <n v="14079"/>
    <s v="Kolkata"/>
    <n v="14079"/>
    <s v="Match"/>
    <x v="14"/>
    <x v="0"/>
    <s v="Chennai"/>
    <s v="Sales Executive"/>
    <x v="6"/>
    <x v="3"/>
    <n v="7800"/>
    <n v="5200"/>
    <n v="14079"/>
    <n v="3679"/>
  </r>
  <r>
    <s v="ORD26061031"/>
    <x v="73"/>
    <s v="C0237"/>
    <s v="E007"/>
    <s v="P004"/>
    <n v="3"/>
    <n v="10640"/>
    <n v="0.05"/>
    <x v="0"/>
    <s v="Marketplace"/>
    <s v="Card"/>
    <n v="30324"/>
    <s v="Pune"/>
    <n v="30324"/>
    <s v="Match"/>
    <x v="4"/>
    <x v="2"/>
    <s v="Pune"/>
    <s v="Sales Executive"/>
    <x v="1"/>
    <x v="1"/>
    <n v="11200"/>
    <n v="8300"/>
    <n v="30324"/>
    <n v="5424"/>
  </r>
  <r>
    <s v="ORD26011032"/>
    <x v="33"/>
    <s v="C0036"/>
    <s v="E015"/>
    <s v="P009"/>
    <n v="5"/>
    <n v="17575"/>
    <n v="0"/>
    <x v="0"/>
    <s v="Phone"/>
    <s v="Upi"/>
    <n v="87875"/>
    <s v="Pune"/>
    <n v="87875"/>
    <s v="Match"/>
    <x v="9"/>
    <x v="4"/>
    <s v="Bhopal"/>
    <s v="Sales Executive"/>
    <x v="5"/>
    <x v="3"/>
    <n v="18500"/>
    <n v="13900"/>
    <n v="87875"/>
    <n v="18375"/>
  </r>
  <r>
    <s v="ORD26031033"/>
    <x v="39"/>
    <s v="C0253"/>
    <s v="E005"/>
    <s v="P006"/>
    <n v="4"/>
    <n v="1400"/>
    <n v="0.1"/>
    <x v="0"/>
    <s v="Direct"/>
    <s v="Cash"/>
    <n v="5040"/>
    <s v="Hyderabad"/>
    <n v="5040"/>
    <s v="Match"/>
    <x v="3"/>
    <x v="0"/>
    <s v="Kochi"/>
    <s v="Sales Executive"/>
    <x v="4"/>
    <x v="0"/>
    <n v="1400"/>
    <n v="780"/>
    <n v="5040"/>
    <n v="1920"/>
  </r>
  <r>
    <s v="ORD26061034"/>
    <x v="41"/>
    <s v="C0015"/>
    <s v="E008"/>
    <s v="P008"/>
    <n v="4"/>
    <n v="7410"/>
    <n v="0"/>
    <x v="2"/>
    <s v="Website"/>
    <s v="Upi"/>
    <n v="29640"/>
    <s v="Chennai"/>
    <n v="29640"/>
    <s v="Match"/>
    <x v="8"/>
    <x v="2"/>
    <s v="Ahmedabad"/>
    <s v="Sales Executive"/>
    <x v="6"/>
    <x v="3"/>
    <n v="7800"/>
    <n v="5200"/>
    <n v="0"/>
    <n v="-20800"/>
  </r>
  <r>
    <s v="ORD26021035"/>
    <x v="88"/>
    <s v="C0046"/>
    <s v="E002"/>
    <s v="P006"/>
    <n v="5"/>
    <n v="1400"/>
    <n v="0.2"/>
    <x v="0"/>
    <s v="Website"/>
    <s v="Bank Transfer"/>
    <n v="5600"/>
    <s v="Jaipur"/>
    <n v="5600"/>
    <s v="Match"/>
    <x v="0"/>
    <x v="0"/>
    <s v="Bengaluru"/>
    <s v="Sales Executive"/>
    <x v="4"/>
    <x v="0"/>
    <n v="1400"/>
    <n v="780"/>
    <n v="5600"/>
    <n v="1700"/>
  </r>
  <r>
    <s v="ORD26011036"/>
    <x v="3"/>
    <s v="C0057"/>
    <s v="E015"/>
    <s v="P012"/>
    <n v="5"/>
    <n v="46075"/>
    <n v="0.05"/>
    <x v="2"/>
    <s v="Direct"/>
    <s v="Bank Transfer"/>
    <n v="218856.25"/>
    <s v="Mumbai"/>
    <n v="218856.25"/>
    <s v="Match"/>
    <x v="9"/>
    <x v="4"/>
    <s v="Bhopal"/>
    <s v="Sales Executive"/>
    <x v="2"/>
    <x v="2"/>
    <n v="48500"/>
    <n v="41200"/>
    <n v="0"/>
    <n v="-206000"/>
  </r>
  <r>
    <s v="ORD26031037"/>
    <x v="24"/>
    <s v="C0071"/>
    <s v="E006"/>
    <s v="P012"/>
    <n v="3"/>
    <n v="48500"/>
    <n v="0.1"/>
    <x v="0"/>
    <s v="Phone"/>
    <s v="Upi"/>
    <n v="130950"/>
    <s v="Delhi"/>
    <n v="130950"/>
    <s v="Match"/>
    <x v="5"/>
    <x v="2"/>
    <s v="Mumbai"/>
    <s v="Sales Executive"/>
    <x v="2"/>
    <x v="2"/>
    <n v="48500"/>
    <n v="41200"/>
    <n v="130950"/>
    <n v="7350"/>
  </r>
  <r>
    <s v="ORD26031038"/>
    <x v="72"/>
    <s v="C0124"/>
    <s v="E014"/>
    <s v="P003"/>
    <n v="4"/>
    <n v="1710"/>
    <n v="0.1"/>
    <x v="0"/>
    <s v="Phone"/>
    <s v="Cash"/>
    <n v="6156"/>
    <s v="Hyderabad"/>
    <n v="6156"/>
    <s v="Match"/>
    <x v="10"/>
    <x v="4"/>
    <s v="Indore"/>
    <s v="Sales Executive"/>
    <x v="3"/>
    <x v="0"/>
    <n v="1800"/>
    <n v="1120"/>
    <n v="6156"/>
    <n v="1676"/>
  </r>
  <r>
    <s v="ORD26031039"/>
    <x v="167"/>
    <s v="C0043"/>
    <s v="E013"/>
    <s v="P012"/>
    <n v="2"/>
    <n v="48500"/>
    <n v="0"/>
    <x v="0"/>
    <s v="Website"/>
    <s v="Credit"/>
    <n v="97000"/>
    <s v="Bengaluru"/>
    <n v="97000"/>
    <s v="Match"/>
    <x v="2"/>
    <x v="1"/>
    <s v="Bhubaneswar"/>
    <s v="Sales Executive"/>
    <x v="2"/>
    <x v="2"/>
    <n v="48500"/>
    <n v="41200"/>
    <n v="97000"/>
    <n v="14600"/>
  </r>
  <r>
    <s v="ORD26061040"/>
    <x v="68"/>
    <s v="C0031"/>
    <s v="E011"/>
    <s v="P012"/>
    <n v="5"/>
    <n v="50925"/>
    <n v="0.2"/>
    <x v="0"/>
    <s v="Website"/>
    <s v="Upi"/>
    <n v="203700"/>
    <s v="Bengaluru"/>
    <n v="203700"/>
    <s v="Match"/>
    <x v="11"/>
    <x v="3"/>
    <s v="Lucknow"/>
    <s v="Sales Executive"/>
    <x v="2"/>
    <x v="2"/>
    <n v="48500"/>
    <n v="41200"/>
    <n v="203700"/>
    <n v="-2300"/>
  </r>
  <r>
    <s v="ORD26041041"/>
    <x v="77"/>
    <s v="C0160"/>
    <s v="E014"/>
    <s v="P007"/>
    <n v="1"/>
    <n v="2600"/>
    <n v="0"/>
    <x v="0"/>
    <s v="Phone"/>
    <s v="Card"/>
    <n v="2600"/>
    <s v="Jaipur"/>
    <n v="2600"/>
    <s v="Match"/>
    <x v="10"/>
    <x v="4"/>
    <s v="Indore"/>
    <s v="Sales Executive"/>
    <x v="10"/>
    <x v="0"/>
    <n v="2600"/>
    <n v="1750"/>
    <n v="2600"/>
    <n v="850"/>
  </r>
  <r>
    <s v="ORD26011042"/>
    <x v="81"/>
    <s v="C0104"/>
    <s v="E015"/>
    <s v="P003"/>
    <n v="1"/>
    <n v="1890"/>
    <n v="0.05"/>
    <x v="0"/>
    <s v="Phone"/>
    <s v="Card"/>
    <n v="1795.5"/>
    <s v="Mumbai"/>
    <n v="1795.5"/>
    <s v="Match"/>
    <x v="9"/>
    <x v="4"/>
    <s v="Bhopal"/>
    <s v="Sales Executive"/>
    <x v="3"/>
    <x v="0"/>
    <n v="1800"/>
    <n v="1120"/>
    <n v="1795.5"/>
    <n v="675.5"/>
  </r>
  <r>
    <s v="ORD26031043"/>
    <x v="148"/>
    <s v="C0237"/>
    <s v="E007"/>
    <s v="P003"/>
    <n v="3"/>
    <n v="1800"/>
    <n v="0.15"/>
    <x v="0"/>
    <s v="Direct"/>
    <s v="Upi"/>
    <n v="4590"/>
    <s v="Bengaluru"/>
    <n v="4590"/>
    <s v="Match"/>
    <x v="4"/>
    <x v="2"/>
    <s v="Pune"/>
    <s v="Sales Executive"/>
    <x v="3"/>
    <x v="0"/>
    <n v="1800"/>
    <n v="1120"/>
    <n v="4590"/>
    <n v="1230"/>
  </r>
  <r>
    <s v="ORD26011044"/>
    <x v="169"/>
    <s v="C0181"/>
    <s v="E015"/>
    <s v="P008"/>
    <n v="1"/>
    <n v="8190"/>
    <n v="0"/>
    <x v="0"/>
    <s v="Marketplace"/>
    <s v="Upi"/>
    <n v="8190"/>
    <s v="Jaipur"/>
    <n v="8190"/>
    <s v="Match"/>
    <x v="9"/>
    <x v="4"/>
    <s v="Bhopal"/>
    <s v="Sales Executive"/>
    <x v="6"/>
    <x v="3"/>
    <n v="7800"/>
    <n v="5200"/>
    <n v="8190"/>
    <n v="2990"/>
  </r>
  <r>
    <s v="ORD26011045"/>
    <x v="61"/>
    <s v="C0028"/>
    <s v="E006"/>
    <s v="P007"/>
    <n v="1"/>
    <n v="2600"/>
    <n v="0.1"/>
    <x v="0"/>
    <s v="Phone"/>
    <s v="Bank Transfer"/>
    <n v="2340"/>
    <s v="Kolkata"/>
    <n v="2340"/>
    <s v="Match"/>
    <x v="5"/>
    <x v="2"/>
    <s v="Mumbai"/>
    <s v="Sales Executive"/>
    <x v="10"/>
    <x v="0"/>
    <n v="2600"/>
    <n v="1750"/>
    <n v="2340"/>
    <n v="590"/>
  </r>
  <r>
    <s v="ORD26011046"/>
    <x v="25"/>
    <s v="C0207"/>
    <s v="E001"/>
    <s v="P011"/>
    <n v="2"/>
    <n v="2400"/>
    <n v="0.1"/>
    <x v="0"/>
    <s v="Website"/>
    <s v="Credit"/>
    <n v="4320"/>
    <s v="Hyderabad"/>
    <n v="4320"/>
    <s v="Match"/>
    <x v="14"/>
    <x v="0"/>
    <s v="Chennai"/>
    <s v="Sales Executive"/>
    <x v="7"/>
    <x v="4"/>
    <n v="2400"/>
    <n v="1480"/>
    <n v="4320"/>
    <n v="1360"/>
  </r>
  <r>
    <s v="ORD26051047"/>
    <x v="120"/>
    <s v="C0057"/>
    <s v="E010"/>
    <s v="P008"/>
    <n v="2"/>
    <n v="7800"/>
    <n v="0"/>
    <x v="0"/>
    <s v="Website"/>
    <s v="Upi"/>
    <n v="15600"/>
    <s v="Chennai"/>
    <n v="15600"/>
    <s v="Match"/>
    <x v="6"/>
    <x v="3"/>
    <s v="Jaipur"/>
    <s v="Sales Executive"/>
    <x v="6"/>
    <x v="3"/>
    <n v="7800"/>
    <n v="5200"/>
    <n v="15600"/>
    <n v="5200"/>
  </r>
  <r>
    <s v="ORD26011048"/>
    <x v="33"/>
    <s v="C0208"/>
    <s v="E010"/>
    <s v="P005"/>
    <n v="1"/>
    <n v="16800"/>
    <n v="0.15"/>
    <x v="0"/>
    <s v="Phone"/>
    <s v="Cash"/>
    <n v="14280"/>
    <s v="Mumbai"/>
    <n v="14280"/>
    <s v="Match"/>
    <x v="6"/>
    <x v="3"/>
    <s v="Jaipur"/>
    <s v="Sales Executive"/>
    <x v="9"/>
    <x v="1"/>
    <n v="16800"/>
    <n v="12600"/>
    <n v="14280"/>
    <n v="1680"/>
  </r>
  <r>
    <s v="ORD26021049"/>
    <x v="56"/>
    <s v="C0178"/>
    <s v="E012"/>
    <s v="P012"/>
    <n v="1"/>
    <n v="48500"/>
    <n v="0"/>
    <x v="0"/>
    <s v="Marketplace"/>
    <s v="Credit"/>
    <n v="48500"/>
    <s v="Hyderabad"/>
    <n v="48500"/>
    <s v="Match"/>
    <x v="12"/>
    <x v="1"/>
    <s v="Kolkata"/>
    <s v="Sales Executive"/>
    <x v="2"/>
    <x v="2"/>
    <n v="48500"/>
    <n v="41200"/>
    <n v="48500"/>
    <n v="7300"/>
  </r>
  <r>
    <s v="ORD26011050"/>
    <x v="150"/>
    <s v="C0123"/>
    <s v="E002"/>
    <s v="P003"/>
    <n v="2"/>
    <n v="1800"/>
    <n v="0.2"/>
    <x v="0"/>
    <s v="Website"/>
    <s v="Bank Transfer"/>
    <n v="2880"/>
    <s v="Unknown"/>
    <n v="2880"/>
    <s v="Match"/>
    <x v="0"/>
    <x v="0"/>
    <s v="Bengaluru"/>
    <s v="Sales Executive"/>
    <x v="3"/>
    <x v="0"/>
    <n v="1800"/>
    <n v="1120"/>
    <n v="2880"/>
    <n v="640"/>
  </r>
  <r>
    <s v="ORD26021051"/>
    <x v="174"/>
    <s v="C0220"/>
    <s v="E003"/>
    <s v="P006"/>
    <n v="5"/>
    <n v="1470"/>
    <n v="0"/>
    <x v="3"/>
    <s v="Marketplace"/>
    <s v="Upi"/>
    <n v="7350"/>
    <s v="Delhi"/>
    <n v="7350"/>
    <s v="Match"/>
    <x v="7"/>
    <x v="0"/>
    <s v="Hyderabad"/>
    <s v="Sales Executive"/>
    <x v="4"/>
    <x v="0"/>
    <n v="1400"/>
    <n v="780"/>
    <n v="0"/>
    <n v="-3900"/>
  </r>
  <r>
    <s v="ORD26031052"/>
    <x v="24"/>
    <s v="C0001"/>
    <s v="E015"/>
    <s v="P002"/>
    <n v="1"/>
    <n v="2310"/>
    <n v="0"/>
    <x v="0"/>
    <s v="Phone"/>
    <s v="Card"/>
    <n v="2310"/>
    <s v="Kochi"/>
    <n v="2310"/>
    <s v="Match"/>
    <x v="9"/>
    <x v="4"/>
    <s v="Bhopal"/>
    <s v="Sales Executive"/>
    <x v="8"/>
    <x v="0"/>
    <n v="2200"/>
    <n v="1450"/>
    <n v="2310"/>
    <n v="860"/>
  </r>
  <r>
    <s v="ORD26011053"/>
    <x v="102"/>
    <s v="C0076"/>
    <s v="E001"/>
    <s v="P001"/>
    <n v="3"/>
    <n v="650"/>
    <n v="0.05"/>
    <x v="2"/>
    <s v="Direct"/>
    <s v="Upi"/>
    <n v="1852.5"/>
    <s v="Hyderabad"/>
    <n v="1852.5"/>
    <s v="Match"/>
    <x v="14"/>
    <x v="0"/>
    <s v="Chennai"/>
    <s v="Sales Executive"/>
    <x v="0"/>
    <x v="0"/>
    <n v="650"/>
    <n v="390"/>
    <n v="0"/>
    <n v="-1170"/>
  </r>
  <r>
    <s v="ORD26031054"/>
    <x v="96"/>
    <s v="C0130"/>
    <s v="E008"/>
    <s v="P008"/>
    <n v="4"/>
    <n v="8190"/>
    <n v="0.15"/>
    <x v="0"/>
    <s v="Marketplace"/>
    <s v="Cash"/>
    <n v="27846"/>
    <s v="Chennai"/>
    <n v="27846"/>
    <s v="Match"/>
    <x v="8"/>
    <x v="2"/>
    <s v="Ahmedabad"/>
    <s v="Sales Executive"/>
    <x v="6"/>
    <x v="3"/>
    <n v="7800"/>
    <n v="5200"/>
    <n v="27846"/>
    <n v="7046"/>
  </r>
  <r>
    <s v="ORD26041055"/>
    <x v="57"/>
    <s v="C0058"/>
    <s v="E005"/>
    <s v="P012"/>
    <n v="2"/>
    <n v="50925"/>
    <n v="0.15"/>
    <x v="0"/>
    <s v="Marketplace"/>
    <s v="Card"/>
    <n v="86572.5"/>
    <s v="Chennai"/>
    <n v="86572.5"/>
    <s v="Match"/>
    <x v="3"/>
    <x v="0"/>
    <s v="Kochi"/>
    <s v="Sales Executive"/>
    <x v="2"/>
    <x v="2"/>
    <n v="48500"/>
    <n v="41200"/>
    <n v="86572.5"/>
    <n v="4172.5"/>
  </r>
  <r>
    <s v="ORD26021056"/>
    <x v="92"/>
    <s v="C0126"/>
    <s v="E007"/>
    <s v="P004"/>
    <n v="3"/>
    <n v="10640"/>
    <n v="0"/>
    <x v="0"/>
    <s v="Phone"/>
    <s v="Bank Transfer"/>
    <n v="31920"/>
    <s v="Bengaluru"/>
    <n v="31920"/>
    <s v="Match"/>
    <x v="4"/>
    <x v="2"/>
    <s v="Pune"/>
    <s v="Sales Executive"/>
    <x v="1"/>
    <x v="1"/>
    <n v="11200"/>
    <n v="8300"/>
    <n v="31920"/>
    <n v="7020"/>
  </r>
  <r>
    <s v="ORD26011057"/>
    <x v="53"/>
    <s v="C0090"/>
    <s v="E004"/>
    <s v="P007"/>
    <n v="3"/>
    <n v="2730"/>
    <n v="0.05"/>
    <x v="2"/>
    <s v="Marketplace"/>
    <s v="Bank Transfer"/>
    <n v="7780.5"/>
    <s v="Kolkata"/>
    <n v="7780.5"/>
    <s v="Match"/>
    <x v="1"/>
    <x v="0"/>
    <s v="Coimbatore"/>
    <s v="Sales Executive"/>
    <x v="10"/>
    <x v="0"/>
    <n v="2600"/>
    <n v="1750"/>
    <n v="0"/>
    <n v="-5250"/>
  </r>
  <r>
    <s v="ORD26041058"/>
    <x v="173"/>
    <s v="C0176"/>
    <s v="E010"/>
    <s v="P007"/>
    <n v="8"/>
    <n v="2470"/>
    <n v="0.05"/>
    <x v="0"/>
    <s v="Direct"/>
    <s v="Cash"/>
    <n v="18772"/>
    <s v="Kochi"/>
    <n v="18772"/>
    <s v="Match"/>
    <x v="6"/>
    <x v="3"/>
    <s v="Jaipur"/>
    <s v="Sales Executive"/>
    <x v="10"/>
    <x v="0"/>
    <n v="2600"/>
    <n v="1750"/>
    <n v="18772"/>
    <n v="4772"/>
  </r>
  <r>
    <s v="ORD26051059"/>
    <x v="64"/>
    <s v="C0239"/>
    <s v="E013"/>
    <s v="P006"/>
    <n v="1"/>
    <n v="1400"/>
    <n v="0"/>
    <x v="0"/>
    <s v="Website"/>
    <s v="Credit"/>
    <n v="1400"/>
    <s v="Hyderabad"/>
    <n v="1400"/>
    <s v="Match"/>
    <x v="2"/>
    <x v="1"/>
    <s v="Bhubaneswar"/>
    <s v="Sales Executive"/>
    <x v="4"/>
    <x v="0"/>
    <n v="1400"/>
    <n v="780"/>
    <n v="1400"/>
    <n v="620"/>
  </r>
  <r>
    <s v="ORD26061060"/>
    <x v="37"/>
    <s v="C0008"/>
    <s v="E009"/>
    <s v="P011"/>
    <n v="1"/>
    <n v="2400"/>
    <n v="0.1"/>
    <x v="0"/>
    <s v="Direct"/>
    <s v="Upi"/>
    <n v="2160"/>
    <s v="Bengaluru"/>
    <n v="2160"/>
    <s v="Match"/>
    <x v="13"/>
    <x v="3"/>
    <s v="Delhi"/>
    <s v="Sales Executive"/>
    <x v="7"/>
    <x v="4"/>
    <n v="2400"/>
    <n v="1480"/>
    <n v="2160"/>
    <n v="680"/>
  </r>
  <r>
    <s v="ORD26031061"/>
    <x v="178"/>
    <s v="C0181"/>
    <s v="E014"/>
    <s v="P010"/>
    <n v="1"/>
    <n v="3360"/>
    <n v="0.1"/>
    <x v="0"/>
    <s v="Direct"/>
    <s v="Upi"/>
    <n v="3024"/>
    <s v="Hyderabad"/>
    <n v="3024"/>
    <s v="Match"/>
    <x v="10"/>
    <x v="4"/>
    <s v="Indore"/>
    <s v="Sales Executive"/>
    <x v="11"/>
    <x v="4"/>
    <n v="3200"/>
    <n v="2050"/>
    <n v="3024"/>
    <n v="974"/>
  </r>
  <r>
    <s v="ORD26021062"/>
    <x v="88"/>
    <s v="C0045"/>
    <s v="E006"/>
    <s v="P005"/>
    <n v="4"/>
    <n v="16800"/>
    <n v="0.15"/>
    <x v="0"/>
    <s v="Marketplace"/>
    <s v="Card"/>
    <n v="57120"/>
    <s v="Bengaluru"/>
    <n v="57120"/>
    <s v="Match"/>
    <x v="5"/>
    <x v="2"/>
    <s v="Mumbai"/>
    <s v="Sales Executive"/>
    <x v="9"/>
    <x v="1"/>
    <n v="16800"/>
    <n v="12600"/>
    <n v="57120"/>
    <n v="6720"/>
  </r>
  <r>
    <s v="ORD26041063"/>
    <x v="175"/>
    <s v="C0128"/>
    <s v="E010"/>
    <s v="P002"/>
    <n v="1"/>
    <n v="2200"/>
    <n v="0"/>
    <x v="0"/>
    <s v="Phone"/>
    <s v="Cash"/>
    <n v="2200"/>
    <s v="Pune"/>
    <n v="2200"/>
    <s v="Match"/>
    <x v="6"/>
    <x v="3"/>
    <s v="Jaipur"/>
    <s v="Sales Executive"/>
    <x v="8"/>
    <x v="0"/>
    <n v="2200"/>
    <n v="1450"/>
    <n v="2200"/>
    <n v="750"/>
  </r>
  <r>
    <s v="ORD26011064"/>
    <x v="25"/>
    <s v="C0166"/>
    <s v="E015"/>
    <s v="P005"/>
    <n v="8"/>
    <n v="17640"/>
    <n v="0.15"/>
    <x v="0"/>
    <s v="Website"/>
    <s v="Card"/>
    <n v="119952"/>
    <s v="Hyderabad"/>
    <n v="119952"/>
    <s v="Match"/>
    <x v="9"/>
    <x v="4"/>
    <s v="Bhopal"/>
    <s v="Sales Executive"/>
    <x v="9"/>
    <x v="1"/>
    <n v="16800"/>
    <n v="12600"/>
    <n v="119952"/>
    <n v="19152"/>
  </r>
  <r>
    <s v="ORD26021065"/>
    <x v="126"/>
    <s v="C0094"/>
    <s v="E007"/>
    <s v="P009"/>
    <n v="1"/>
    <n v="19425"/>
    <n v="0.05"/>
    <x v="0"/>
    <s v="Phone"/>
    <s v="Cash"/>
    <n v="18453.75"/>
    <s v="Mumbai"/>
    <n v="18453.75"/>
    <s v="Match"/>
    <x v="4"/>
    <x v="2"/>
    <s v="Pune"/>
    <s v="Sales Executive"/>
    <x v="5"/>
    <x v="3"/>
    <n v="18500"/>
    <n v="13900"/>
    <n v="18453.75"/>
    <n v="4553.75"/>
  </r>
  <r>
    <s v="ORD26021066"/>
    <x v="88"/>
    <s v="C0240"/>
    <s v="E009"/>
    <s v="P008"/>
    <n v="3"/>
    <n v="7800"/>
    <n v="0.15"/>
    <x v="1"/>
    <s v="Marketplace"/>
    <s v="Cash"/>
    <n v="19890"/>
    <s v="Kochi"/>
    <n v="19890"/>
    <s v="Match"/>
    <x v="13"/>
    <x v="3"/>
    <s v="Delhi"/>
    <s v="Sales Executive"/>
    <x v="6"/>
    <x v="3"/>
    <n v="7800"/>
    <n v="5200"/>
    <n v="0"/>
    <n v="-15600"/>
  </r>
  <r>
    <s v="ORD26041067"/>
    <x v="170"/>
    <s v="C0046"/>
    <s v="E007"/>
    <s v="P008"/>
    <n v="1"/>
    <n v="8190"/>
    <n v="0.15"/>
    <x v="0"/>
    <s v="Website"/>
    <s v="Credit"/>
    <n v="6961.5"/>
    <s v="Hyderabad"/>
    <n v="6961.5"/>
    <s v="Match"/>
    <x v="4"/>
    <x v="2"/>
    <s v="Pune"/>
    <s v="Sales Executive"/>
    <x v="6"/>
    <x v="3"/>
    <n v="7800"/>
    <n v="5200"/>
    <n v="6961.5"/>
    <n v="1761.5"/>
  </r>
  <r>
    <s v="ORD26031068"/>
    <x v="108"/>
    <s v="C0028"/>
    <s v="E010"/>
    <s v="P009"/>
    <n v="2"/>
    <n v="18500"/>
    <n v="0.15"/>
    <x v="0"/>
    <s v="Phone"/>
    <s v="Card"/>
    <n v="31450"/>
    <s v="Pune"/>
    <n v="31450"/>
    <s v="Match"/>
    <x v="6"/>
    <x v="3"/>
    <s v="Jaipur"/>
    <s v="Sales Executive"/>
    <x v="5"/>
    <x v="3"/>
    <n v="18500"/>
    <n v="13900"/>
    <n v="31450"/>
    <n v="3650"/>
  </r>
  <r>
    <s v="ORD26061069"/>
    <x v="152"/>
    <s v="C0044"/>
    <s v="E001"/>
    <s v="P008"/>
    <n v="4"/>
    <n v="7410"/>
    <n v="0.15"/>
    <x v="0"/>
    <s v="Direct"/>
    <s v="Bank Transfer"/>
    <n v="25194"/>
    <s v="Mumbai"/>
    <n v="25194"/>
    <s v="Match"/>
    <x v="14"/>
    <x v="0"/>
    <s v="Chennai"/>
    <s v="Sales Executive"/>
    <x v="6"/>
    <x v="3"/>
    <n v="7800"/>
    <n v="5200"/>
    <n v="25194"/>
    <n v="4394"/>
  </r>
  <r>
    <s v="ORD26031070"/>
    <x v="96"/>
    <s v="C0032"/>
    <s v="E010"/>
    <s v="P002"/>
    <n v="4"/>
    <n v="2200"/>
    <n v="0.15"/>
    <x v="0"/>
    <s v="Direct"/>
    <s v="Credit"/>
    <n v="7480"/>
    <s v="Jaipur"/>
    <n v="7480"/>
    <s v="Match"/>
    <x v="6"/>
    <x v="3"/>
    <s v="Jaipur"/>
    <s v="Sales Executive"/>
    <x v="8"/>
    <x v="0"/>
    <n v="2200"/>
    <n v="1450"/>
    <n v="7480"/>
    <n v="1680"/>
  </r>
  <r>
    <s v="ORD26011071"/>
    <x v="17"/>
    <s v="C0070"/>
    <s v="E012"/>
    <s v="P004"/>
    <n v="2"/>
    <n v="11760"/>
    <n v="0.15"/>
    <x v="0"/>
    <s v="Website"/>
    <s v="Card"/>
    <n v="19992"/>
    <s v="Hyderabad"/>
    <n v="19992"/>
    <s v="Match"/>
    <x v="12"/>
    <x v="1"/>
    <s v="Kolkata"/>
    <s v="Sales Executive"/>
    <x v="1"/>
    <x v="1"/>
    <n v="11200"/>
    <n v="8300"/>
    <n v="19992"/>
    <n v="3392"/>
  </r>
  <r>
    <s v="ORD26061072"/>
    <x v="9"/>
    <s v="C0059"/>
    <s v="E005"/>
    <s v="P012"/>
    <n v="10"/>
    <n v="48500"/>
    <n v="0"/>
    <x v="0"/>
    <s v="Direct"/>
    <s v="Upi"/>
    <n v="485000"/>
    <s v="Delhi"/>
    <n v="485000"/>
    <s v="Match"/>
    <x v="3"/>
    <x v="0"/>
    <s v="Kochi"/>
    <s v="Sales Executive"/>
    <x v="2"/>
    <x v="2"/>
    <n v="48500"/>
    <n v="41200"/>
    <n v="485000"/>
    <n v="73000"/>
  </r>
  <r>
    <s v="ORD26061073"/>
    <x v="83"/>
    <s v="C0013"/>
    <s v="E015"/>
    <s v="P002"/>
    <n v="2"/>
    <n v="2310"/>
    <n v="0"/>
    <x v="0"/>
    <s v="Phone"/>
    <s v="Cash"/>
    <n v="4620"/>
    <s v="Unknown"/>
    <n v="4620"/>
    <s v="Match"/>
    <x v="9"/>
    <x v="4"/>
    <s v="Bhopal"/>
    <s v="Sales Executive"/>
    <x v="8"/>
    <x v="0"/>
    <n v="2200"/>
    <n v="1450"/>
    <n v="4620"/>
    <n v="1720"/>
  </r>
  <r>
    <s v="ORD26021074"/>
    <x v="102"/>
    <s v="C0225"/>
    <s v="E005"/>
    <s v="P007"/>
    <n v="2"/>
    <n v="2600"/>
    <n v="0"/>
    <x v="0"/>
    <s v="Direct"/>
    <s v="Cash"/>
    <n v="5200"/>
    <s v="Delhi"/>
    <n v="5200"/>
    <s v="Match"/>
    <x v="3"/>
    <x v="0"/>
    <s v="Kochi"/>
    <s v="Sales Executive"/>
    <x v="10"/>
    <x v="0"/>
    <n v="2600"/>
    <n v="1750"/>
    <n v="5200"/>
    <n v="1700"/>
  </r>
  <r>
    <s v="ORD26061075"/>
    <x v="10"/>
    <s v="C0103"/>
    <s v="E001"/>
    <s v="P003"/>
    <n v="1"/>
    <n v="1800"/>
    <n v="0.2"/>
    <x v="0"/>
    <s v="Phone"/>
    <s v="Cash"/>
    <n v="1440"/>
    <s v="Hyderabad"/>
    <n v="1440"/>
    <s v="Match"/>
    <x v="14"/>
    <x v="0"/>
    <s v="Chennai"/>
    <s v="Sales Executive"/>
    <x v="3"/>
    <x v="0"/>
    <n v="1800"/>
    <n v="1120"/>
    <n v="1440"/>
    <n v="320"/>
  </r>
  <r>
    <s v="ORD26031076"/>
    <x v="70"/>
    <s v="C0201"/>
    <s v="E011"/>
    <s v="P002"/>
    <n v="8"/>
    <n v="2200"/>
    <n v="0.1"/>
    <x v="0"/>
    <s v="Phone"/>
    <s v="Upi"/>
    <n v="15840"/>
    <s v="Kochi"/>
    <n v="15840"/>
    <s v="Match"/>
    <x v="11"/>
    <x v="3"/>
    <s v="Lucknow"/>
    <s v="Sales Executive"/>
    <x v="8"/>
    <x v="0"/>
    <n v="2200"/>
    <n v="1450"/>
    <n v="15840"/>
    <n v="4240"/>
  </r>
  <r>
    <s v="ORD26041077"/>
    <x v="168"/>
    <s v="C0006"/>
    <s v="E014"/>
    <s v="P007"/>
    <n v="1"/>
    <n v="2730"/>
    <n v="0.05"/>
    <x v="0"/>
    <s v="Marketplace"/>
    <s v="Upi"/>
    <n v="2593.5"/>
    <s v="Indore"/>
    <n v="2593.5"/>
    <s v="Match"/>
    <x v="10"/>
    <x v="4"/>
    <s v="Indore"/>
    <s v="Sales Executive"/>
    <x v="10"/>
    <x v="0"/>
    <n v="2600"/>
    <n v="1750"/>
    <n v="2593.5"/>
    <n v="843.5"/>
  </r>
  <r>
    <s v="ORD26041078"/>
    <x v="179"/>
    <s v="C0142"/>
    <s v="E001"/>
    <s v="P006"/>
    <n v="8"/>
    <n v="1470"/>
    <n v="0.1"/>
    <x v="2"/>
    <s v="Direct"/>
    <s v="Card"/>
    <n v="10584"/>
    <s v="Kolkata"/>
    <n v="10584"/>
    <s v="Match"/>
    <x v="14"/>
    <x v="0"/>
    <s v="Chennai"/>
    <s v="Sales Executive"/>
    <x v="4"/>
    <x v="0"/>
    <n v="1400"/>
    <n v="780"/>
    <n v="0"/>
    <n v="-6240"/>
  </r>
  <r>
    <s v="ORD26051079"/>
    <x v="161"/>
    <s v="C0090"/>
    <s v="E014"/>
    <s v="P009"/>
    <n v="1"/>
    <n v="17575"/>
    <n v="0.2"/>
    <x v="0"/>
    <s v="Website"/>
    <s v="Bank Transfer"/>
    <n v="14060"/>
    <s v="Indore"/>
    <n v="14060"/>
    <s v="Match"/>
    <x v="10"/>
    <x v="4"/>
    <s v="Indore"/>
    <s v="Sales Executive"/>
    <x v="5"/>
    <x v="3"/>
    <n v="18500"/>
    <n v="13900"/>
    <n v="14060"/>
    <n v="160"/>
  </r>
  <r>
    <s v="ORD26031080"/>
    <x v="84"/>
    <s v="C0202"/>
    <s v="E008"/>
    <s v="P012"/>
    <n v="5"/>
    <n v="48500"/>
    <n v="0"/>
    <x v="0"/>
    <s v="Direct"/>
    <s v="Cash"/>
    <n v="242500"/>
    <s v="Pune"/>
    <n v="242500"/>
    <s v="Match"/>
    <x v="8"/>
    <x v="2"/>
    <s v="Ahmedabad"/>
    <s v="Sales Executive"/>
    <x v="2"/>
    <x v="2"/>
    <n v="48500"/>
    <n v="41200"/>
    <n v="242500"/>
    <n v="36500"/>
  </r>
  <r>
    <s v="ORD26051081"/>
    <x v="47"/>
    <s v="C0067"/>
    <s v="E010"/>
    <s v="P011"/>
    <n v="1"/>
    <n v="2400"/>
    <n v="0.2"/>
    <x v="1"/>
    <s v="Marketplace"/>
    <s v="Credit"/>
    <n v="1920"/>
    <s v="Indore"/>
    <n v="1920"/>
    <s v="Match"/>
    <x v="6"/>
    <x v="3"/>
    <s v="Jaipur"/>
    <s v="Sales Executive"/>
    <x v="7"/>
    <x v="4"/>
    <n v="2400"/>
    <n v="1480"/>
    <n v="0"/>
    <n v="-1480"/>
  </r>
  <r>
    <s v="ORD26031082"/>
    <x v="130"/>
    <s v="C0119"/>
    <s v="E010"/>
    <s v="P010"/>
    <n v="4"/>
    <n v="3200"/>
    <n v="0"/>
    <x v="0"/>
    <s v="Direct"/>
    <s v="Upi"/>
    <n v="12800"/>
    <s v="Kochi"/>
    <n v="12800"/>
    <s v="Match"/>
    <x v="6"/>
    <x v="3"/>
    <s v="Jaipur"/>
    <s v="Sales Executive"/>
    <x v="11"/>
    <x v="4"/>
    <n v="3200"/>
    <n v="2050"/>
    <n v="12800"/>
    <n v="4600"/>
  </r>
  <r>
    <s v="ORD26061083"/>
    <x v="129"/>
    <s v="C0090"/>
    <s v="E008"/>
    <s v="P006"/>
    <n v="4"/>
    <n v="1330"/>
    <n v="0.2"/>
    <x v="0"/>
    <s v="Phone"/>
    <s v="Cash"/>
    <n v="4256"/>
    <s v="Mumbai"/>
    <n v="4256"/>
    <s v="Match"/>
    <x v="8"/>
    <x v="2"/>
    <s v="Ahmedabad"/>
    <s v="Sales Executive"/>
    <x v="4"/>
    <x v="0"/>
    <n v="1400"/>
    <n v="780"/>
    <n v="4256"/>
    <n v="1136"/>
  </r>
  <r>
    <s v="ORD26011084"/>
    <x v="94"/>
    <s v="C0016"/>
    <s v="E010"/>
    <s v="P005"/>
    <n v="1"/>
    <n v="16800"/>
    <n v="0.2"/>
    <x v="0"/>
    <s v="Website"/>
    <s v="Bank Transfer"/>
    <n v="13440"/>
    <s v="Mumbai"/>
    <n v="13440"/>
    <s v="Match"/>
    <x v="6"/>
    <x v="3"/>
    <s v="Jaipur"/>
    <s v="Sales Executive"/>
    <x v="9"/>
    <x v="1"/>
    <n v="16800"/>
    <n v="12600"/>
    <n v="13440"/>
    <n v="840"/>
  </r>
  <r>
    <s v="ORD26061085"/>
    <x v="41"/>
    <s v="C0101"/>
    <s v="E008"/>
    <s v="P007"/>
    <n v="1"/>
    <n v="2600"/>
    <n v="0.2"/>
    <x v="0"/>
    <s v="Marketplace"/>
    <s v="Cash"/>
    <n v="2080"/>
    <s v="Kochi"/>
    <n v="2080"/>
    <s v="Match"/>
    <x v="8"/>
    <x v="2"/>
    <s v="Ahmedabad"/>
    <s v="Sales Executive"/>
    <x v="10"/>
    <x v="0"/>
    <n v="2600"/>
    <n v="1750"/>
    <n v="2080"/>
    <n v="330"/>
  </r>
  <r>
    <s v="ORD26061086"/>
    <x v="129"/>
    <s v="C0045"/>
    <s v="E005"/>
    <s v="P004"/>
    <n v="1"/>
    <n v="11200"/>
    <n v="0"/>
    <x v="0"/>
    <s v="Direct"/>
    <s v="Upi"/>
    <n v="11200"/>
    <s v="Bengaluru"/>
    <n v="11200"/>
    <s v="Match"/>
    <x v="3"/>
    <x v="0"/>
    <s v="Kochi"/>
    <s v="Sales Executive"/>
    <x v="1"/>
    <x v="1"/>
    <n v="11200"/>
    <n v="8300"/>
    <n v="11200"/>
    <n v="2900"/>
  </r>
  <r>
    <s v="ORD26011087"/>
    <x v="7"/>
    <s v="C0175"/>
    <s v="E013"/>
    <s v="P003"/>
    <n v="5"/>
    <n v="1710"/>
    <n v="0.05"/>
    <x v="0"/>
    <s v="Website"/>
    <s v="Credit"/>
    <n v="8122.5"/>
    <s v="Kochi"/>
    <n v="8122.5"/>
    <s v="Match"/>
    <x v="2"/>
    <x v="1"/>
    <s v="Bhubaneswar"/>
    <s v="Sales Executive"/>
    <x v="3"/>
    <x v="0"/>
    <n v="1800"/>
    <n v="1120"/>
    <n v="8122.5"/>
    <n v="2522.5"/>
  </r>
  <r>
    <s v="ORD26021088"/>
    <x v="36"/>
    <s v="C0071"/>
    <s v="E014"/>
    <s v="P004"/>
    <n v="3"/>
    <n v="11200"/>
    <n v="0.1"/>
    <x v="0"/>
    <s v="Direct"/>
    <s v="Cash"/>
    <n v="30240"/>
    <s v="Pune"/>
    <n v="30240"/>
    <s v="Match"/>
    <x v="10"/>
    <x v="4"/>
    <s v="Indore"/>
    <s v="Sales Executive"/>
    <x v="1"/>
    <x v="1"/>
    <n v="11200"/>
    <n v="8300"/>
    <n v="30240"/>
    <n v="5340"/>
  </r>
  <r>
    <s v="ORD26061089"/>
    <x v="9"/>
    <s v="C0052"/>
    <s v="Unknown"/>
    <s v="P002"/>
    <n v="3"/>
    <n v="2200"/>
    <n v="0"/>
    <x v="0"/>
    <s v="Direct"/>
    <s v="Cash"/>
    <n v="6600"/>
    <s v="Bengaluru"/>
    <n v="6600"/>
    <s v="Match"/>
    <x v="15"/>
    <x v="5"/>
    <m/>
    <m/>
    <x v="8"/>
    <x v="0"/>
    <n v="2200"/>
    <n v="1450"/>
    <n v="6600"/>
    <n v="2250"/>
  </r>
  <r>
    <s v="ORD26011090"/>
    <x v="17"/>
    <s v="C0129"/>
    <s v="E010"/>
    <s v="P009"/>
    <n v="2"/>
    <n v="18500"/>
    <n v="0"/>
    <x v="0"/>
    <s v="Phone"/>
    <s v="Bank Transfer"/>
    <n v="37000"/>
    <s v="Mumbai"/>
    <n v="37000"/>
    <s v="Match"/>
    <x v="6"/>
    <x v="3"/>
    <s v="Jaipur"/>
    <s v="Sales Executive"/>
    <x v="5"/>
    <x v="3"/>
    <n v="18500"/>
    <n v="13900"/>
    <n v="37000"/>
    <n v="9200"/>
  </r>
  <r>
    <s v="ORD26021091"/>
    <x v="26"/>
    <s v="C0205"/>
    <s v="E005"/>
    <s v="P002"/>
    <n v="2"/>
    <n v="2200"/>
    <n v="0"/>
    <x v="2"/>
    <s v="Direct"/>
    <s v="Credit"/>
    <n v="4400"/>
    <s v="Mumbai"/>
    <n v="4400"/>
    <s v="Match"/>
    <x v="3"/>
    <x v="0"/>
    <s v="Kochi"/>
    <s v="Sales Executive"/>
    <x v="8"/>
    <x v="0"/>
    <n v="2200"/>
    <n v="1450"/>
    <n v="0"/>
    <n v="-2900"/>
  </r>
  <r>
    <s v="ORD26051092"/>
    <x v="166"/>
    <s v="C0103"/>
    <s v="E008"/>
    <s v="P005"/>
    <n v="3"/>
    <n v="16800"/>
    <n v="0"/>
    <x v="0"/>
    <s v="Marketplace"/>
    <s v="Upi"/>
    <n v="50400"/>
    <s v="Delhi"/>
    <n v="50400"/>
    <s v="Match"/>
    <x v="8"/>
    <x v="2"/>
    <s v="Ahmedabad"/>
    <s v="Sales Executive"/>
    <x v="9"/>
    <x v="1"/>
    <n v="16800"/>
    <n v="12600"/>
    <n v="50400"/>
    <n v="12600"/>
  </r>
  <r>
    <s v="ORD26021093"/>
    <x v="134"/>
    <s v="C0121"/>
    <s v="E009"/>
    <s v="P012"/>
    <n v="2"/>
    <n v="46075"/>
    <n v="0.2"/>
    <x v="1"/>
    <s v="Phone"/>
    <s v="Upi"/>
    <n v="73720"/>
    <s v="Indore"/>
    <n v="73720"/>
    <s v="Match"/>
    <x v="13"/>
    <x v="3"/>
    <s v="Delhi"/>
    <s v="Sales Executive"/>
    <x v="2"/>
    <x v="2"/>
    <n v="48500"/>
    <n v="41200"/>
    <n v="0"/>
    <n v="-82400"/>
  </r>
  <r>
    <s v="ORD26061094"/>
    <x v="100"/>
    <s v="C0246"/>
    <s v="E012"/>
    <s v="P001"/>
    <n v="2"/>
    <n v="617.5"/>
    <n v="0"/>
    <x v="1"/>
    <s v="Website"/>
    <s v="Bank Transfer"/>
    <n v="1235"/>
    <s v="Chennai"/>
    <n v="1235"/>
    <s v="Match"/>
    <x v="12"/>
    <x v="1"/>
    <s v="Kolkata"/>
    <s v="Sales Executive"/>
    <x v="0"/>
    <x v="0"/>
    <n v="650"/>
    <n v="390"/>
    <n v="0"/>
    <n v="-780"/>
  </r>
  <r>
    <s v="ORD26011095"/>
    <x v="60"/>
    <s v="C0156"/>
    <s v="E001"/>
    <s v="P008"/>
    <n v="2"/>
    <n v="8190"/>
    <n v="0.2"/>
    <x v="0"/>
    <s v="Website"/>
    <s v="Upi"/>
    <n v="13104"/>
    <s v="Chennai"/>
    <n v="13104"/>
    <s v="Match"/>
    <x v="14"/>
    <x v="0"/>
    <s v="Chennai"/>
    <s v="Sales Executive"/>
    <x v="6"/>
    <x v="3"/>
    <n v="7800"/>
    <n v="5200"/>
    <n v="13104"/>
    <n v="2704"/>
  </r>
  <r>
    <s v="ORD26011096"/>
    <x v="32"/>
    <s v="C0247"/>
    <s v="E013"/>
    <s v="Unknown"/>
    <n v="2"/>
    <n v="10640"/>
    <n v="0.1"/>
    <x v="0"/>
    <s v="Direct"/>
    <s v="Cash"/>
    <n v="19152"/>
    <s v="Pune"/>
    <n v="19152"/>
    <s v="Match"/>
    <x v="2"/>
    <x v="1"/>
    <s v="Bhubaneswar"/>
    <s v="Sales Executive"/>
    <x v="12"/>
    <x v="5"/>
    <m/>
    <m/>
    <n v="19152"/>
    <n v="19152"/>
  </r>
  <r>
    <s v="ORD26061097"/>
    <x v="41"/>
    <s v="C0061"/>
    <s v="E003"/>
    <s v="P007"/>
    <n v="3"/>
    <n v="2730"/>
    <n v="0.15"/>
    <x v="0"/>
    <s v="Marketplace"/>
    <s v="Bank Transfer"/>
    <n v="6961.5"/>
    <s v="Bengaluru"/>
    <n v="6961.5"/>
    <s v="Match"/>
    <x v="7"/>
    <x v="0"/>
    <s v="Hyderabad"/>
    <s v="Sales Executive"/>
    <x v="10"/>
    <x v="0"/>
    <n v="2600"/>
    <n v="1750"/>
    <n v="6961.5"/>
    <n v="1711.5"/>
  </r>
  <r>
    <s v="ORD26031098"/>
    <x v="181"/>
    <s v="C0212"/>
    <s v="E007"/>
    <s v="P001"/>
    <n v="1"/>
    <n v="650"/>
    <n v="0"/>
    <x v="0"/>
    <s v="Direct"/>
    <s v="Upi"/>
    <n v="650"/>
    <s v="Bengaluru"/>
    <n v="650"/>
    <s v="Match"/>
    <x v="4"/>
    <x v="2"/>
    <s v="Pune"/>
    <s v="Sales Executive"/>
    <x v="0"/>
    <x v="0"/>
    <n v="650"/>
    <n v="390"/>
    <n v="650"/>
    <n v="260"/>
  </r>
  <r>
    <s v="ORD26011099"/>
    <x v="21"/>
    <s v="C0180"/>
    <s v="E002"/>
    <s v="P001"/>
    <n v="1"/>
    <n v="650"/>
    <n v="0"/>
    <x v="0"/>
    <s v="Website"/>
    <s v="Bank Transfer"/>
    <n v="650"/>
    <s v="Delhi"/>
    <n v="650"/>
    <s v="Match"/>
    <x v="0"/>
    <x v="0"/>
    <s v="Bengaluru"/>
    <s v="Sales Executive"/>
    <x v="0"/>
    <x v="0"/>
    <n v="650"/>
    <n v="390"/>
    <n v="650"/>
    <n v="260"/>
  </r>
  <r>
    <s v="ORD26061100"/>
    <x v="49"/>
    <s v="C0106"/>
    <s v="E007"/>
    <s v="P008"/>
    <n v="3"/>
    <n v="7800"/>
    <n v="0.2"/>
    <x v="0"/>
    <s v="Phone"/>
    <s v="Bank Transfer"/>
    <n v="18720"/>
    <s v="Bengaluru"/>
    <n v="18720"/>
    <s v="Match"/>
    <x v="4"/>
    <x v="2"/>
    <s v="Pune"/>
    <s v="Sales Executive"/>
    <x v="6"/>
    <x v="3"/>
    <n v="7800"/>
    <n v="5200"/>
    <n v="18720"/>
    <n v="3120"/>
  </r>
  <r>
    <s v="ORD26041101"/>
    <x v="179"/>
    <s v="C0137"/>
    <s v="E012"/>
    <s v="P005"/>
    <n v="8"/>
    <n v="16800"/>
    <n v="0.15"/>
    <x v="0"/>
    <s v="Marketplace"/>
    <s v="Credit"/>
    <n v="114240"/>
    <s v="Jaipur"/>
    <n v="114240"/>
    <s v="Match"/>
    <x v="12"/>
    <x v="1"/>
    <s v="Kolkata"/>
    <s v="Sales Executive"/>
    <x v="9"/>
    <x v="1"/>
    <n v="16800"/>
    <n v="12600"/>
    <n v="114240"/>
    <n v="13440"/>
  </r>
  <r>
    <s v="ORD26011102"/>
    <x v="60"/>
    <s v="C0144"/>
    <s v="E001"/>
    <s v="P006"/>
    <n v="5"/>
    <n v="1470"/>
    <n v="0.2"/>
    <x v="1"/>
    <s v="Direct"/>
    <s v="Card"/>
    <n v="5880"/>
    <s v="Delhi"/>
    <n v="5880"/>
    <s v="Match"/>
    <x v="14"/>
    <x v="0"/>
    <s v="Chennai"/>
    <s v="Sales Executive"/>
    <x v="4"/>
    <x v="0"/>
    <n v="1400"/>
    <n v="780"/>
    <n v="0"/>
    <n v="-3900"/>
  </r>
  <r>
    <s v="ORD26051103"/>
    <x v="144"/>
    <s v="C0019"/>
    <s v="E004"/>
    <s v="P005"/>
    <n v="4"/>
    <n v="16800"/>
    <n v="0"/>
    <x v="0"/>
    <s v="Website"/>
    <s v="Cash"/>
    <n v="67200"/>
    <s v="Kochi"/>
    <n v="67200"/>
    <s v="Match"/>
    <x v="1"/>
    <x v="0"/>
    <s v="Coimbatore"/>
    <s v="Sales Executive"/>
    <x v="9"/>
    <x v="1"/>
    <n v="16800"/>
    <n v="12600"/>
    <n v="67200"/>
    <n v="16800"/>
  </r>
  <r>
    <s v="ORD26011104"/>
    <x v="27"/>
    <s v="C0154"/>
    <s v="E001"/>
    <s v="P008"/>
    <n v="4"/>
    <n v="8190"/>
    <n v="0.05"/>
    <x v="0"/>
    <s v="Direct"/>
    <s v="Upi"/>
    <n v="31122"/>
    <s v="Hyderabad"/>
    <n v="31122"/>
    <s v="Match"/>
    <x v="14"/>
    <x v="0"/>
    <s v="Chennai"/>
    <s v="Sales Executive"/>
    <x v="6"/>
    <x v="3"/>
    <n v="7800"/>
    <n v="5200"/>
    <n v="31122"/>
    <n v="10322"/>
  </r>
  <r>
    <s v="ORD26061105"/>
    <x v="100"/>
    <s v="C0115"/>
    <s v="E007"/>
    <s v="P008"/>
    <n v="1"/>
    <n v="7410"/>
    <n v="0.1"/>
    <x v="0"/>
    <s v="Website"/>
    <s v="Cash"/>
    <n v="6669"/>
    <s v="Delhi"/>
    <n v="6669"/>
    <s v="Match"/>
    <x v="4"/>
    <x v="2"/>
    <s v="Pune"/>
    <s v="Sales Executive"/>
    <x v="6"/>
    <x v="3"/>
    <n v="7800"/>
    <n v="5200"/>
    <n v="6669"/>
    <n v="1469"/>
  </r>
  <r>
    <s v="ORD26061106"/>
    <x v="68"/>
    <s v="C0014"/>
    <s v="E007"/>
    <s v="P009"/>
    <n v="1"/>
    <n v="18500"/>
    <n v="0.05"/>
    <x v="0"/>
    <s v="Marketplace"/>
    <s v="Bank Transfer"/>
    <n v="17575"/>
    <s v="Indore"/>
    <n v="17575"/>
    <s v="Match"/>
    <x v="4"/>
    <x v="2"/>
    <s v="Pune"/>
    <s v="Sales Executive"/>
    <x v="5"/>
    <x v="3"/>
    <n v="18500"/>
    <n v="13900"/>
    <n v="17575"/>
    <n v="3675"/>
  </r>
  <r>
    <s v="ORD26021107"/>
    <x v="125"/>
    <s v="C0030"/>
    <s v="E013"/>
    <s v="P001"/>
    <n v="2"/>
    <n v="682.5"/>
    <n v="0.15"/>
    <x v="0"/>
    <s v="Direct"/>
    <s v="Credit"/>
    <n v="1160.25"/>
    <s v="Pune"/>
    <n v="1160.25"/>
    <s v="Match"/>
    <x v="2"/>
    <x v="1"/>
    <s v="Bhubaneswar"/>
    <s v="Sales Executive"/>
    <x v="0"/>
    <x v="0"/>
    <n v="650"/>
    <n v="390"/>
    <n v="1160.25"/>
    <n v="380.25"/>
  </r>
  <r>
    <s v="ORD26061108"/>
    <x v="129"/>
    <s v="C0084"/>
    <s v="E005"/>
    <s v="P009"/>
    <n v="2"/>
    <n v="18500"/>
    <n v="0.15"/>
    <x v="0"/>
    <s v="Phone"/>
    <s v="Cash"/>
    <n v="31450"/>
    <s v="Bengaluru"/>
    <n v="31450"/>
    <s v="Match"/>
    <x v="3"/>
    <x v="0"/>
    <s v="Kochi"/>
    <s v="Sales Executive"/>
    <x v="5"/>
    <x v="3"/>
    <n v="18500"/>
    <n v="13900"/>
    <n v="31450"/>
    <n v="3650"/>
  </r>
  <r>
    <s v="ORD26021109"/>
    <x v="176"/>
    <s v="C0128"/>
    <s v="E015"/>
    <s v="P001"/>
    <n v="1"/>
    <n v="617.5"/>
    <n v="0.2"/>
    <x v="1"/>
    <s v="Marketplace"/>
    <s v="Bank Transfer"/>
    <n v="494"/>
    <s v="Indore"/>
    <n v="494"/>
    <s v="Match"/>
    <x v="9"/>
    <x v="4"/>
    <s v="Bhopal"/>
    <s v="Sales Executive"/>
    <x v="0"/>
    <x v="0"/>
    <n v="650"/>
    <n v="390"/>
    <n v="0"/>
    <n v="-390"/>
  </r>
  <r>
    <s v="ORD26041110"/>
    <x v="50"/>
    <s v="C0064"/>
    <s v="E001"/>
    <s v="P010"/>
    <n v="1"/>
    <n v="3040"/>
    <n v="0.05"/>
    <x v="0"/>
    <s v="Marketplace"/>
    <s v="Credit"/>
    <n v="2888"/>
    <s v="Kolkata"/>
    <n v="2888"/>
    <s v="Match"/>
    <x v="14"/>
    <x v="0"/>
    <s v="Chennai"/>
    <s v="Sales Executive"/>
    <x v="11"/>
    <x v="4"/>
    <n v="3200"/>
    <n v="2050"/>
    <n v="2888"/>
    <n v="838"/>
  </r>
  <r>
    <s v="ORD26031111"/>
    <x v="24"/>
    <s v="C0019"/>
    <s v="E014"/>
    <s v="P003"/>
    <n v="2"/>
    <n v="1890"/>
    <n v="0"/>
    <x v="0"/>
    <s v="Marketplace"/>
    <s v="Cash"/>
    <n v="3780"/>
    <s v="Jaipur"/>
    <n v="3780"/>
    <s v="Match"/>
    <x v="10"/>
    <x v="4"/>
    <s v="Indore"/>
    <s v="Sales Executive"/>
    <x v="3"/>
    <x v="0"/>
    <n v="1800"/>
    <n v="1120"/>
    <n v="3780"/>
    <n v="1540"/>
  </r>
  <r>
    <s v="ORD26021112"/>
    <x v="125"/>
    <s v="C0033"/>
    <s v="E007"/>
    <s v="P001"/>
    <n v="3"/>
    <n v="650"/>
    <n v="0"/>
    <x v="0"/>
    <s v="Phone"/>
    <s v="Card"/>
    <n v="1950"/>
    <s v="Hyderabad"/>
    <n v="1950"/>
    <s v="Match"/>
    <x v="4"/>
    <x v="2"/>
    <s v="Pune"/>
    <s v="Sales Executive"/>
    <x v="0"/>
    <x v="0"/>
    <n v="650"/>
    <n v="390"/>
    <n v="1950"/>
    <n v="780"/>
  </r>
  <r>
    <s v="ORD26031113"/>
    <x v="78"/>
    <s v="C0120"/>
    <s v="E005"/>
    <s v="P008"/>
    <n v="1"/>
    <n v="7410"/>
    <n v="0.2"/>
    <x v="0"/>
    <s v="Direct"/>
    <s v="Upi"/>
    <n v="5928"/>
    <s v="Delhi"/>
    <n v="5928"/>
    <s v="Match"/>
    <x v="3"/>
    <x v="0"/>
    <s v="Kochi"/>
    <s v="Sales Executive"/>
    <x v="6"/>
    <x v="3"/>
    <n v="7800"/>
    <n v="5200"/>
    <n v="5928"/>
    <n v="728"/>
  </r>
  <r>
    <s v="ORD26061114"/>
    <x v="85"/>
    <s v="C0032"/>
    <s v="E009"/>
    <s v="P008"/>
    <n v="3"/>
    <n v="7800"/>
    <n v="0"/>
    <x v="0"/>
    <s v="Marketplace"/>
    <s v="Bank Transfer"/>
    <n v="23400"/>
    <s v="Chennai"/>
    <n v="23400"/>
    <s v="Match"/>
    <x v="13"/>
    <x v="3"/>
    <s v="Delhi"/>
    <s v="Sales Executive"/>
    <x v="6"/>
    <x v="3"/>
    <n v="7800"/>
    <n v="5200"/>
    <n v="23400"/>
    <n v="7800"/>
  </r>
  <r>
    <s v="ORD26061115"/>
    <x v="129"/>
    <s v="C0056"/>
    <s v="E014"/>
    <s v="P006"/>
    <n v="2"/>
    <n v="1400"/>
    <n v="0"/>
    <x v="0"/>
    <s v="Direct"/>
    <s v="Credit"/>
    <n v="2800"/>
    <s v="Kochi"/>
    <n v="2800"/>
    <s v="Match"/>
    <x v="10"/>
    <x v="4"/>
    <s v="Indore"/>
    <s v="Sales Executive"/>
    <x v="4"/>
    <x v="0"/>
    <n v="1400"/>
    <n v="780"/>
    <n v="2800"/>
    <n v="1240"/>
  </r>
  <r>
    <s v="ORD26011116"/>
    <x v="14"/>
    <s v="C0037"/>
    <s v="E009"/>
    <s v="P002"/>
    <n v="1"/>
    <n v="2310"/>
    <n v="0.05"/>
    <x v="0"/>
    <s v="Phone"/>
    <s v="Bank Transfer"/>
    <n v="2194.5"/>
    <s v="Delhi"/>
    <n v="2194.5"/>
    <s v="Match"/>
    <x v="13"/>
    <x v="3"/>
    <s v="Delhi"/>
    <s v="Sales Executive"/>
    <x v="8"/>
    <x v="0"/>
    <n v="2200"/>
    <n v="1450"/>
    <n v="2194.5"/>
    <n v="744.5"/>
  </r>
  <r>
    <s v="ORD26011117"/>
    <x v="32"/>
    <s v="C0241"/>
    <s v="E006"/>
    <s v="P010"/>
    <n v="4"/>
    <n v="3200"/>
    <n v="0.05"/>
    <x v="3"/>
    <s v="Marketplace"/>
    <s v="Credit"/>
    <n v="12160"/>
    <s v="Chennai"/>
    <n v="12160"/>
    <s v="Match"/>
    <x v="5"/>
    <x v="2"/>
    <s v="Mumbai"/>
    <s v="Sales Executive"/>
    <x v="11"/>
    <x v="4"/>
    <n v="3200"/>
    <n v="2050"/>
    <n v="0"/>
    <n v="-8200"/>
  </r>
  <r>
    <s v="ORD26021118"/>
    <x v="29"/>
    <s v="C0055"/>
    <s v="E006"/>
    <s v="P001"/>
    <n v="1"/>
    <n v="617.5"/>
    <n v="0"/>
    <x v="1"/>
    <s v="Website"/>
    <s v="Bank Transfer"/>
    <n v="617.5"/>
    <s v="Jaipur"/>
    <n v="617.5"/>
    <s v="Match"/>
    <x v="5"/>
    <x v="2"/>
    <s v="Mumbai"/>
    <s v="Sales Executive"/>
    <x v="0"/>
    <x v="0"/>
    <n v="650"/>
    <n v="390"/>
    <n v="0"/>
    <n v="-390"/>
  </r>
  <r>
    <s v="ORD26051119"/>
    <x v="12"/>
    <s v="C0077"/>
    <s v="E013"/>
    <s v="P010"/>
    <n v="3"/>
    <n v="3040"/>
    <n v="0"/>
    <x v="0"/>
    <s v="Phone"/>
    <s v="Upi"/>
    <n v="9120"/>
    <s v="Mumbai"/>
    <n v="9120"/>
    <s v="Match"/>
    <x v="2"/>
    <x v="1"/>
    <s v="Bhubaneswar"/>
    <s v="Sales Executive"/>
    <x v="11"/>
    <x v="4"/>
    <n v="3200"/>
    <n v="2050"/>
    <n v="9120"/>
    <n v="2970"/>
  </r>
  <r>
    <s v="ORD26021120"/>
    <x v="142"/>
    <s v="C0063"/>
    <s v="E010"/>
    <s v="P009"/>
    <n v="10"/>
    <n v="19425"/>
    <n v="0.2"/>
    <x v="0"/>
    <s v="Direct"/>
    <s v="Credit"/>
    <n v="155400"/>
    <s v="Kochi"/>
    <n v="155400"/>
    <s v="Match"/>
    <x v="6"/>
    <x v="3"/>
    <s v="Jaipur"/>
    <s v="Sales Executive"/>
    <x v="5"/>
    <x v="3"/>
    <n v="18500"/>
    <n v="13900"/>
    <n v="155400"/>
    <n v="16400"/>
  </r>
  <r>
    <s v="ORD26061121"/>
    <x v="68"/>
    <s v="C0125"/>
    <s v="E009"/>
    <s v="P009"/>
    <n v="2"/>
    <n v="18500"/>
    <n v="0.05"/>
    <x v="0"/>
    <s v="Marketplace"/>
    <s v="Card"/>
    <n v="35150"/>
    <s v="Kolkata"/>
    <n v="35150"/>
    <s v="Match"/>
    <x v="13"/>
    <x v="3"/>
    <s v="Delhi"/>
    <s v="Sales Executive"/>
    <x v="5"/>
    <x v="3"/>
    <n v="18500"/>
    <n v="13900"/>
    <n v="35150"/>
    <n v="7350"/>
  </r>
  <r>
    <s v="ORD26031122"/>
    <x v="80"/>
    <s v="C0210"/>
    <s v="E008"/>
    <s v="P006"/>
    <n v="4"/>
    <n v="1470"/>
    <n v="0"/>
    <x v="0"/>
    <s v="Marketplace"/>
    <s v="Upi"/>
    <n v="5880"/>
    <s v="Kolkata"/>
    <n v="5880"/>
    <s v="Match"/>
    <x v="8"/>
    <x v="2"/>
    <s v="Ahmedabad"/>
    <s v="Sales Executive"/>
    <x v="4"/>
    <x v="0"/>
    <n v="1400"/>
    <n v="780"/>
    <n v="5880"/>
    <n v="2760"/>
  </r>
  <r>
    <s v="ORD26051123"/>
    <x v="42"/>
    <s v="C0230"/>
    <s v="E009"/>
    <s v="P002"/>
    <n v="5"/>
    <n v="2200"/>
    <n v="0.2"/>
    <x v="0"/>
    <s v="Phone"/>
    <s v="Card"/>
    <n v="8800"/>
    <s v="Indore"/>
    <n v="8800"/>
    <s v="Match"/>
    <x v="13"/>
    <x v="3"/>
    <s v="Delhi"/>
    <s v="Sales Executive"/>
    <x v="8"/>
    <x v="0"/>
    <n v="2200"/>
    <n v="1450"/>
    <n v="8800"/>
    <n v="1550"/>
  </r>
  <r>
    <s v="ORD26021124"/>
    <x v="159"/>
    <s v="C0134"/>
    <s v="E015"/>
    <s v="P009"/>
    <n v="1"/>
    <n v="18500"/>
    <n v="0.1"/>
    <x v="0"/>
    <s v="Marketplace"/>
    <s v="Bank Transfer"/>
    <n v="16650"/>
    <s v="Kolkata"/>
    <n v="16650"/>
    <s v="Match"/>
    <x v="9"/>
    <x v="4"/>
    <s v="Bhopal"/>
    <s v="Sales Executive"/>
    <x v="5"/>
    <x v="3"/>
    <n v="18500"/>
    <n v="13900"/>
    <n v="16650"/>
    <n v="2750"/>
  </r>
  <r>
    <s v="ORD26011125"/>
    <x v="145"/>
    <s v="C0093"/>
    <s v="E002"/>
    <s v="P007"/>
    <n v="2"/>
    <n v="2600"/>
    <n v="0"/>
    <x v="0"/>
    <s v="Phone"/>
    <s v="Upi"/>
    <n v="5200"/>
    <s v="Delhi"/>
    <n v="5200"/>
    <s v="Match"/>
    <x v="0"/>
    <x v="0"/>
    <s v="Bengaluru"/>
    <s v="Sales Executive"/>
    <x v="10"/>
    <x v="0"/>
    <n v="2600"/>
    <n v="1750"/>
    <n v="5200"/>
    <n v="1700"/>
  </r>
  <r>
    <s v="ORD26011126"/>
    <x v="145"/>
    <s v="C0065"/>
    <s v="E007"/>
    <s v="P005"/>
    <n v="4"/>
    <n v="15960"/>
    <n v="0.2"/>
    <x v="1"/>
    <s v="Direct"/>
    <s v="Cash"/>
    <n v="51072"/>
    <s v="Chennai"/>
    <n v="51072"/>
    <s v="Match"/>
    <x v="4"/>
    <x v="2"/>
    <s v="Pune"/>
    <s v="Sales Executive"/>
    <x v="9"/>
    <x v="1"/>
    <n v="16800"/>
    <n v="12600"/>
    <n v="0"/>
    <n v="-50400"/>
  </r>
  <r>
    <s v="ORD26061127"/>
    <x v="2"/>
    <s v="C0182"/>
    <s v="E003"/>
    <s v="P002"/>
    <n v="1"/>
    <n v="2310"/>
    <n v="0.15"/>
    <x v="1"/>
    <s v="Website"/>
    <s v="Cash"/>
    <n v="1963.5"/>
    <s v="Jaipur"/>
    <n v="1963.5"/>
    <s v="Match"/>
    <x v="7"/>
    <x v="0"/>
    <s v="Hyderabad"/>
    <s v="Sales Executive"/>
    <x v="8"/>
    <x v="0"/>
    <n v="2200"/>
    <n v="1450"/>
    <n v="0"/>
    <n v="-1450"/>
  </r>
  <r>
    <s v="ORD26031128"/>
    <x v="103"/>
    <s v="C0024"/>
    <s v="E012"/>
    <s v="P005"/>
    <n v="1"/>
    <n v="15960"/>
    <n v="0.05"/>
    <x v="0"/>
    <s v="Direct"/>
    <s v="Bank Transfer"/>
    <n v="15162"/>
    <s v="Kochi"/>
    <n v="15162"/>
    <s v="Match"/>
    <x v="12"/>
    <x v="1"/>
    <s v="Kolkata"/>
    <s v="Sales Executive"/>
    <x v="9"/>
    <x v="1"/>
    <n v="16800"/>
    <n v="12600"/>
    <n v="15162"/>
    <n v="2562"/>
  </r>
  <r>
    <s v="ORD26041129"/>
    <x v="55"/>
    <s v="C0069"/>
    <s v="E011"/>
    <s v="P008"/>
    <n v="4"/>
    <n v="8190"/>
    <n v="0.1"/>
    <x v="0"/>
    <s v="Website"/>
    <s v="Credit"/>
    <n v="29484"/>
    <s v="Jaipur"/>
    <n v="29484"/>
    <s v="Match"/>
    <x v="11"/>
    <x v="3"/>
    <s v="Lucknow"/>
    <s v="Sales Executive"/>
    <x v="6"/>
    <x v="3"/>
    <n v="7800"/>
    <n v="5200"/>
    <n v="29484"/>
    <n v="8684"/>
  </r>
  <r>
    <s v="ORD26011130"/>
    <x v="61"/>
    <s v="C0195"/>
    <s v="E003"/>
    <s v="P001"/>
    <n v="3"/>
    <n v="682.5"/>
    <n v="0.05"/>
    <x v="0"/>
    <s v="Marketplace"/>
    <s v="Cash"/>
    <n v="1945.12"/>
    <s v="Delhi"/>
    <n v="1945.125"/>
    <s v="Match"/>
    <x v="7"/>
    <x v="0"/>
    <s v="Hyderabad"/>
    <s v="Sales Executive"/>
    <x v="0"/>
    <x v="0"/>
    <n v="650"/>
    <n v="390"/>
    <n v="1945.125"/>
    <n v="775.125"/>
  </r>
  <r>
    <s v="ORD26051131"/>
    <x v="12"/>
    <s v="C0175"/>
    <s v="E012"/>
    <s v="P010"/>
    <n v="1"/>
    <n v="3360"/>
    <n v="0"/>
    <x v="0"/>
    <s v="Direct"/>
    <s v="Credit"/>
    <n v="3360"/>
    <s v="Jaipur"/>
    <n v="3360"/>
    <s v="Match"/>
    <x v="12"/>
    <x v="1"/>
    <s v="Kolkata"/>
    <s v="Sales Executive"/>
    <x v="11"/>
    <x v="4"/>
    <n v="3200"/>
    <n v="2050"/>
    <n v="3360"/>
    <n v="1310"/>
  </r>
  <r>
    <s v="ORD26051132"/>
    <x v="87"/>
    <s v="C0164"/>
    <s v="E010"/>
    <s v="P009"/>
    <n v="4"/>
    <n v="19425"/>
    <n v="0.1"/>
    <x v="0"/>
    <s v="Website"/>
    <s v="Card"/>
    <n v="69930"/>
    <s v="Chennai"/>
    <n v="69930"/>
    <s v="Match"/>
    <x v="6"/>
    <x v="3"/>
    <s v="Jaipur"/>
    <s v="Sales Executive"/>
    <x v="5"/>
    <x v="3"/>
    <n v="18500"/>
    <n v="13900"/>
    <n v="69930"/>
    <n v="14330"/>
  </r>
  <r>
    <s v="ORD26021133"/>
    <x v="171"/>
    <s v="C0146"/>
    <s v="E007"/>
    <s v="P009"/>
    <n v="1"/>
    <n v="18500"/>
    <n v="0.15"/>
    <x v="0"/>
    <s v="Website"/>
    <s v="Upi"/>
    <n v="15725"/>
    <s v="Hyderabad"/>
    <n v="15725"/>
    <s v="Match"/>
    <x v="4"/>
    <x v="2"/>
    <s v="Pune"/>
    <s v="Sales Executive"/>
    <x v="5"/>
    <x v="3"/>
    <n v="18500"/>
    <n v="13900"/>
    <n v="15725"/>
    <n v="1825"/>
  </r>
  <r>
    <s v="ORD26031134"/>
    <x v="78"/>
    <s v="C0055"/>
    <s v="E008"/>
    <s v="P008"/>
    <n v="1"/>
    <n v="7800"/>
    <n v="0"/>
    <x v="0"/>
    <s v="Website"/>
    <s v="Bank Transfer"/>
    <n v="7800"/>
    <s v="Delhi"/>
    <n v="7800"/>
    <s v="Match"/>
    <x v="8"/>
    <x v="2"/>
    <s v="Ahmedabad"/>
    <s v="Sales Executive"/>
    <x v="6"/>
    <x v="3"/>
    <n v="7800"/>
    <n v="5200"/>
    <n v="7800"/>
    <n v="2600"/>
  </r>
  <r>
    <s v="ORD26011135"/>
    <x v="8"/>
    <s v="C0100"/>
    <s v="E004"/>
    <s v="P009"/>
    <n v="4"/>
    <n v="17575"/>
    <n v="0"/>
    <x v="0"/>
    <s v="Direct"/>
    <s v="Cash"/>
    <n v="70300"/>
    <s v="Chennai"/>
    <n v="70300"/>
    <s v="Match"/>
    <x v="1"/>
    <x v="0"/>
    <s v="Coimbatore"/>
    <s v="Sales Executive"/>
    <x v="5"/>
    <x v="3"/>
    <n v="18500"/>
    <n v="13900"/>
    <n v="70300"/>
    <n v="14700"/>
  </r>
  <r>
    <s v="ORD26041136"/>
    <x v="30"/>
    <s v="C0065"/>
    <s v="E004"/>
    <s v="P005"/>
    <n v="8"/>
    <n v="17640"/>
    <n v="0.15"/>
    <x v="0"/>
    <s v="Phone"/>
    <s v="Bank Transfer"/>
    <n v="119952"/>
    <s v="Mumbai"/>
    <n v="119952"/>
    <s v="Match"/>
    <x v="1"/>
    <x v="0"/>
    <s v="Coimbatore"/>
    <s v="Sales Executive"/>
    <x v="9"/>
    <x v="1"/>
    <n v="16800"/>
    <n v="12600"/>
    <n v="119952"/>
    <n v="19152"/>
  </r>
  <r>
    <s v="ORD26061137"/>
    <x v="89"/>
    <s v="C0071"/>
    <s v="E015"/>
    <s v="P002"/>
    <n v="2"/>
    <n v="2090"/>
    <n v="0.1"/>
    <x v="0"/>
    <s v="Marketplace"/>
    <s v="Upi"/>
    <n v="3762"/>
    <s v="Kolkata"/>
    <n v="3762"/>
    <s v="Match"/>
    <x v="9"/>
    <x v="4"/>
    <s v="Bhopal"/>
    <s v="Sales Executive"/>
    <x v="8"/>
    <x v="0"/>
    <n v="2200"/>
    <n v="1450"/>
    <n v="3762"/>
    <n v="862"/>
  </r>
  <r>
    <s v="ORD26011138"/>
    <x v="22"/>
    <s v="C0142"/>
    <s v="E012"/>
    <s v="P004"/>
    <n v="3"/>
    <n v="11200"/>
    <n v="0.05"/>
    <x v="0"/>
    <s v="Phone"/>
    <s v="Credit"/>
    <n v="31920"/>
    <s v="Mumbai"/>
    <n v="31920"/>
    <s v="Match"/>
    <x v="12"/>
    <x v="1"/>
    <s v="Kolkata"/>
    <s v="Sales Executive"/>
    <x v="1"/>
    <x v="1"/>
    <n v="11200"/>
    <n v="8300"/>
    <n v="31920"/>
    <n v="7020"/>
  </r>
  <r>
    <s v="ORD26061139"/>
    <x v="89"/>
    <s v="C0098"/>
    <s v="E012"/>
    <s v="P006"/>
    <n v="5"/>
    <n v="1400"/>
    <n v="0"/>
    <x v="0"/>
    <s v="Direct"/>
    <s v="Upi"/>
    <n v="7000"/>
    <s v="Bengaluru"/>
    <n v="7000"/>
    <s v="Match"/>
    <x v="12"/>
    <x v="1"/>
    <s v="Kolkata"/>
    <s v="Sales Executive"/>
    <x v="4"/>
    <x v="0"/>
    <n v="1400"/>
    <n v="780"/>
    <n v="7000"/>
    <n v="3100"/>
  </r>
  <r>
    <s v="ORD26021140"/>
    <x v="88"/>
    <s v="C0241"/>
    <s v="E010"/>
    <s v="P007"/>
    <n v="5"/>
    <n v="2600"/>
    <n v="0"/>
    <x v="0"/>
    <s v="Website"/>
    <s v="Cash"/>
    <n v="13000"/>
    <s v="Delhi"/>
    <n v="13000"/>
    <s v="Match"/>
    <x v="6"/>
    <x v="3"/>
    <s v="Jaipur"/>
    <s v="Sales Executive"/>
    <x v="10"/>
    <x v="0"/>
    <n v="2600"/>
    <n v="1750"/>
    <n v="13000"/>
    <n v="4250"/>
  </r>
  <r>
    <s v="ORD26051141"/>
    <x v="140"/>
    <s v="C0002"/>
    <s v="E005"/>
    <s v="P003"/>
    <n v="1"/>
    <n v="1800"/>
    <n v="0"/>
    <x v="1"/>
    <s v="Phone"/>
    <s v="Upi"/>
    <n v="1800"/>
    <s v="Kochi"/>
    <n v="1800"/>
    <s v="Match"/>
    <x v="3"/>
    <x v="0"/>
    <s v="Kochi"/>
    <s v="Sales Executive"/>
    <x v="3"/>
    <x v="0"/>
    <n v="1800"/>
    <n v="1120"/>
    <n v="0"/>
    <n v="-1120"/>
  </r>
  <r>
    <s v="ORD26051142"/>
    <x v="115"/>
    <s v="C0195"/>
    <s v="E010"/>
    <s v="P004"/>
    <n v="3"/>
    <n v="11200"/>
    <n v="0"/>
    <x v="0"/>
    <s v="Website"/>
    <s v="Bank Transfer"/>
    <n v="33600"/>
    <s v="Kochi"/>
    <n v="33600"/>
    <s v="Match"/>
    <x v="6"/>
    <x v="3"/>
    <s v="Jaipur"/>
    <s v="Sales Executive"/>
    <x v="1"/>
    <x v="1"/>
    <n v="11200"/>
    <n v="8300"/>
    <n v="33600"/>
    <n v="8700"/>
  </r>
  <r>
    <s v="ORD26051143"/>
    <x v="120"/>
    <s v="C0251"/>
    <s v="E011"/>
    <s v="P003"/>
    <n v="5"/>
    <n v="1890"/>
    <n v="0"/>
    <x v="2"/>
    <s v="Phone"/>
    <s v="Credit"/>
    <n v="9450"/>
    <s v="Kolkata"/>
    <n v="9450"/>
    <s v="Match"/>
    <x v="11"/>
    <x v="3"/>
    <s v="Lucknow"/>
    <s v="Sales Executive"/>
    <x v="3"/>
    <x v="0"/>
    <n v="1800"/>
    <n v="1120"/>
    <n v="0"/>
    <n v="-5600"/>
  </r>
  <r>
    <s v="ORD26051144"/>
    <x v="63"/>
    <s v="C0215"/>
    <s v="E008"/>
    <s v="P005"/>
    <n v="1"/>
    <n v="16800"/>
    <n v="0"/>
    <x v="3"/>
    <s v="Phone"/>
    <s v="Bank Transfer"/>
    <n v="16800"/>
    <s v="Bengaluru"/>
    <n v="16800"/>
    <s v="Match"/>
    <x v="8"/>
    <x v="2"/>
    <s v="Ahmedabad"/>
    <s v="Sales Executive"/>
    <x v="9"/>
    <x v="1"/>
    <n v="16800"/>
    <n v="12600"/>
    <n v="0"/>
    <n v="-12600"/>
  </r>
  <r>
    <s v="ORD26061145"/>
    <x v="67"/>
    <s v="C0204"/>
    <s v="E007"/>
    <s v="P002"/>
    <n v="1"/>
    <n v="2200"/>
    <n v="0.05"/>
    <x v="0"/>
    <s v="Website"/>
    <s v="Cash"/>
    <n v="2090"/>
    <s v="Kochi"/>
    <n v="2090"/>
    <s v="Match"/>
    <x v="4"/>
    <x v="2"/>
    <s v="Pune"/>
    <s v="Sales Executive"/>
    <x v="8"/>
    <x v="0"/>
    <n v="2200"/>
    <n v="1450"/>
    <n v="2090"/>
    <n v="640"/>
  </r>
  <r>
    <s v="ORD26061146"/>
    <x v="65"/>
    <s v="C0210"/>
    <s v="E007"/>
    <s v="P011"/>
    <n v="1"/>
    <n v="2400"/>
    <n v="0.05"/>
    <x v="0"/>
    <s v="Direct"/>
    <s v="Credit"/>
    <n v="2280"/>
    <s v="Kolkata"/>
    <n v="2280"/>
    <s v="Match"/>
    <x v="4"/>
    <x v="2"/>
    <s v="Pune"/>
    <s v="Sales Executive"/>
    <x v="7"/>
    <x v="4"/>
    <n v="2400"/>
    <n v="1480"/>
    <n v="2280"/>
    <n v="800"/>
  </r>
  <r>
    <s v="ORD26031147"/>
    <x v="43"/>
    <s v="C0028"/>
    <s v="E011"/>
    <s v="P006"/>
    <n v="2"/>
    <n v="1400"/>
    <n v="0.1"/>
    <x v="0"/>
    <s v="Marketplace"/>
    <s v="Cash"/>
    <n v="2520"/>
    <s v="Bengaluru"/>
    <n v="2520"/>
    <s v="Match"/>
    <x v="11"/>
    <x v="3"/>
    <s v="Lucknow"/>
    <s v="Sales Executive"/>
    <x v="4"/>
    <x v="0"/>
    <n v="1400"/>
    <n v="780"/>
    <n v="2520"/>
    <n v="960"/>
  </r>
  <r>
    <s v="ORD26031148"/>
    <x v="84"/>
    <s v="C0106"/>
    <s v="E011"/>
    <s v="P001"/>
    <n v="2"/>
    <n v="650"/>
    <n v="0.1"/>
    <x v="0"/>
    <s v="Direct"/>
    <s v="Credit"/>
    <n v="1170"/>
    <s v="Indore"/>
    <n v="1170"/>
    <s v="Match"/>
    <x v="11"/>
    <x v="3"/>
    <s v="Lucknow"/>
    <s v="Sales Executive"/>
    <x v="0"/>
    <x v="0"/>
    <n v="650"/>
    <n v="390"/>
    <n v="1170"/>
    <n v="390"/>
  </r>
  <r>
    <s v="ORD26031149"/>
    <x v="34"/>
    <s v="C0047"/>
    <s v="E003"/>
    <s v="P010"/>
    <n v="2"/>
    <n v="3360"/>
    <n v="0.2"/>
    <x v="0"/>
    <s v="Marketplace"/>
    <s v="Bank Transfer"/>
    <n v="5376"/>
    <s v="Jaipur"/>
    <n v="5376"/>
    <s v="Match"/>
    <x v="7"/>
    <x v="0"/>
    <s v="Hyderabad"/>
    <s v="Sales Executive"/>
    <x v="11"/>
    <x v="4"/>
    <n v="3200"/>
    <n v="2050"/>
    <n v="5376"/>
    <n v="1276"/>
  </r>
  <r>
    <s v="ORD26011150"/>
    <x v="15"/>
    <s v="C0203"/>
    <s v="E011"/>
    <s v="P001"/>
    <n v="2"/>
    <n v="650"/>
    <n v="0.05"/>
    <x v="0"/>
    <s v="Website"/>
    <s v="Bank Transfer"/>
    <n v="1235"/>
    <s v="Delhi"/>
    <n v="1235"/>
    <s v="Match"/>
    <x v="11"/>
    <x v="3"/>
    <s v="Lucknow"/>
    <s v="Sales Executive"/>
    <x v="0"/>
    <x v="0"/>
    <n v="650"/>
    <n v="390"/>
    <n v="1235"/>
    <n v="455"/>
  </r>
  <r>
    <s v="ORD26041151"/>
    <x v="122"/>
    <s v="C0019"/>
    <s v="E006"/>
    <s v="P007"/>
    <n v="1"/>
    <n v="2470"/>
    <n v="0.2"/>
    <x v="0"/>
    <s v="Direct"/>
    <s v="Credit"/>
    <n v="1976"/>
    <s v="Mumbai"/>
    <n v="1976"/>
    <s v="Match"/>
    <x v="5"/>
    <x v="2"/>
    <s v="Mumbai"/>
    <s v="Sales Executive"/>
    <x v="10"/>
    <x v="0"/>
    <n v="2600"/>
    <n v="1750"/>
    <n v="1976"/>
    <n v="226"/>
  </r>
  <r>
    <s v="ORD26051152"/>
    <x v="161"/>
    <s v="C0127"/>
    <s v="E007"/>
    <s v="P008"/>
    <n v="1"/>
    <n v="7800"/>
    <n v="0.05"/>
    <x v="0"/>
    <s v="Direct"/>
    <s v="Bank Transfer"/>
    <n v="7410"/>
    <s v="Mumbai"/>
    <n v="7410"/>
    <s v="Match"/>
    <x v="4"/>
    <x v="2"/>
    <s v="Pune"/>
    <s v="Sales Executive"/>
    <x v="6"/>
    <x v="3"/>
    <n v="7800"/>
    <n v="5200"/>
    <n v="7410"/>
    <n v="2210"/>
  </r>
  <r>
    <s v="ORD26041153"/>
    <x v="97"/>
    <s v="C0040"/>
    <s v="E011"/>
    <s v="P007"/>
    <n v="1"/>
    <n v="2470"/>
    <n v="0.2"/>
    <x v="2"/>
    <s v="Direct"/>
    <s v="Credit"/>
    <n v="1976"/>
    <s v="Pune"/>
    <n v="1976"/>
    <s v="Match"/>
    <x v="11"/>
    <x v="3"/>
    <s v="Lucknow"/>
    <s v="Sales Executive"/>
    <x v="10"/>
    <x v="0"/>
    <n v="2600"/>
    <n v="1750"/>
    <n v="0"/>
    <n v="-1750"/>
  </r>
  <r>
    <s v="ORD26011154"/>
    <x v="48"/>
    <s v="C0201"/>
    <s v="E001"/>
    <s v="P012"/>
    <n v="4"/>
    <n v="46075"/>
    <n v="0.15"/>
    <x v="1"/>
    <s v="Website"/>
    <s v="Credit"/>
    <n v="156655"/>
    <s v="Hyderabad"/>
    <n v="156655"/>
    <s v="Match"/>
    <x v="14"/>
    <x v="0"/>
    <s v="Chennai"/>
    <s v="Sales Executive"/>
    <x v="2"/>
    <x v="2"/>
    <n v="48500"/>
    <n v="41200"/>
    <n v="0"/>
    <n v="-164800"/>
  </r>
  <r>
    <s v="ORD26031155"/>
    <x v="167"/>
    <s v="C0052"/>
    <s v="E007"/>
    <s v="P009"/>
    <n v="4"/>
    <n v="18500"/>
    <n v="0.05"/>
    <x v="0"/>
    <s v="Marketplace"/>
    <s v="Credit"/>
    <n v="70300"/>
    <s v="Kochi"/>
    <n v="70300"/>
    <s v="Match"/>
    <x v="4"/>
    <x v="2"/>
    <s v="Pune"/>
    <s v="Sales Executive"/>
    <x v="5"/>
    <x v="3"/>
    <n v="18500"/>
    <n v="13900"/>
    <n v="70300"/>
    <n v="14700"/>
  </r>
  <r>
    <s v="ORD26041156"/>
    <x v="97"/>
    <s v="C0146"/>
    <s v="E005"/>
    <s v="P007"/>
    <n v="1"/>
    <n v="2730"/>
    <n v="0.1"/>
    <x v="0"/>
    <s v="Website"/>
    <s v="Cash"/>
    <n v="2457"/>
    <s v="Chennai"/>
    <n v="2457"/>
    <s v="Match"/>
    <x v="3"/>
    <x v="0"/>
    <s v="Kochi"/>
    <s v="Sales Executive"/>
    <x v="10"/>
    <x v="0"/>
    <n v="2600"/>
    <n v="1750"/>
    <n v="2457"/>
    <n v="707"/>
  </r>
  <r>
    <s v="ORD26051157"/>
    <x v="140"/>
    <s v="C0115"/>
    <s v="E012"/>
    <s v="P007"/>
    <n v="8"/>
    <n v="2730"/>
    <n v="0.15"/>
    <x v="0"/>
    <s v="Direct"/>
    <s v="Cash"/>
    <n v="18564"/>
    <s v="Bengaluru"/>
    <n v="18564"/>
    <s v="Match"/>
    <x v="12"/>
    <x v="1"/>
    <s v="Kolkata"/>
    <s v="Sales Executive"/>
    <x v="10"/>
    <x v="0"/>
    <n v="2600"/>
    <n v="1750"/>
    <n v="18564"/>
    <n v="4564"/>
  </r>
  <r>
    <s v="ORD26041158"/>
    <x v="177"/>
    <s v="C0043"/>
    <s v="E006"/>
    <s v="P008"/>
    <n v="3"/>
    <n v="7800"/>
    <n v="0.2"/>
    <x v="0"/>
    <s v="Direct"/>
    <s v="Credit"/>
    <n v="18720"/>
    <s v="Delhi"/>
    <n v="18720"/>
    <s v="Match"/>
    <x v="5"/>
    <x v="2"/>
    <s v="Mumbai"/>
    <s v="Sales Executive"/>
    <x v="6"/>
    <x v="3"/>
    <n v="7800"/>
    <n v="5200"/>
    <n v="18720"/>
    <n v="3120"/>
  </r>
  <r>
    <s v="ORD26021159"/>
    <x v="171"/>
    <s v="C0120"/>
    <s v="E014"/>
    <s v="P008"/>
    <n v="3"/>
    <n v="8190"/>
    <n v="0"/>
    <x v="0"/>
    <s v="Direct"/>
    <s v="Cash"/>
    <n v="24570"/>
    <s v="Hyderabad"/>
    <n v="24570"/>
    <s v="Match"/>
    <x v="10"/>
    <x v="4"/>
    <s v="Indore"/>
    <s v="Sales Executive"/>
    <x v="6"/>
    <x v="3"/>
    <n v="7800"/>
    <n v="5200"/>
    <n v="24570"/>
    <n v="8970"/>
  </r>
  <r>
    <s v="ORD26041160"/>
    <x v="123"/>
    <s v="C0003"/>
    <s v="E005"/>
    <s v="P012"/>
    <n v="2"/>
    <n v="50925"/>
    <n v="0"/>
    <x v="0"/>
    <s v="Marketplace"/>
    <s v="Card"/>
    <n v="101850"/>
    <s v="Jaipur"/>
    <n v="101850"/>
    <s v="Match"/>
    <x v="3"/>
    <x v="0"/>
    <s v="Kochi"/>
    <s v="Sales Executive"/>
    <x v="2"/>
    <x v="2"/>
    <n v="48500"/>
    <n v="41200"/>
    <n v="101850"/>
    <n v="19450"/>
  </r>
  <r>
    <s v="ORD26051161"/>
    <x v="28"/>
    <s v="C0248"/>
    <s v="E009"/>
    <s v="P008"/>
    <n v="2"/>
    <n v="8190"/>
    <n v="0.2"/>
    <x v="0"/>
    <s v="Direct"/>
    <s v="Upi"/>
    <n v="13104"/>
    <s v="Pune"/>
    <n v="13104"/>
    <s v="Match"/>
    <x v="13"/>
    <x v="3"/>
    <s v="Delhi"/>
    <s v="Sales Executive"/>
    <x v="6"/>
    <x v="3"/>
    <n v="7800"/>
    <n v="5200"/>
    <n v="13104"/>
    <n v="2704"/>
  </r>
  <r>
    <s v="ORD26061162"/>
    <x v="86"/>
    <s v="C0086"/>
    <s v="E002"/>
    <s v="P007"/>
    <n v="1"/>
    <n v="2470"/>
    <n v="0"/>
    <x v="0"/>
    <s v="Website"/>
    <s v="Cash"/>
    <n v="2470"/>
    <s v="Mumbai"/>
    <n v="2470"/>
    <s v="Match"/>
    <x v="0"/>
    <x v="0"/>
    <s v="Bengaluru"/>
    <s v="Sales Executive"/>
    <x v="10"/>
    <x v="0"/>
    <n v="2600"/>
    <n v="1750"/>
    <n v="2470"/>
    <n v="720"/>
  </r>
  <r>
    <s v="ORD26011163"/>
    <x v="33"/>
    <s v="C0072"/>
    <s v="E015"/>
    <s v="P007"/>
    <n v="2"/>
    <n v="2730"/>
    <n v="0.2"/>
    <x v="0"/>
    <s v="Phone"/>
    <s v="Cash"/>
    <n v="4368"/>
    <s v="Chennai"/>
    <n v="4368"/>
    <s v="Match"/>
    <x v="9"/>
    <x v="4"/>
    <s v="Bhopal"/>
    <s v="Sales Executive"/>
    <x v="10"/>
    <x v="0"/>
    <n v="2600"/>
    <n v="1750"/>
    <n v="4368"/>
    <n v="868"/>
  </r>
  <r>
    <s v="ORD26031164"/>
    <x v="6"/>
    <s v="C0166"/>
    <s v="E002"/>
    <s v="P007"/>
    <n v="10"/>
    <n v="2600"/>
    <n v="0.2"/>
    <x v="1"/>
    <s v="Marketplace"/>
    <s v="Credit"/>
    <n v="20800"/>
    <s v="Delhi"/>
    <n v="20800"/>
    <s v="Match"/>
    <x v="0"/>
    <x v="0"/>
    <s v="Bengaluru"/>
    <s v="Sales Executive"/>
    <x v="10"/>
    <x v="0"/>
    <n v="2600"/>
    <n v="1750"/>
    <n v="0"/>
    <n v="-17500"/>
  </r>
  <r>
    <s v="ORD26021165"/>
    <x v="5"/>
    <s v="C0129"/>
    <s v="E005"/>
    <s v="P009"/>
    <n v="3"/>
    <n v="18500"/>
    <n v="0.15"/>
    <x v="1"/>
    <s v="Phone"/>
    <s v="Cash"/>
    <n v="47175"/>
    <s v="Bengaluru"/>
    <n v="47175"/>
    <s v="Match"/>
    <x v="3"/>
    <x v="0"/>
    <s v="Kochi"/>
    <s v="Sales Executive"/>
    <x v="5"/>
    <x v="3"/>
    <n v="18500"/>
    <n v="13900"/>
    <n v="0"/>
    <n v="-41700"/>
  </r>
  <r>
    <s v="ORD26031166"/>
    <x v="34"/>
    <s v="C0006"/>
    <s v="E015"/>
    <s v="P012"/>
    <n v="3"/>
    <n v="50925"/>
    <n v="0"/>
    <x v="0"/>
    <s v="Marketplace"/>
    <s v="Cash"/>
    <n v="152775"/>
    <s v="Unknown"/>
    <n v="152775"/>
    <s v="Match"/>
    <x v="9"/>
    <x v="4"/>
    <s v="Bhopal"/>
    <s v="Sales Executive"/>
    <x v="2"/>
    <x v="2"/>
    <n v="48500"/>
    <n v="41200"/>
    <n v="152775"/>
    <n v="29175"/>
  </r>
  <r>
    <s v="ORD26021167"/>
    <x v="147"/>
    <s v="C0103"/>
    <s v="E008"/>
    <s v="P002"/>
    <n v="10"/>
    <n v="2200"/>
    <n v="0"/>
    <x v="0"/>
    <s v="Direct"/>
    <s v="Credit"/>
    <n v="22000"/>
    <s v="Kochi"/>
    <n v="22000"/>
    <s v="Match"/>
    <x v="8"/>
    <x v="2"/>
    <s v="Ahmedabad"/>
    <s v="Sales Executive"/>
    <x v="8"/>
    <x v="0"/>
    <n v="2200"/>
    <n v="1450"/>
    <n v="22000"/>
    <n v="7500"/>
  </r>
  <r>
    <s v="ORD26031168"/>
    <x v="34"/>
    <s v="C0116"/>
    <s v="E002"/>
    <s v="P001"/>
    <n v="3"/>
    <n v="650"/>
    <n v="0.15"/>
    <x v="0"/>
    <s v="Marketplace"/>
    <s v="Upi"/>
    <n v="1657.5"/>
    <s v="Bengaluru"/>
    <n v="1657.5"/>
    <s v="Match"/>
    <x v="0"/>
    <x v="0"/>
    <s v="Bengaluru"/>
    <s v="Sales Executive"/>
    <x v="0"/>
    <x v="0"/>
    <n v="650"/>
    <n v="390"/>
    <n v="1657.5"/>
    <n v="487.5"/>
  </r>
  <r>
    <s v="ORD26031169"/>
    <x v="78"/>
    <s v="C0131"/>
    <s v="E005"/>
    <s v="P007"/>
    <n v="3"/>
    <n v="2730"/>
    <n v="0.05"/>
    <x v="0"/>
    <s v="Website"/>
    <s v="Upi"/>
    <n v="7780.5"/>
    <s v="Indore"/>
    <n v="7780.5"/>
    <s v="Match"/>
    <x v="3"/>
    <x v="0"/>
    <s v="Kochi"/>
    <s v="Sales Executive"/>
    <x v="10"/>
    <x v="0"/>
    <n v="2600"/>
    <n v="1750"/>
    <n v="7780.5"/>
    <n v="2530.5"/>
  </r>
  <r>
    <s v="ORD26021170"/>
    <x v="106"/>
    <s v="C0065"/>
    <s v="E002"/>
    <s v="P012"/>
    <n v="1"/>
    <n v="46075"/>
    <n v="0"/>
    <x v="0"/>
    <s v="Phone"/>
    <s v="Bank Transfer"/>
    <n v="46075"/>
    <s v="Indore"/>
    <n v="46075"/>
    <s v="Match"/>
    <x v="0"/>
    <x v="0"/>
    <s v="Bengaluru"/>
    <s v="Sales Executive"/>
    <x v="2"/>
    <x v="2"/>
    <n v="48500"/>
    <n v="41200"/>
    <n v="46075"/>
    <n v="4875"/>
  </r>
  <r>
    <s v="ORD26061171"/>
    <x v="73"/>
    <s v="C0108"/>
    <s v="E010"/>
    <s v="P005"/>
    <n v="8"/>
    <n v="17640"/>
    <n v="0.2"/>
    <x v="2"/>
    <s v="Website"/>
    <s v="Upi"/>
    <n v="112896"/>
    <s v="Bengaluru"/>
    <n v="112896"/>
    <s v="Match"/>
    <x v="6"/>
    <x v="3"/>
    <s v="Jaipur"/>
    <s v="Sales Executive"/>
    <x v="9"/>
    <x v="1"/>
    <n v="16800"/>
    <n v="12600"/>
    <n v="0"/>
    <n v="-100800"/>
  </r>
  <r>
    <s v="ORD26021172"/>
    <x v="125"/>
    <s v="C0166"/>
    <s v="E002"/>
    <s v="P010"/>
    <n v="1"/>
    <n v="3040"/>
    <n v="0"/>
    <x v="0"/>
    <s v="Direct"/>
    <s v="Upi"/>
    <n v="3040"/>
    <s v="Delhi"/>
    <n v="3040"/>
    <s v="Match"/>
    <x v="0"/>
    <x v="0"/>
    <s v="Bengaluru"/>
    <s v="Sales Executive"/>
    <x v="11"/>
    <x v="4"/>
    <n v="3200"/>
    <n v="2050"/>
    <n v="3040"/>
    <n v="990"/>
  </r>
  <r>
    <s v="ORD26051173"/>
    <x v="12"/>
    <s v="C0124"/>
    <s v="E013"/>
    <s v="P008"/>
    <n v="2"/>
    <n v="7410"/>
    <n v="0.1"/>
    <x v="0"/>
    <s v="Phone"/>
    <s v="Cash"/>
    <n v="13338"/>
    <s v="Pune"/>
    <n v="13338"/>
    <s v="Match"/>
    <x v="2"/>
    <x v="1"/>
    <s v="Bhubaneswar"/>
    <s v="Sales Executive"/>
    <x v="6"/>
    <x v="3"/>
    <n v="7800"/>
    <n v="5200"/>
    <n v="13338"/>
    <n v="2938"/>
  </r>
  <r>
    <s v="ORD26061174"/>
    <x v="89"/>
    <s v="C0110"/>
    <s v="E008"/>
    <s v="P006"/>
    <n v="2"/>
    <n v="1330"/>
    <n v="0.15"/>
    <x v="0"/>
    <s v="Website"/>
    <s v="Bank Transfer"/>
    <n v="2261"/>
    <s v="Delhi"/>
    <n v="2261"/>
    <s v="Match"/>
    <x v="8"/>
    <x v="2"/>
    <s v="Ahmedabad"/>
    <s v="Sales Executive"/>
    <x v="4"/>
    <x v="0"/>
    <n v="1400"/>
    <n v="780"/>
    <n v="2261"/>
    <n v="701"/>
  </r>
  <r>
    <s v="ORD26041175"/>
    <x v="91"/>
    <s v="C0179"/>
    <s v="E009"/>
    <s v="P008"/>
    <n v="2"/>
    <n v="8190"/>
    <n v="0.05"/>
    <x v="0"/>
    <s v="Website"/>
    <s v="Upi"/>
    <n v="15561"/>
    <s v="Kolkata"/>
    <n v="15561"/>
    <s v="Match"/>
    <x v="13"/>
    <x v="3"/>
    <s v="Delhi"/>
    <s v="Sales Executive"/>
    <x v="6"/>
    <x v="3"/>
    <n v="7800"/>
    <n v="5200"/>
    <n v="15561"/>
    <n v="5161"/>
  </r>
  <r>
    <s v="ORD26041176"/>
    <x v="77"/>
    <s v="C0196"/>
    <s v="E013"/>
    <s v="P011"/>
    <n v="2"/>
    <n v="2400"/>
    <n v="0.1"/>
    <x v="0"/>
    <s v="Marketplace"/>
    <s v="Card"/>
    <n v="4320"/>
    <s v="Chennai"/>
    <n v="4320"/>
    <s v="Match"/>
    <x v="2"/>
    <x v="1"/>
    <s v="Bhubaneswar"/>
    <s v="Sales Executive"/>
    <x v="7"/>
    <x v="4"/>
    <n v="2400"/>
    <n v="1480"/>
    <n v="4320"/>
    <n v="1360"/>
  </r>
  <r>
    <s v="ORD26021177"/>
    <x v="40"/>
    <s v="C0049"/>
    <s v="E008"/>
    <s v="P006"/>
    <n v="2"/>
    <n v="1400"/>
    <n v="0"/>
    <x v="0"/>
    <s v="Website"/>
    <s v="Bank Transfer"/>
    <n v="2800"/>
    <s v="Jaipur"/>
    <n v="2800"/>
    <s v="Match"/>
    <x v="8"/>
    <x v="2"/>
    <s v="Ahmedabad"/>
    <s v="Sales Executive"/>
    <x v="4"/>
    <x v="0"/>
    <n v="1400"/>
    <n v="780"/>
    <n v="2800"/>
    <n v="1240"/>
  </r>
  <r>
    <s v="ORD26011178"/>
    <x v="19"/>
    <s v="C0023"/>
    <s v="E010"/>
    <s v="P005"/>
    <n v="1"/>
    <n v="17640"/>
    <n v="0.05"/>
    <x v="0"/>
    <s v="Marketplace"/>
    <s v="Bank Transfer"/>
    <n v="16758"/>
    <s v="Chennai"/>
    <n v="16758"/>
    <s v="Match"/>
    <x v="6"/>
    <x v="3"/>
    <s v="Jaipur"/>
    <s v="Sales Executive"/>
    <x v="9"/>
    <x v="1"/>
    <n v="16800"/>
    <n v="12600"/>
    <n v="16758"/>
    <n v="4158"/>
  </r>
  <r>
    <s v="ORD26051179"/>
    <x v="135"/>
    <s v="C0252"/>
    <s v="E014"/>
    <s v="P001"/>
    <n v="5"/>
    <n v="682.5"/>
    <n v="0.1"/>
    <x v="3"/>
    <s v="Website"/>
    <s v="Cash"/>
    <n v="3071.25"/>
    <s v="Jaipur"/>
    <n v="3071.25"/>
    <s v="Match"/>
    <x v="10"/>
    <x v="4"/>
    <s v="Indore"/>
    <s v="Sales Executive"/>
    <x v="0"/>
    <x v="0"/>
    <n v="650"/>
    <n v="390"/>
    <n v="0"/>
    <n v="-1950"/>
  </r>
  <r>
    <s v="ORD26011180"/>
    <x v="60"/>
    <s v="C0068"/>
    <s v="E001"/>
    <s v="P006"/>
    <n v="1"/>
    <n v="1400"/>
    <n v="0.2"/>
    <x v="0"/>
    <s v="Direct"/>
    <s v="Cash"/>
    <n v="1120"/>
    <s v="Mumbai"/>
    <n v="1120"/>
    <s v="Match"/>
    <x v="14"/>
    <x v="0"/>
    <s v="Chennai"/>
    <s v="Sales Executive"/>
    <x v="4"/>
    <x v="0"/>
    <n v="1400"/>
    <n v="780"/>
    <n v="1120"/>
    <n v="340"/>
  </r>
  <r>
    <s v="ORD26011181"/>
    <x v="21"/>
    <s v="C0100"/>
    <s v="E008"/>
    <s v="P011"/>
    <n v="3"/>
    <n v="2400"/>
    <n v="0.05"/>
    <x v="0"/>
    <s v="Direct"/>
    <s v="Bank Transfer"/>
    <n v="6840"/>
    <s v="Kolkata"/>
    <n v="6840"/>
    <s v="Match"/>
    <x v="8"/>
    <x v="2"/>
    <s v="Ahmedabad"/>
    <s v="Sales Executive"/>
    <x v="7"/>
    <x v="4"/>
    <n v="2400"/>
    <n v="1480"/>
    <n v="6840"/>
    <n v="2400"/>
  </r>
  <r>
    <s v="ORD26021182"/>
    <x v="121"/>
    <s v="C0214"/>
    <s v="E015"/>
    <s v="P010"/>
    <n v="3"/>
    <n v="3360"/>
    <n v="0.05"/>
    <x v="0"/>
    <s v="Direct"/>
    <s v="Upi"/>
    <n v="9576"/>
    <s v="Bengaluru"/>
    <n v="9576"/>
    <s v="Match"/>
    <x v="9"/>
    <x v="4"/>
    <s v="Bhopal"/>
    <s v="Sales Executive"/>
    <x v="11"/>
    <x v="4"/>
    <n v="3200"/>
    <n v="2050"/>
    <n v="9576"/>
    <n v="3426"/>
  </r>
  <r>
    <s v="ORD26051183"/>
    <x v="161"/>
    <s v="C0102"/>
    <s v="E003"/>
    <s v="P012"/>
    <n v="1"/>
    <n v="48500"/>
    <n v="0"/>
    <x v="0"/>
    <s v="Phone"/>
    <s v="Card"/>
    <n v="48500"/>
    <s v="Chennai"/>
    <n v="48500"/>
    <s v="Match"/>
    <x v="7"/>
    <x v="0"/>
    <s v="Hyderabad"/>
    <s v="Sales Executive"/>
    <x v="2"/>
    <x v="2"/>
    <n v="48500"/>
    <n v="41200"/>
    <n v="48500"/>
    <n v="7300"/>
  </r>
  <r>
    <s v="ORD26031184"/>
    <x v="98"/>
    <s v="C0238"/>
    <s v="E005"/>
    <s v="P009"/>
    <n v="2"/>
    <n v="17575"/>
    <n v="0.05"/>
    <x v="0"/>
    <s v="Direct"/>
    <s v="Upi"/>
    <n v="33392.5"/>
    <s v="Mumbai"/>
    <n v="33392.5"/>
    <s v="Match"/>
    <x v="3"/>
    <x v="0"/>
    <s v="Kochi"/>
    <s v="Sales Executive"/>
    <x v="5"/>
    <x v="3"/>
    <n v="18500"/>
    <n v="13900"/>
    <n v="33392.5"/>
    <n v="5592.5"/>
  </r>
  <r>
    <s v="ORD26021185"/>
    <x v="54"/>
    <s v="C0087"/>
    <s v="E012"/>
    <s v="P002"/>
    <n v="1"/>
    <n v="2090"/>
    <n v="0.15"/>
    <x v="0"/>
    <s v="Direct"/>
    <s v="Card"/>
    <n v="1776.5"/>
    <s v="Kolkata"/>
    <n v="1776.5"/>
    <s v="Match"/>
    <x v="12"/>
    <x v="1"/>
    <s v="Kolkata"/>
    <s v="Sales Executive"/>
    <x v="8"/>
    <x v="0"/>
    <n v="2200"/>
    <n v="1450"/>
    <n v="1776.5"/>
    <n v="326.5"/>
  </r>
  <r>
    <s v="ORD26041186"/>
    <x v="90"/>
    <s v="C0068"/>
    <s v="E002"/>
    <s v="P012"/>
    <n v="8"/>
    <n v="48500"/>
    <n v="0.05"/>
    <x v="2"/>
    <s v="Marketplace"/>
    <s v="Upi"/>
    <n v="368600"/>
    <s v="Pune"/>
    <n v="368600"/>
    <s v="Match"/>
    <x v="0"/>
    <x v="0"/>
    <s v="Bengaluru"/>
    <s v="Sales Executive"/>
    <x v="2"/>
    <x v="2"/>
    <n v="48500"/>
    <n v="41200"/>
    <n v="0"/>
    <n v="-329600"/>
  </r>
  <r>
    <s v="ORD26061187"/>
    <x v="89"/>
    <s v="C0097"/>
    <s v="E005"/>
    <s v="P003"/>
    <n v="1"/>
    <n v="1800"/>
    <n v="0.15"/>
    <x v="0"/>
    <s v="Marketplace"/>
    <s v="Card"/>
    <n v="1530"/>
    <s v="Delhi"/>
    <n v="1530"/>
    <s v="Match"/>
    <x v="3"/>
    <x v="0"/>
    <s v="Kochi"/>
    <s v="Sales Executive"/>
    <x v="3"/>
    <x v="0"/>
    <n v="1800"/>
    <n v="1120"/>
    <n v="1530"/>
    <n v="410"/>
  </r>
  <r>
    <s v="ORD26031188"/>
    <x v="6"/>
    <s v="C0179"/>
    <s v="E005"/>
    <s v="P012"/>
    <n v="2"/>
    <n v="48500"/>
    <n v="0"/>
    <x v="0"/>
    <s v="Phone"/>
    <s v="Card"/>
    <n v="97000"/>
    <s v="Chennai"/>
    <n v="97000"/>
    <s v="Match"/>
    <x v="3"/>
    <x v="0"/>
    <s v="Kochi"/>
    <s v="Sales Executive"/>
    <x v="2"/>
    <x v="2"/>
    <n v="48500"/>
    <n v="41200"/>
    <n v="97000"/>
    <n v="14600"/>
  </r>
  <r>
    <s v="ORD26051189"/>
    <x v="166"/>
    <s v="C0178"/>
    <s v="E007"/>
    <s v="P003"/>
    <n v="2"/>
    <n v="1890"/>
    <n v="0"/>
    <x v="3"/>
    <s v="Marketplace"/>
    <s v="Card"/>
    <n v="3780"/>
    <s v="Kolkata"/>
    <n v="3780"/>
    <s v="Match"/>
    <x v="4"/>
    <x v="2"/>
    <s v="Pune"/>
    <s v="Sales Executive"/>
    <x v="3"/>
    <x v="0"/>
    <n v="1800"/>
    <n v="1120"/>
    <n v="0"/>
    <n v="-2240"/>
  </r>
  <r>
    <s v="ORD26061190"/>
    <x v="86"/>
    <s v="C0133"/>
    <s v="E009"/>
    <s v="P009"/>
    <n v="4"/>
    <n v="18500"/>
    <n v="0.05"/>
    <x v="0"/>
    <s v="Website"/>
    <s v="Cash"/>
    <n v="70300"/>
    <s v="Hyderabad"/>
    <n v="70300"/>
    <s v="Match"/>
    <x v="13"/>
    <x v="3"/>
    <s v="Delhi"/>
    <s v="Sales Executive"/>
    <x v="5"/>
    <x v="3"/>
    <n v="18500"/>
    <n v="13900"/>
    <n v="70300"/>
    <n v="14700"/>
  </r>
  <r>
    <s v="ORD26011191"/>
    <x v="7"/>
    <s v="C0240"/>
    <s v="E015"/>
    <s v="P002"/>
    <n v="2"/>
    <n v="2200"/>
    <n v="0.2"/>
    <x v="0"/>
    <s v="Marketplace"/>
    <s v="Bank Transfer"/>
    <n v="3520"/>
    <s v="Indore"/>
    <n v="3520"/>
    <s v="Match"/>
    <x v="9"/>
    <x v="4"/>
    <s v="Bhopal"/>
    <s v="Sales Executive"/>
    <x v="8"/>
    <x v="0"/>
    <n v="2200"/>
    <n v="1450"/>
    <n v="3520"/>
    <n v="620"/>
  </r>
  <r>
    <s v="ORD26041192"/>
    <x v="97"/>
    <s v="C0005"/>
    <s v="E011"/>
    <s v="P010"/>
    <n v="5"/>
    <n v="3200"/>
    <n v="0.05"/>
    <x v="0"/>
    <s v="Website"/>
    <s v="Cash"/>
    <n v="15200"/>
    <s v="Kochi"/>
    <n v="15200"/>
    <s v="Match"/>
    <x v="11"/>
    <x v="3"/>
    <s v="Lucknow"/>
    <s v="Sales Executive"/>
    <x v="11"/>
    <x v="4"/>
    <n v="3200"/>
    <n v="2050"/>
    <n v="15200"/>
    <n v="4950"/>
  </r>
  <r>
    <s v="ORD26031193"/>
    <x v="96"/>
    <s v="C0084"/>
    <s v="E006"/>
    <s v="P011"/>
    <n v="5"/>
    <n v="2400"/>
    <n v="0"/>
    <x v="1"/>
    <s v="Phone"/>
    <s v="Credit"/>
    <n v="12000"/>
    <s v="Delhi"/>
    <n v="12000"/>
    <s v="Match"/>
    <x v="5"/>
    <x v="2"/>
    <s v="Mumbai"/>
    <s v="Sales Executive"/>
    <x v="7"/>
    <x v="4"/>
    <n v="2400"/>
    <n v="1480"/>
    <n v="0"/>
    <n v="-7400"/>
  </r>
  <r>
    <s v="ORD26011194"/>
    <x v="48"/>
    <s v="C0243"/>
    <s v="E008"/>
    <s v="P010"/>
    <n v="2"/>
    <n v="3360"/>
    <n v="0.15"/>
    <x v="0"/>
    <s v="Website"/>
    <s v="Bank Transfer"/>
    <n v="5712"/>
    <s v="Kolkata"/>
    <n v="5712"/>
    <s v="Match"/>
    <x v="8"/>
    <x v="2"/>
    <s v="Ahmedabad"/>
    <s v="Sales Executive"/>
    <x v="11"/>
    <x v="4"/>
    <n v="3200"/>
    <n v="2050"/>
    <n v="5712"/>
    <n v="1612"/>
  </r>
  <r>
    <s v="ORD26061195"/>
    <x v="65"/>
    <s v="C0260"/>
    <s v="E006"/>
    <s v="P008"/>
    <n v="3"/>
    <n v="7800"/>
    <n v="0.05"/>
    <x v="0"/>
    <s v="Direct"/>
    <s v="Cash"/>
    <n v="22230"/>
    <s v="Pune"/>
    <n v="22230"/>
    <s v="Match"/>
    <x v="5"/>
    <x v="2"/>
    <s v="Mumbai"/>
    <s v="Sales Executive"/>
    <x v="6"/>
    <x v="3"/>
    <n v="7800"/>
    <n v="5200"/>
    <n v="22230"/>
    <n v="6630"/>
  </r>
  <r>
    <s v="ORD26031196"/>
    <x v="69"/>
    <s v="C0102"/>
    <s v="E010"/>
    <s v="P007"/>
    <n v="3"/>
    <n v="2600"/>
    <n v="0"/>
    <x v="0"/>
    <s v="Website"/>
    <s v="Card"/>
    <n v="7800"/>
    <s v="Kolkata"/>
    <n v="7800"/>
    <s v="Match"/>
    <x v="6"/>
    <x v="3"/>
    <s v="Jaipur"/>
    <s v="Sales Executive"/>
    <x v="10"/>
    <x v="0"/>
    <n v="2600"/>
    <n v="1750"/>
    <n v="7800"/>
    <n v="2550"/>
  </r>
  <r>
    <s v="ORD26011197"/>
    <x v="17"/>
    <s v="C0203"/>
    <s v="E002"/>
    <s v="P005"/>
    <n v="4"/>
    <n v="17640"/>
    <n v="0"/>
    <x v="0"/>
    <s v="Website"/>
    <s v="Cash"/>
    <n v="70560"/>
    <s v="Chennai"/>
    <n v="70560"/>
    <s v="Match"/>
    <x v="0"/>
    <x v="0"/>
    <s v="Bengaluru"/>
    <s v="Sales Executive"/>
    <x v="9"/>
    <x v="1"/>
    <n v="16800"/>
    <n v="12600"/>
    <n v="70560"/>
    <n v="20160"/>
  </r>
  <r>
    <s v="ORD26061198"/>
    <x v="68"/>
    <s v="C0121"/>
    <s v="E003"/>
    <s v="P004"/>
    <n v="5"/>
    <n v="11200"/>
    <n v="0.05"/>
    <x v="0"/>
    <s v="Website"/>
    <s v="Cash"/>
    <n v="53200"/>
    <s v="Mumbai"/>
    <n v="53200"/>
    <s v="Match"/>
    <x v="7"/>
    <x v="0"/>
    <s v="Hyderabad"/>
    <s v="Sales Executive"/>
    <x v="1"/>
    <x v="1"/>
    <n v="11200"/>
    <n v="8300"/>
    <n v="53200"/>
    <n v="11700"/>
  </r>
  <r>
    <s v="ORD26031199"/>
    <x v="108"/>
    <s v="C0177"/>
    <s v="E003"/>
    <s v="P011"/>
    <n v="3"/>
    <n v="2400"/>
    <n v="0.05"/>
    <x v="0"/>
    <s v="Direct"/>
    <s v="Cash"/>
    <n v="6840"/>
    <s v="Jaipur"/>
    <n v="6840"/>
    <s v="Match"/>
    <x v="7"/>
    <x v="0"/>
    <s v="Hyderabad"/>
    <s v="Sales Executive"/>
    <x v="7"/>
    <x v="4"/>
    <n v="2400"/>
    <n v="1480"/>
    <n v="6840"/>
    <n v="2400"/>
  </r>
  <r>
    <s v="ORD26061200"/>
    <x v="85"/>
    <s v="C0125"/>
    <s v="E007"/>
    <s v="P012"/>
    <n v="1"/>
    <n v="50925"/>
    <n v="0.1"/>
    <x v="0"/>
    <s v="Direct"/>
    <s v="Cash"/>
    <n v="45832.5"/>
    <s v="Delhi"/>
    <n v="45832.5"/>
    <s v="Match"/>
    <x v="4"/>
    <x v="2"/>
    <s v="Pune"/>
    <s v="Sales Executive"/>
    <x v="2"/>
    <x v="2"/>
    <n v="48500"/>
    <n v="41200"/>
    <n v="45832.5"/>
    <n v="4632.5"/>
  </r>
  <r>
    <s v="ORD26010425"/>
    <x v="138"/>
    <s v="C0135"/>
    <s v="E001"/>
    <s v="P011"/>
    <n v="3"/>
    <n v="2400"/>
    <n v="0.2"/>
    <x v="3"/>
    <s v="Website"/>
    <s v="Cash"/>
    <n v="5760"/>
    <s v="Pune"/>
    <n v="5760"/>
    <s v="Match"/>
    <x v="14"/>
    <x v="0"/>
    <s v="Chennai"/>
    <s v="Sales Executive"/>
    <x v="7"/>
    <x v="4"/>
    <n v="2400"/>
    <n v="1480"/>
    <n v="0"/>
    <n v="-4440"/>
  </r>
  <r>
    <s v="ORD26020039"/>
    <x v="36"/>
    <s v="C0187"/>
    <s v="E005"/>
    <s v="P001"/>
    <n v="4"/>
    <n v="650"/>
    <n v="0"/>
    <x v="0"/>
    <s v="Phone"/>
    <s v="Upi"/>
    <n v="2600"/>
    <s v="Kolkata"/>
    <n v="2600"/>
    <s v="Match"/>
    <x v="3"/>
    <x v="0"/>
    <s v="Kochi"/>
    <s v="Sales Executive"/>
    <x v="0"/>
    <x v="0"/>
    <n v="650"/>
    <n v="390"/>
    <n v="2600"/>
    <n v="1040"/>
  </r>
  <r>
    <s v="ORD26010849"/>
    <x v="138"/>
    <s v="C0107"/>
    <s v="E007"/>
    <s v="P009"/>
    <n v="2"/>
    <n v="18500"/>
    <n v="0.05"/>
    <x v="0"/>
    <s v="Phone"/>
    <s v="Cash"/>
    <n v="35150"/>
    <s v="Mumbai"/>
    <n v="35150"/>
    <s v="Match"/>
    <x v="4"/>
    <x v="2"/>
    <s v="Pune"/>
    <s v="Sales Executive"/>
    <x v="5"/>
    <x v="3"/>
    <n v="18500"/>
    <n v="13900"/>
    <n v="35150"/>
    <n v="7350"/>
  </r>
  <r>
    <s v="ORD26050266"/>
    <x v="99"/>
    <s v="C0251"/>
    <s v="E011"/>
    <s v="P008"/>
    <n v="3"/>
    <n v="8190"/>
    <n v="0.1"/>
    <x v="0"/>
    <s v="Website"/>
    <s v="Upi"/>
    <n v="22113"/>
    <s v="Indore"/>
    <n v="22113"/>
    <s v="Match"/>
    <x v="11"/>
    <x v="3"/>
    <s v="Lucknow"/>
    <s v="Sales Executive"/>
    <x v="6"/>
    <x v="3"/>
    <n v="7800"/>
    <n v="5200"/>
    <n v="22113"/>
    <n v="6513"/>
  </r>
  <r>
    <s v="ORD26020563"/>
    <x v="54"/>
    <s v="C0034"/>
    <s v="E012"/>
    <s v="P011"/>
    <n v="2"/>
    <n v="2280"/>
    <n v="0.05"/>
    <x v="0"/>
    <s v="Phone"/>
    <s v="Upi"/>
    <n v="4332"/>
    <s v="Kolkata"/>
    <n v="4332"/>
    <s v="Match"/>
    <x v="12"/>
    <x v="1"/>
    <s v="Kolkata"/>
    <s v="Sales Executive"/>
    <x v="7"/>
    <x v="4"/>
    <n v="2400"/>
    <n v="1480"/>
    <n v="4332"/>
    <n v="1372"/>
  </r>
  <r>
    <s v="ORD26050547"/>
    <x v="99"/>
    <s v="C0203"/>
    <s v="E009"/>
    <s v="P006"/>
    <n v="5"/>
    <n v="1400"/>
    <n v="0"/>
    <x v="0"/>
    <s v="Direct"/>
    <s v="Card"/>
    <n v="7000"/>
    <s v="Bengaluru"/>
    <n v="7000"/>
    <s v="Match"/>
    <x v="13"/>
    <x v="3"/>
    <s v="Delhi"/>
    <s v="Sales Executive"/>
    <x v="4"/>
    <x v="0"/>
    <n v="1400"/>
    <n v="780"/>
    <n v="7000"/>
    <n v="3100"/>
  </r>
  <r>
    <s v="ORD26050948"/>
    <x v="110"/>
    <s v="C0152"/>
    <s v="E008"/>
    <s v="P009"/>
    <n v="4"/>
    <n v="18500"/>
    <n v="0.15"/>
    <x v="0"/>
    <s v="Marketplace"/>
    <s v="Credit"/>
    <n v="62900"/>
    <s v="Mumbai"/>
    <n v="62900"/>
    <s v="Match"/>
    <x v="8"/>
    <x v="2"/>
    <s v="Ahmedabad"/>
    <s v="Sales Executive"/>
    <x v="5"/>
    <x v="3"/>
    <n v="18500"/>
    <n v="13900"/>
    <n v="62900"/>
    <n v="7300"/>
  </r>
  <r>
    <s v="ORD26050652"/>
    <x v="28"/>
    <s v="C0253"/>
    <s v="E015"/>
    <s v="P012"/>
    <n v="4"/>
    <n v="48500"/>
    <n v="0"/>
    <x v="0"/>
    <s v="Direct"/>
    <s v="Credit"/>
    <n v="194000"/>
    <s v="Kolkata"/>
    <n v="194000"/>
    <s v="Match"/>
    <x v="9"/>
    <x v="4"/>
    <s v="Bhopal"/>
    <s v="Sales Executive"/>
    <x v="2"/>
    <x v="2"/>
    <n v="48500"/>
    <n v="41200"/>
    <n v="194000"/>
    <n v="292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4925F6-509A-4B80-A737-B63C67025347}" name="PivotTable5"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B3:AD8" firstHeaderRow="0" firstDataRow="1" firstDataCol="1"/>
  <pivotFields count="27">
    <pivotField dataField="1" showAll="0"/>
    <pivotField showAll="0">
      <items count="183">
        <item x="150"/>
        <item x="3"/>
        <item x="165"/>
        <item x="19"/>
        <item x="169"/>
        <item x="48"/>
        <item x="32"/>
        <item x="132"/>
        <item x="7"/>
        <item x="33"/>
        <item x="66"/>
        <item x="138"/>
        <item x="111"/>
        <item x="17"/>
        <item x="21"/>
        <item x="94"/>
        <item x="15"/>
        <item x="172"/>
        <item x="112"/>
        <item x="74"/>
        <item x="22"/>
        <item x="61"/>
        <item x="53"/>
        <item x="1"/>
        <item x="8"/>
        <item x="25"/>
        <item x="60"/>
        <item x="81"/>
        <item x="14"/>
        <item x="27"/>
        <item x="145"/>
        <item x="102"/>
        <item x="159"/>
        <item x="176"/>
        <item x="126"/>
        <item x="88"/>
        <item x="5"/>
        <item x="92"/>
        <item x="147"/>
        <item x="107"/>
        <item x="26"/>
        <item x="29"/>
        <item x="174"/>
        <item x="121"/>
        <item x="153"/>
        <item x="35"/>
        <item x="54"/>
        <item x="117"/>
        <item x="36"/>
        <item x="58"/>
        <item x="40"/>
        <item x="128"/>
        <item x="134"/>
        <item x="171"/>
        <item x="139"/>
        <item x="125"/>
        <item x="56"/>
        <item x="142"/>
        <item x="113"/>
        <item x="80"/>
        <item x="149"/>
        <item x="103"/>
        <item x="108"/>
        <item x="118"/>
        <item x="104"/>
        <item x="160"/>
        <item x="43"/>
        <item x="24"/>
        <item x="69"/>
        <item x="46"/>
        <item x="78"/>
        <item x="148"/>
        <item x="178"/>
        <item x="44"/>
        <item x="70"/>
        <item x="6"/>
        <item x="71"/>
        <item x="39"/>
        <item x="151"/>
        <item x="98"/>
        <item x="114"/>
        <item x="72"/>
        <item x="167"/>
        <item x="105"/>
        <item x="34"/>
        <item x="96"/>
        <item x="84"/>
        <item x="181"/>
        <item x="119"/>
        <item x="130"/>
        <item x="57"/>
        <item x="76"/>
        <item x="59"/>
        <item x="141"/>
        <item x="30"/>
        <item x="122"/>
        <item x="97"/>
        <item x="11"/>
        <item x="156"/>
        <item x="20"/>
        <item x="173"/>
        <item x="50"/>
        <item x="82"/>
        <item x="124"/>
        <item x="55"/>
        <item x="123"/>
        <item x="168"/>
        <item x="170"/>
        <item x="131"/>
        <item x="164"/>
        <item x="175"/>
        <item x="91"/>
        <item x="95"/>
        <item x="179"/>
        <item x="177"/>
        <item x="93"/>
        <item x="158"/>
        <item x="90"/>
        <item x="109"/>
        <item x="77"/>
        <item x="47"/>
        <item x="16"/>
        <item x="162"/>
        <item x="157"/>
        <item x="137"/>
        <item x="28"/>
        <item x="143"/>
        <item x="140"/>
        <item x="161"/>
        <item x="99"/>
        <item x="12"/>
        <item x="110"/>
        <item x="163"/>
        <item x="144"/>
        <item x="87"/>
        <item x="120"/>
        <item x="4"/>
        <item x="18"/>
        <item x="75"/>
        <item x="63"/>
        <item x="133"/>
        <item x="38"/>
        <item x="115"/>
        <item x="42"/>
        <item x="51"/>
        <item x="64"/>
        <item x="135"/>
        <item x="45"/>
        <item x="23"/>
        <item x="166"/>
        <item x="62"/>
        <item x="73"/>
        <item x="13"/>
        <item x="65"/>
        <item x="83"/>
        <item x="49"/>
        <item x="100"/>
        <item x="79"/>
        <item x="155"/>
        <item x="37"/>
        <item x="9"/>
        <item x="136"/>
        <item x="10"/>
        <item x="0"/>
        <item x="101"/>
        <item x="146"/>
        <item x="52"/>
        <item x="154"/>
        <item x="68"/>
        <item x="67"/>
        <item x="31"/>
        <item x="152"/>
        <item x="116"/>
        <item x="129"/>
        <item x="180"/>
        <item x="85"/>
        <item x="2"/>
        <item x="127"/>
        <item x="41"/>
        <item x="86"/>
        <item x="89"/>
        <item x="106"/>
        <item t="default"/>
      </items>
    </pivotField>
    <pivotField showAll="0"/>
    <pivotField showAll="0"/>
    <pivotField showAll="0"/>
    <pivotField showAll="0"/>
    <pivotField showAll="0"/>
    <pivotField showAll="0"/>
    <pivotField axis="axisRow" showAll="0">
      <items count="5">
        <item x="1"/>
        <item x="0"/>
        <item x="2"/>
        <item x="3"/>
        <item t="default"/>
      </items>
    </pivotField>
    <pivotField showAll="0"/>
    <pivotField showAll="0"/>
    <pivotField showAll="0"/>
    <pivotField showAll="0"/>
    <pivotField showAll="0"/>
    <pivotField showAll="0"/>
    <pivotField showAll="0"/>
    <pivotField showAll="0">
      <items count="7">
        <item x="4"/>
        <item x="1"/>
        <item x="3"/>
        <item x="0"/>
        <item x="2"/>
        <item x="5"/>
        <item t="default"/>
      </items>
    </pivotField>
    <pivotField showAll="0"/>
    <pivotField showAll="0"/>
    <pivotField showAll="0"/>
    <pivotField showAll="0">
      <items count="7">
        <item x="0"/>
        <item x="4"/>
        <item x="2"/>
        <item x="1"/>
        <item x="3"/>
        <item x="5"/>
        <item t="default"/>
      </items>
    </pivotField>
    <pivotField showAll="0"/>
    <pivotField showAll="0"/>
    <pivotField dataField="1" showAll="0"/>
    <pivotField showAll="0"/>
    <pivotField showAll="0" defaultSubtotal="0"/>
    <pivotField showAll="0" defaultSubtotal="0">
      <items count="3">
        <item x="0"/>
        <item x="1"/>
        <item x="2"/>
      </items>
    </pivotField>
  </pivotFields>
  <rowFields count="1">
    <field x="8"/>
  </rowFields>
  <rowItems count="5">
    <i>
      <x/>
    </i>
    <i>
      <x v="1"/>
    </i>
    <i>
      <x v="2"/>
    </i>
    <i>
      <x v="3"/>
    </i>
    <i t="grand">
      <x/>
    </i>
  </rowItems>
  <colFields count="1">
    <field x="-2"/>
  </colFields>
  <colItems count="2">
    <i>
      <x/>
    </i>
    <i i="1">
      <x v="1"/>
    </i>
  </colItems>
  <dataFields count="2">
    <dataField name="Realized Sales" fld="23" baseField="8" baseItem="0"/>
    <dataField name="Order Count" fld="0" subtotal="count" baseField="8" baseItem="0"/>
  </dataFields>
  <chartFormats count="10">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8" count="1" selected="0">
            <x v="0"/>
          </reference>
        </references>
      </pivotArea>
    </chartFormat>
    <chartFormat chart="4" format="14">
      <pivotArea type="data" outline="0" fieldPosition="0">
        <references count="2">
          <reference field="4294967294" count="1" selected="0">
            <x v="0"/>
          </reference>
          <reference field="8" count="1" selected="0">
            <x v="1"/>
          </reference>
        </references>
      </pivotArea>
    </chartFormat>
    <chartFormat chart="4" format="15">
      <pivotArea type="data" outline="0" fieldPosition="0">
        <references count="2">
          <reference field="4294967294" count="1" selected="0">
            <x v="0"/>
          </reference>
          <reference field="8" count="1" selected="0">
            <x v="2"/>
          </reference>
        </references>
      </pivotArea>
    </chartFormat>
    <chartFormat chart="4" format="16">
      <pivotArea type="data" outline="0" fieldPosition="0">
        <references count="2">
          <reference field="4294967294" count="1" selected="0">
            <x v="0"/>
          </reference>
          <reference field="8" count="1" selected="0">
            <x v="3"/>
          </reference>
        </references>
      </pivotArea>
    </chartFormat>
    <chartFormat chart="4" format="17" series="1">
      <pivotArea type="data" outline="0" fieldPosition="0">
        <references count="1">
          <reference field="4294967294" count="1" selected="0">
            <x v="1"/>
          </reference>
        </references>
      </pivotArea>
    </chartFormat>
    <chartFormat chart="4" format="18">
      <pivotArea type="data" outline="0" fieldPosition="0">
        <references count="2">
          <reference field="4294967294" count="1" selected="0">
            <x v="1"/>
          </reference>
          <reference field="8" count="1" selected="0">
            <x v="0"/>
          </reference>
        </references>
      </pivotArea>
    </chartFormat>
    <chartFormat chart="4" format="19">
      <pivotArea type="data" outline="0" fieldPosition="0">
        <references count="2">
          <reference field="4294967294" count="1" selected="0">
            <x v="1"/>
          </reference>
          <reference field="8" count="1" selected="0">
            <x v="1"/>
          </reference>
        </references>
      </pivotArea>
    </chartFormat>
    <chartFormat chart="4" format="20">
      <pivotArea type="data" outline="0" fieldPosition="0">
        <references count="2">
          <reference field="4294967294" count="1" selected="0">
            <x v="1"/>
          </reference>
          <reference field="8" count="1" selected="0">
            <x v="2"/>
          </reference>
        </references>
      </pivotArea>
    </chartFormat>
    <chartFormat chart="4" format="21">
      <pivotArea type="data" outline="0" fieldPosition="0">
        <references count="2">
          <reference field="4294967294" count="1" selected="0">
            <x v="1"/>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C41FDE-5242-4DA5-AC71-B9BEABA3DCEE}" name="PivotTable4"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U3:W19" firstHeaderRow="0" firstDataRow="1" firstDataCol="1"/>
  <pivotFields count="27">
    <pivotField dataField="1" showAll="0"/>
    <pivotField showAll="0">
      <items count="183">
        <item x="150"/>
        <item x="3"/>
        <item x="165"/>
        <item x="19"/>
        <item x="169"/>
        <item x="48"/>
        <item x="32"/>
        <item x="132"/>
        <item x="7"/>
        <item x="33"/>
        <item x="66"/>
        <item x="138"/>
        <item x="111"/>
        <item x="17"/>
        <item x="21"/>
        <item x="94"/>
        <item x="15"/>
        <item x="172"/>
        <item x="112"/>
        <item x="74"/>
        <item x="22"/>
        <item x="61"/>
        <item x="53"/>
        <item x="1"/>
        <item x="8"/>
        <item x="25"/>
        <item x="60"/>
        <item x="81"/>
        <item x="14"/>
        <item x="27"/>
        <item x="145"/>
        <item x="102"/>
        <item x="159"/>
        <item x="176"/>
        <item x="126"/>
        <item x="88"/>
        <item x="5"/>
        <item x="92"/>
        <item x="147"/>
        <item x="107"/>
        <item x="26"/>
        <item x="29"/>
        <item x="174"/>
        <item x="121"/>
        <item x="153"/>
        <item x="35"/>
        <item x="54"/>
        <item x="117"/>
        <item x="36"/>
        <item x="58"/>
        <item x="40"/>
        <item x="128"/>
        <item x="134"/>
        <item x="171"/>
        <item x="139"/>
        <item x="125"/>
        <item x="56"/>
        <item x="142"/>
        <item x="113"/>
        <item x="80"/>
        <item x="149"/>
        <item x="103"/>
        <item x="108"/>
        <item x="118"/>
        <item x="104"/>
        <item x="160"/>
        <item x="43"/>
        <item x="24"/>
        <item x="69"/>
        <item x="46"/>
        <item x="78"/>
        <item x="148"/>
        <item x="178"/>
        <item x="44"/>
        <item x="70"/>
        <item x="6"/>
        <item x="71"/>
        <item x="39"/>
        <item x="151"/>
        <item x="98"/>
        <item x="114"/>
        <item x="72"/>
        <item x="167"/>
        <item x="105"/>
        <item x="34"/>
        <item x="96"/>
        <item x="84"/>
        <item x="181"/>
        <item x="119"/>
        <item x="130"/>
        <item x="57"/>
        <item x="76"/>
        <item x="59"/>
        <item x="141"/>
        <item x="30"/>
        <item x="122"/>
        <item x="97"/>
        <item x="11"/>
        <item x="156"/>
        <item x="20"/>
        <item x="173"/>
        <item x="50"/>
        <item x="82"/>
        <item x="124"/>
        <item x="55"/>
        <item x="123"/>
        <item x="168"/>
        <item x="170"/>
        <item x="131"/>
        <item x="164"/>
        <item x="175"/>
        <item x="91"/>
        <item x="95"/>
        <item x="179"/>
        <item x="177"/>
        <item x="93"/>
        <item x="158"/>
        <item x="90"/>
        <item x="109"/>
        <item x="77"/>
        <item x="47"/>
        <item x="16"/>
        <item x="162"/>
        <item x="157"/>
        <item x="137"/>
        <item x="28"/>
        <item x="143"/>
        <item x="140"/>
        <item x="161"/>
        <item x="99"/>
        <item x="12"/>
        <item x="110"/>
        <item x="163"/>
        <item x="144"/>
        <item x="87"/>
        <item x="120"/>
        <item x="4"/>
        <item x="18"/>
        <item x="75"/>
        <item x="63"/>
        <item x="133"/>
        <item x="38"/>
        <item x="115"/>
        <item x="42"/>
        <item x="51"/>
        <item x="64"/>
        <item x="135"/>
        <item x="45"/>
        <item x="23"/>
        <item x="166"/>
        <item x="62"/>
        <item x="73"/>
        <item x="13"/>
        <item x="65"/>
        <item x="83"/>
        <item x="49"/>
        <item x="100"/>
        <item x="79"/>
        <item x="155"/>
        <item x="37"/>
        <item x="9"/>
        <item x="136"/>
        <item x="10"/>
        <item x="0"/>
        <item x="101"/>
        <item x="146"/>
        <item x="52"/>
        <item x="154"/>
        <item x="68"/>
        <item x="67"/>
        <item x="31"/>
        <item x="152"/>
        <item x="116"/>
        <item x="129"/>
        <item x="180"/>
        <item x="85"/>
        <item x="2"/>
        <item x="127"/>
        <item x="41"/>
        <item x="86"/>
        <item x="89"/>
        <item x="10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17">
        <item x="9"/>
        <item x="13"/>
        <item x="14"/>
        <item x="1"/>
        <item x="12"/>
        <item x="3"/>
        <item x="10"/>
        <item x="8"/>
        <item x="6"/>
        <item x="0"/>
        <item x="7"/>
        <item x="11"/>
        <item x="2"/>
        <item x="5"/>
        <item x="4"/>
        <item h="1" x="15"/>
        <item t="default"/>
      </items>
      <autoSortScope>
        <pivotArea dataOnly="0" outline="0" fieldPosition="0">
          <references count="1">
            <reference field="4294967294" count="1" selected="0">
              <x v="0"/>
            </reference>
          </references>
        </pivotArea>
      </autoSortScope>
    </pivotField>
    <pivotField showAll="0">
      <items count="7">
        <item x="4"/>
        <item x="1"/>
        <item x="3"/>
        <item x="0"/>
        <item x="2"/>
        <item x="5"/>
        <item t="default"/>
      </items>
    </pivotField>
    <pivotField showAll="0"/>
    <pivotField showAll="0"/>
    <pivotField showAll="0"/>
    <pivotField showAll="0">
      <items count="7">
        <item x="0"/>
        <item x="4"/>
        <item x="2"/>
        <item x="1"/>
        <item x="3"/>
        <item x="5"/>
        <item t="default"/>
      </items>
    </pivotField>
    <pivotField showAll="0"/>
    <pivotField showAll="0"/>
    <pivotField dataField="1" showAll="0"/>
    <pivotField showAll="0"/>
    <pivotField showAll="0" defaultSubtotal="0"/>
    <pivotField showAll="0" defaultSubtotal="0">
      <items count="3">
        <item x="0"/>
        <item x="1"/>
        <item x="2"/>
      </items>
    </pivotField>
  </pivotFields>
  <rowFields count="1">
    <field x="15"/>
  </rowFields>
  <rowItems count="16">
    <i>
      <x v="4"/>
    </i>
    <i>
      <x v="9"/>
    </i>
    <i>
      <x v="14"/>
    </i>
    <i>
      <x v="1"/>
    </i>
    <i>
      <x v="12"/>
    </i>
    <i>
      <x v="13"/>
    </i>
    <i>
      <x v="8"/>
    </i>
    <i>
      <x v="2"/>
    </i>
    <i>
      <x v="11"/>
    </i>
    <i>
      <x v="7"/>
    </i>
    <i>
      <x v="3"/>
    </i>
    <i>
      <x v="6"/>
    </i>
    <i>
      <x/>
    </i>
    <i>
      <x v="10"/>
    </i>
    <i>
      <x v="5"/>
    </i>
    <i t="grand">
      <x/>
    </i>
  </rowItems>
  <colFields count="1">
    <field x="-2"/>
  </colFields>
  <colItems count="2">
    <i>
      <x/>
    </i>
    <i i="1">
      <x v="1"/>
    </i>
  </colItems>
  <dataFields count="2">
    <dataField name="Realized Sales" fld="23" baseField="15" baseItem="0"/>
    <dataField name="Order Count" fld="0" subtotal="count" baseField="1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C43BE8-9730-4BB4-B2E2-9D17E916709E}" name="PivotTable3"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O3:P10" firstHeaderRow="1" firstDataRow="1" firstDataCol="1"/>
  <pivotFields count="27">
    <pivotField showAll="0"/>
    <pivotField showAll="0">
      <items count="183">
        <item x="150"/>
        <item x="3"/>
        <item x="165"/>
        <item x="19"/>
        <item x="169"/>
        <item x="48"/>
        <item x="32"/>
        <item x="132"/>
        <item x="7"/>
        <item x="33"/>
        <item x="66"/>
        <item x="138"/>
        <item x="111"/>
        <item x="17"/>
        <item x="21"/>
        <item x="94"/>
        <item x="15"/>
        <item x="172"/>
        <item x="112"/>
        <item x="74"/>
        <item x="22"/>
        <item x="61"/>
        <item x="53"/>
        <item x="1"/>
        <item x="8"/>
        <item x="25"/>
        <item x="60"/>
        <item x="81"/>
        <item x="14"/>
        <item x="27"/>
        <item x="145"/>
        <item x="102"/>
        <item x="159"/>
        <item x="176"/>
        <item x="126"/>
        <item x="88"/>
        <item x="5"/>
        <item x="92"/>
        <item x="147"/>
        <item x="107"/>
        <item x="26"/>
        <item x="29"/>
        <item x="174"/>
        <item x="121"/>
        <item x="153"/>
        <item x="35"/>
        <item x="54"/>
        <item x="117"/>
        <item x="36"/>
        <item x="58"/>
        <item x="40"/>
        <item x="128"/>
        <item x="134"/>
        <item x="171"/>
        <item x="139"/>
        <item x="125"/>
        <item x="56"/>
        <item x="142"/>
        <item x="113"/>
        <item x="80"/>
        <item x="149"/>
        <item x="103"/>
        <item x="108"/>
        <item x="118"/>
        <item x="104"/>
        <item x="160"/>
        <item x="43"/>
        <item x="24"/>
        <item x="69"/>
        <item x="46"/>
        <item x="78"/>
        <item x="148"/>
        <item x="178"/>
        <item x="44"/>
        <item x="70"/>
        <item x="6"/>
        <item x="71"/>
        <item x="39"/>
        <item x="151"/>
        <item x="98"/>
        <item x="114"/>
        <item x="72"/>
        <item x="167"/>
        <item x="105"/>
        <item x="34"/>
        <item x="96"/>
        <item x="84"/>
        <item x="181"/>
        <item x="119"/>
        <item x="130"/>
        <item x="57"/>
        <item x="76"/>
        <item x="59"/>
        <item x="141"/>
        <item x="30"/>
        <item x="122"/>
        <item x="97"/>
        <item x="11"/>
        <item x="156"/>
        <item x="20"/>
        <item x="173"/>
        <item x="50"/>
        <item x="82"/>
        <item x="124"/>
        <item x="55"/>
        <item x="123"/>
        <item x="168"/>
        <item x="170"/>
        <item x="131"/>
        <item x="164"/>
        <item x="175"/>
        <item x="91"/>
        <item x="95"/>
        <item x="179"/>
        <item x="177"/>
        <item x="93"/>
        <item x="158"/>
        <item x="90"/>
        <item x="109"/>
        <item x="77"/>
        <item x="47"/>
        <item x="16"/>
        <item x="162"/>
        <item x="157"/>
        <item x="137"/>
        <item x="28"/>
        <item x="143"/>
        <item x="140"/>
        <item x="161"/>
        <item x="99"/>
        <item x="12"/>
        <item x="110"/>
        <item x="163"/>
        <item x="144"/>
        <item x="87"/>
        <item x="120"/>
        <item x="4"/>
        <item x="18"/>
        <item x="75"/>
        <item x="63"/>
        <item x="133"/>
        <item x="38"/>
        <item x="115"/>
        <item x="42"/>
        <item x="51"/>
        <item x="64"/>
        <item x="135"/>
        <item x="45"/>
        <item x="23"/>
        <item x="166"/>
        <item x="62"/>
        <item x="73"/>
        <item x="13"/>
        <item x="65"/>
        <item x="83"/>
        <item x="49"/>
        <item x="100"/>
        <item x="79"/>
        <item x="155"/>
        <item x="37"/>
        <item x="9"/>
        <item x="136"/>
        <item x="10"/>
        <item x="0"/>
        <item x="101"/>
        <item x="146"/>
        <item x="52"/>
        <item x="154"/>
        <item x="68"/>
        <item x="67"/>
        <item x="31"/>
        <item x="152"/>
        <item x="116"/>
        <item x="129"/>
        <item x="180"/>
        <item x="85"/>
        <item x="2"/>
        <item x="127"/>
        <item x="41"/>
        <item x="86"/>
        <item x="89"/>
        <item x="10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4"/>
        <item x="1"/>
        <item x="3"/>
        <item x="0"/>
        <item x="2"/>
        <item x="5"/>
        <item t="default"/>
      </items>
    </pivotField>
    <pivotField showAll="0"/>
    <pivotField showAll="0"/>
    <pivotField showAll="0"/>
    <pivotField axis="axisRow" showAll="0">
      <items count="7">
        <item x="0"/>
        <item x="4"/>
        <item x="2"/>
        <item x="1"/>
        <item x="3"/>
        <item x="5"/>
        <item t="default"/>
      </items>
    </pivotField>
    <pivotField showAll="0"/>
    <pivotField showAll="0"/>
    <pivotField dataField="1" showAll="0"/>
    <pivotField showAll="0"/>
    <pivotField showAll="0" defaultSubtotal="0"/>
    <pivotField showAll="0" defaultSubtotal="0">
      <items count="3">
        <item x="0"/>
        <item x="1"/>
        <item x="2"/>
      </items>
    </pivotField>
  </pivotFields>
  <rowFields count="1">
    <field x="20"/>
  </rowFields>
  <rowItems count="7">
    <i>
      <x/>
    </i>
    <i>
      <x v="1"/>
    </i>
    <i>
      <x v="2"/>
    </i>
    <i>
      <x v="3"/>
    </i>
    <i>
      <x v="4"/>
    </i>
    <i>
      <x v="5"/>
    </i>
    <i t="grand">
      <x/>
    </i>
  </rowItems>
  <colItems count="1">
    <i/>
  </colItems>
  <dataFields count="1">
    <dataField name="Realized Sales" fld="23" baseField="20" baseItem="0"/>
  </dataFields>
  <chartFormats count="2">
    <chartFormat chart="4" format="6"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DB245C-E891-4D7F-80B9-42E9AC8126C6}" name="PivotTable2"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3:I11" firstHeaderRow="1" firstDataRow="1" firstDataCol="1"/>
  <pivotFields count="27">
    <pivotField showAll="0"/>
    <pivotField showAll="0">
      <items count="183">
        <item x="150"/>
        <item x="3"/>
        <item x="165"/>
        <item x="19"/>
        <item x="169"/>
        <item x="48"/>
        <item x="32"/>
        <item x="132"/>
        <item x="7"/>
        <item x="33"/>
        <item x="66"/>
        <item x="138"/>
        <item x="111"/>
        <item x="17"/>
        <item x="21"/>
        <item x="94"/>
        <item x="15"/>
        <item x="172"/>
        <item x="112"/>
        <item x="74"/>
        <item x="22"/>
        <item x="61"/>
        <item x="53"/>
        <item x="1"/>
        <item x="8"/>
        <item x="25"/>
        <item x="60"/>
        <item x="81"/>
        <item x="14"/>
        <item x="27"/>
        <item x="145"/>
        <item x="102"/>
        <item x="159"/>
        <item x="176"/>
        <item x="126"/>
        <item x="88"/>
        <item x="5"/>
        <item x="92"/>
        <item x="147"/>
        <item x="107"/>
        <item x="26"/>
        <item x="29"/>
        <item x="174"/>
        <item x="121"/>
        <item x="153"/>
        <item x="35"/>
        <item x="54"/>
        <item x="117"/>
        <item x="36"/>
        <item x="58"/>
        <item x="40"/>
        <item x="128"/>
        <item x="134"/>
        <item x="171"/>
        <item x="139"/>
        <item x="125"/>
        <item x="56"/>
        <item x="142"/>
        <item x="113"/>
        <item x="80"/>
        <item x="149"/>
        <item x="103"/>
        <item x="108"/>
        <item x="118"/>
        <item x="104"/>
        <item x="160"/>
        <item x="43"/>
        <item x="24"/>
        <item x="69"/>
        <item x="46"/>
        <item x="78"/>
        <item x="148"/>
        <item x="178"/>
        <item x="44"/>
        <item x="70"/>
        <item x="6"/>
        <item x="71"/>
        <item x="39"/>
        <item x="151"/>
        <item x="98"/>
        <item x="114"/>
        <item x="72"/>
        <item x="167"/>
        <item x="105"/>
        <item x="34"/>
        <item x="96"/>
        <item x="84"/>
        <item x="181"/>
        <item x="119"/>
        <item x="130"/>
        <item x="57"/>
        <item x="76"/>
        <item x="59"/>
        <item x="141"/>
        <item x="30"/>
        <item x="122"/>
        <item x="97"/>
        <item x="11"/>
        <item x="156"/>
        <item x="20"/>
        <item x="173"/>
        <item x="50"/>
        <item x="82"/>
        <item x="124"/>
        <item x="55"/>
        <item x="123"/>
        <item x="168"/>
        <item x="170"/>
        <item x="131"/>
        <item x="164"/>
        <item x="175"/>
        <item x="91"/>
        <item x="95"/>
        <item x="179"/>
        <item x="177"/>
        <item x="93"/>
        <item x="158"/>
        <item x="90"/>
        <item x="109"/>
        <item x="77"/>
        <item x="47"/>
        <item x="16"/>
        <item x="162"/>
        <item x="157"/>
        <item x="137"/>
        <item x="28"/>
        <item x="143"/>
        <item x="140"/>
        <item x="161"/>
        <item x="99"/>
        <item x="12"/>
        <item x="110"/>
        <item x="163"/>
        <item x="144"/>
        <item x="87"/>
        <item x="120"/>
        <item x="4"/>
        <item x="18"/>
        <item x="75"/>
        <item x="63"/>
        <item x="133"/>
        <item x="38"/>
        <item x="115"/>
        <item x="42"/>
        <item x="51"/>
        <item x="64"/>
        <item x="135"/>
        <item x="45"/>
        <item x="23"/>
        <item x="166"/>
        <item x="62"/>
        <item x="73"/>
        <item x="13"/>
        <item x="65"/>
        <item x="83"/>
        <item x="49"/>
        <item x="100"/>
        <item x="79"/>
        <item x="155"/>
        <item x="37"/>
        <item x="9"/>
        <item x="136"/>
        <item x="10"/>
        <item x="0"/>
        <item x="101"/>
        <item x="146"/>
        <item x="52"/>
        <item x="154"/>
        <item x="68"/>
        <item x="67"/>
        <item x="31"/>
        <item x="152"/>
        <item x="116"/>
        <item x="129"/>
        <item x="180"/>
        <item x="85"/>
        <item x="2"/>
        <item x="127"/>
        <item x="41"/>
        <item x="86"/>
        <item x="89"/>
        <item x="10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4"/>
        <item x="1"/>
        <item x="3"/>
        <item x="0"/>
        <item x="2"/>
        <item x="5"/>
        <item t="default"/>
      </items>
    </pivotField>
    <pivotField showAll="0"/>
    <pivotField showAll="0"/>
    <pivotField showAll="0"/>
    <pivotField showAll="0">
      <items count="7">
        <item x="0"/>
        <item x="4"/>
        <item x="2"/>
        <item x="1"/>
        <item x="3"/>
        <item x="5"/>
        <item t="default"/>
      </items>
    </pivotField>
    <pivotField showAll="0"/>
    <pivotField showAll="0"/>
    <pivotField dataField="1" showAll="0"/>
    <pivotField showAll="0"/>
    <pivotField axis="axisRow" showAll="0">
      <items count="15">
        <item h="1" x="0"/>
        <item x="1"/>
        <item x="2"/>
        <item x="3"/>
        <item x="4"/>
        <item x="5"/>
        <item x="6"/>
        <item x="7"/>
        <item x="8"/>
        <item x="9"/>
        <item x="10"/>
        <item x="11"/>
        <item x="12"/>
        <item x="13"/>
        <item t="default"/>
      </items>
    </pivotField>
    <pivotField axis="axisRow" showAll="0">
      <items count="4">
        <item x="0"/>
        <item x="1"/>
        <item x="2"/>
        <item t="default"/>
      </items>
    </pivotField>
  </pivotFields>
  <rowFields count="2">
    <field x="26"/>
    <field x="25"/>
  </rowFields>
  <rowItems count="8">
    <i>
      <x v="1"/>
    </i>
    <i r="1">
      <x v="1"/>
    </i>
    <i r="1">
      <x v="2"/>
    </i>
    <i r="1">
      <x v="3"/>
    </i>
    <i r="1">
      <x v="4"/>
    </i>
    <i r="1">
      <x v="5"/>
    </i>
    <i r="1">
      <x v="6"/>
    </i>
    <i t="grand">
      <x/>
    </i>
  </rowItems>
  <colItems count="1">
    <i/>
  </colItems>
  <dataFields count="1">
    <dataField name="Realized Sales" fld="23" baseField="25" baseItem="1"/>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55A67E-257D-4BDA-8FE0-D00B56BCDEFA}" name="PivotTable1"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0" firstHeaderRow="0" firstDataRow="1" firstDataCol="1"/>
  <pivotFields count="27">
    <pivotField dataField="1" showAll="0"/>
    <pivotField showAll="0">
      <items count="183">
        <item x="150"/>
        <item x="3"/>
        <item x="165"/>
        <item x="19"/>
        <item x="169"/>
        <item x="48"/>
        <item x="32"/>
        <item x="132"/>
        <item x="7"/>
        <item x="33"/>
        <item x="66"/>
        <item x="138"/>
        <item x="111"/>
        <item x="17"/>
        <item x="21"/>
        <item x="94"/>
        <item x="15"/>
        <item x="172"/>
        <item x="112"/>
        <item x="74"/>
        <item x="22"/>
        <item x="61"/>
        <item x="53"/>
        <item x="1"/>
        <item x="8"/>
        <item x="25"/>
        <item x="60"/>
        <item x="81"/>
        <item x="14"/>
        <item x="27"/>
        <item x="145"/>
        <item x="102"/>
        <item x="159"/>
        <item x="176"/>
        <item x="126"/>
        <item x="88"/>
        <item x="5"/>
        <item x="92"/>
        <item x="147"/>
        <item x="107"/>
        <item x="26"/>
        <item x="29"/>
        <item x="174"/>
        <item x="121"/>
        <item x="153"/>
        <item x="35"/>
        <item x="54"/>
        <item x="117"/>
        <item x="36"/>
        <item x="58"/>
        <item x="40"/>
        <item x="128"/>
        <item x="134"/>
        <item x="171"/>
        <item x="139"/>
        <item x="125"/>
        <item x="56"/>
        <item x="142"/>
        <item x="113"/>
        <item x="80"/>
        <item x="149"/>
        <item x="103"/>
        <item x="108"/>
        <item x="118"/>
        <item x="104"/>
        <item x="160"/>
        <item x="43"/>
        <item x="24"/>
        <item x="69"/>
        <item x="46"/>
        <item x="78"/>
        <item x="148"/>
        <item x="178"/>
        <item x="44"/>
        <item x="70"/>
        <item x="6"/>
        <item x="71"/>
        <item x="39"/>
        <item x="151"/>
        <item x="98"/>
        <item x="114"/>
        <item x="72"/>
        <item x="167"/>
        <item x="105"/>
        <item x="34"/>
        <item x="96"/>
        <item x="84"/>
        <item x="181"/>
        <item x="119"/>
        <item x="130"/>
        <item x="57"/>
        <item x="76"/>
        <item x="59"/>
        <item x="141"/>
        <item x="30"/>
        <item x="122"/>
        <item x="97"/>
        <item x="11"/>
        <item x="156"/>
        <item x="20"/>
        <item x="173"/>
        <item x="50"/>
        <item x="82"/>
        <item x="124"/>
        <item x="55"/>
        <item x="123"/>
        <item x="168"/>
        <item x="170"/>
        <item x="131"/>
        <item x="164"/>
        <item x="175"/>
        <item x="91"/>
        <item x="95"/>
        <item x="179"/>
        <item x="177"/>
        <item x="93"/>
        <item x="158"/>
        <item x="90"/>
        <item x="109"/>
        <item x="77"/>
        <item x="47"/>
        <item x="16"/>
        <item x="162"/>
        <item x="157"/>
        <item x="137"/>
        <item x="28"/>
        <item x="143"/>
        <item x="140"/>
        <item x="161"/>
        <item x="99"/>
        <item x="12"/>
        <item x="110"/>
        <item x="163"/>
        <item x="144"/>
        <item x="87"/>
        <item x="120"/>
        <item x="4"/>
        <item x="18"/>
        <item x="75"/>
        <item x="63"/>
        <item x="133"/>
        <item x="38"/>
        <item x="115"/>
        <item x="42"/>
        <item x="51"/>
        <item x="64"/>
        <item x="135"/>
        <item x="45"/>
        <item x="23"/>
        <item x="166"/>
        <item x="62"/>
        <item x="73"/>
        <item x="13"/>
        <item x="65"/>
        <item x="83"/>
        <item x="49"/>
        <item x="100"/>
        <item x="79"/>
        <item x="155"/>
        <item x="37"/>
        <item x="9"/>
        <item x="136"/>
        <item x="10"/>
        <item x="0"/>
        <item x="101"/>
        <item x="146"/>
        <item x="52"/>
        <item x="154"/>
        <item x="68"/>
        <item x="67"/>
        <item x="31"/>
        <item x="152"/>
        <item x="116"/>
        <item x="129"/>
        <item x="180"/>
        <item x="85"/>
        <item x="2"/>
        <item x="127"/>
        <item x="41"/>
        <item x="86"/>
        <item x="89"/>
        <item x="10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4"/>
        <item x="1"/>
        <item x="3"/>
        <item x="0"/>
        <item x="2"/>
        <item x="5"/>
        <item t="default"/>
      </items>
    </pivotField>
    <pivotField showAll="0"/>
    <pivotField showAll="0"/>
    <pivotField showAll="0">
      <items count="14">
        <item x="1"/>
        <item x="9"/>
        <item x="7"/>
        <item x="11"/>
        <item x="2"/>
        <item x="4"/>
        <item x="8"/>
        <item x="6"/>
        <item x="5"/>
        <item x="3"/>
        <item x="10"/>
        <item x="0"/>
        <item x="12"/>
        <item t="default"/>
      </items>
    </pivotField>
    <pivotField showAll="0">
      <items count="7">
        <item x="0"/>
        <item x="4"/>
        <item x="2"/>
        <item x="1"/>
        <item x="3"/>
        <item x="5"/>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16"/>
  </rowFields>
  <rowItems count="7">
    <i>
      <x/>
    </i>
    <i>
      <x v="1"/>
    </i>
    <i>
      <x v="2"/>
    </i>
    <i>
      <x v="3"/>
    </i>
    <i>
      <x v="4"/>
    </i>
    <i>
      <x v="5"/>
    </i>
    <i t="grand">
      <x/>
    </i>
  </rowItems>
  <colFields count="1">
    <field x="-2"/>
  </colFields>
  <colItems count="2">
    <i>
      <x/>
    </i>
    <i i="1">
      <x v="1"/>
    </i>
  </colItems>
  <dataFields count="2">
    <dataField name="Realized Sales" fld="23" baseField="16" baseItem="0"/>
    <dataField name="Order Count" fld="0" subtotal="count" baseField="16"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7" connectionId="7" xr16:uid="{AD6FF3F1-7A8F-4D1B-AC16-CB59C0088B8A}" autoFormatId="16" applyNumberFormats="0" applyBorderFormats="0" applyFontFormats="0" applyPatternFormats="0" applyAlignmentFormats="0" applyWidthHeightFormats="0">
  <queryTableRefresh nextId="26">
    <queryTableFields count="25">
      <queryTableField id="1" name="Order_ID" tableColumnId="1"/>
      <queryTableField id="2" name="Order_Date" tableColumnId="2"/>
      <queryTableField id="3" name="Customer_ID" tableColumnId="3"/>
      <queryTableField id="4" name="Employee_ID" tableColumnId="4"/>
      <queryTableField id="5" name="Product_ID" tableColumnId="5"/>
      <queryTableField id="6" name="Quantity" tableColumnId="6"/>
      <queryTableField id="7" name="Unit_Price_INR" tableColumnId="7"/>
      <queryTableField id="8" name="Discount_Rate" tableColumnId="8"/>
      <queryTableField id="9" name="Order_Status" tableColumnId="9"/>
      <queryTableField id="10" name="Sales_Channel" tableColumnId="10"/>
      <queryTableField id="11" name="Payment_Mode" tableColumnId="11"/>
      <queryTableField id="12" name="Recorded_Net_Sales_INR" tableColumnId="12"/>
      <queryTableField id="13" name="Ship_City" tableColumnId="13"/>
      <queryTableField id="14" name="Calculated_Net_Sales_INR" tableColumnId="14"/>
      <queryTableField id="15" name="Sales_Reconciliation_Status" tableColumnId="15"/>
      <queryTableField id="16" name="Employee_Name" tableColumnId="16"/>
      <queryTableField id="17" name="Region" tableColumnId="17"/>
      <queryTableField id="18" name="Base_City" tableColumnId="18"/>
      <queryTableField id="19" name="Role" tableColumnId="19"/>
      <queryTableField id="20" name="Product_Name" tableColumnId="20"/>
      <queryTableField id="21" name="Category" tableColumnId="21"/>
      <queryTableField id="22" name="List_Price_INR" tableColumnId="22"/>
      <queryTableField id="23" name="Unit_Cost_INR" tableColumnId="23"/>
      <queryTableField id="24" name="Realized_Sales_INR" tableColumnId="24"/>
      <queryTableField id="25" name="Gross_Profit_INR"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5A3013F-BF58-4660-9020-9F68BC46DF9C}" sourceName="Region">
  <pivotTables>
    <pivotTable tabId="21" name="PivotTable4"/>
    <pivotTable tabId="21" name="PivotTable1"/>
    <pivotTable tabId="21" name="PivotTable2"/>
    <pivotTable tabId="21" name="PivotTable3"/>
    <pivotTable tabId="21" name="PivotTable5"/>
  </pivotTables>
  <data>
    <tabular pivotCacheId="423721018">
      <items count="6">
        <i x="4" s="1"/>
        <i x="1" s="1"/>
        <i x="3" s="1"/>
        <i x="0" s="1"/>
        <i x="2"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14B7622-AB73-4703-8221-CC48B2A0989F}" sourceName="Category">
  <pivotTables>
    <pivotTable tabId="21" name="PivotTable4"/>
    <pivotTable tabId="21" name="PivotTable1"/>
    <pivotTable tabId="21" name="PivotTable2"/>
    <pivotTable tabId="21" name="PivotTable3"/>
    <pivotTable tabId="21" name="PivotTable5"/>
  </pivotTables>
  <data>
    <tabular pivotCacheId="423721018">
      <items count="6">
        <i x="0" s="1"/>
        <i x="4" s="1"/>
        <i x="2" s="1"/>
        <i x="1"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F6961AD-6697-4E3D-A24A-B3C101A86655}" cache="Slicer_Region" caption="Region" rowHeight="234950"/>
  <slicer name="Category" xr10:uid="{7F982185-F75C-4DCE-97D2-99E0E7C9D778}" cache="Slicer_Category" caption="Catego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40BC946-9B12-419A-A37B-FAAA564B5414}" name="fact_Sales_Clean__2" displayName="fact_Sales_Clean__2" ref="A1:Y1198" tableType="queryTable" totalsRowShown="0">
  <autoFilter ref="A1:Y1198" xr:uid="{540BC946-9B12-419A-A37B-FAAA564B5414}"/>
  <tableColumns count="25">
    <tableColumn id="1" xr3:uid="{45B75320-3A43-4553-87A7-446BE8A40EA7}" uniqueName="1" name="Order_ID" queryTableFieldId="1" dataDxfId="15"/>
    <tableColumn id="2" xr3:uid="{68194884-5F3F-46BF-B554-E2BF56340C30}" uniqueName="2" name="Order_Date" queryTableFieldId="2" dataDxfId="14"/>
    <tableColumn id="3" xr3:uid="{E8C79822-A77A-41F5-BA2E-D7E9582A6DE1}" uniqueName="3" name="Customer_ID" queryTableFieldId="3" dataDxfId="13"/>
    <tableColumn id="4" xr3:uid="{3717338D-076E-4652-9DF8-E80525FEF939}" uniqueName="4" name="Employee_ID" queryTableFieldId="4" dataDxfId="12"/>
    <tableColumn id="5" xr3:uid="{80FD0FE4-145A-4EBD-B32E-9369B548A631}" uniqueName="5" name="Product_ID" queryTableFieldId="5" dataDxfId="11"/>
    <tableColumn id="6" xr3:uid="{58DFB1AC-A4FB-4EE3-9753-932A942E4B04}" uniqueName="6" name="Quantity" queryTableFieldId="6"/>
    <tableColumn id="7" xr3:uid="{1FCFFADC-9765-4AEC-8080-08C6688A3875}" uniqueName="7" name="Unit_Price_INR" queryTableFieldId="7"/>
    <tableColumn id="8" xr3:uid="{E5F95B89-E0CE-4181-9FDF-CFF759994F8A}" uniqueName="8" name="Discount_Rate" queryTableFieldId="8"/>
    <tableColumn id="9" xr3:uid="{C234E935-A960-4E0C-99BE-B352A4B77B8E}" uniqueName="9" name="Order_Status" queryTableFieldId="9" dataDxfId="10"/>
    <tableColumn id="10" xr3:uid="{5D861F7D-2722-4673-A245-0AE786AAD03E}" uniqueName="10" name="Sales_Channel" queryTableFieldId="10" dataDxfId="9"/>
    <tableColumn id="11" xr3:uid="{6BF99FDA-0888-453A-93FB-94BEC89D51FC}" uniqueName="11" name="Payment_Mode" queryTableFieldId="11" dataDxfId="8"/>
    <tableColumn id="12" xr3:uid="{1A4B9EFB-BE2A-4E0A-8BAE-4938B9CB95A3}" uniqueName="12" name="Recorded_Net_Sales_INR" queryTableFieldId="12"/>
    <tableColumn id="13" xr3:uid="{4B713C50-CA25-4299-9A8C-AA8ABA85A1AE}" uniqueName="13" name="Ship_City" queryTableFieldId="13" dataDxfId="7"/>
    <tableColumn id="14" xr3:uid="{15082C75-9E1A-402D-99B2-80694AFB50FE}" uniqueName="14" name="Calculated_Net_Sales_INR" queryTableFieldId="14"/>
    <tableColumn id="15" xr3:uid="{7370DDD3-CCA4-4640-BF8F-286191419E92}" uniqueName="15" name="Sales_Reconciliation_Status" queryTableFieldId="15" dataDxfId="6"/>
    <tableColumn id="16" xr3:uid="{ED552122-1BB9-4A80-B21D-B23A17A45266}" uniqueName="16" name="Employee_Name" queryTableFieldId="16" dataDxfId="5"/>
    <tableColumn id="17" xr3:uid="{88BDB9F7-8115-4099-906D-57FA112A4007}" uniqueName="17" name="Region" queryTableFieldId="17" dataDxfId="4"/>
    <tableColumn id="18" xr3:uid="{666B2974-FB40-420E-BBB2-34C32C3FF82D}" uniqueName="18" name="Base_City" queryTableFieldId="18" dataDxfId="3"/>
    <tableColumn id="19" xr3:uid="{AAB3BB17-8475-4BAD-9F30-ACCF150DB368}" uniqueName="19" name="Role" queryTableFieldId="19" dataDxfId="2"/>
    <tableColumn id="20" xr3:uid="{244EA0E3-3D30-497A-82E9-B93DA1C609A1}" uniqueName="20" name="Product_Name" queryTableFieldId="20" dataDxfId="1"/>
    <tableColumn id="21" xr3:uid="{16513397-A8A0-42AF-8864-FA9827460417}" uniqueName="21" name="Category" queryTableFieldId="21" dataDxfId="0"/>
    <tableColumn id="22" xr3:uid="{EA23CF6C-C0CF-4CFA-B432-29B3EB86611E}" uniqueName="22" name="List_Price_INR" queryTableFieldId="22"/>
    <tableColumn id="23" xr3:uid="{ED508460-8A99-4323-A83B-871D12F62B59}" uniqueName="23" name="Unit_Cost_INR" queryTableFieldId="23"/>
    <tableColumn id="24" xr3:uid="{F5C15A72-4669-4F5F-B532-F0466BFFA2CF}" uniqueName="24" name="Realized_Sales_INR" queryTableFieldId="24"/>
    <tableColumn id="25" xr3:uid="{64EA0EAE-2FA7-400C-A11E-9DC596F59D56}" uniqueName="25" name="Gross_Profit_INR" queryTableField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DEA54B-85B2-4C16-99E1-06165EDF0A84}" name="tblRawSales" displayName="tblRawSales" ref="A1:M1221" totalsRowShown="0" headerRowDxfId="41" headerRowBorderDxfId="40" tableBorderDxfId="39">
  <autoFilter ref="A1:M1221" xr:uid="{00000000-0009-0000-0000-000001000000}"/>
  <tableColumns count="13">
    <tableColumn id="1" xr3:uid="{08136690-C7EA-4B1A-8CA1-F0EE56488712}" name="Order_ID"/>
    <tableColumn id="2" xr3:uid="{18A80010-1A71-4E9C-B12B-EE4128C0F4AE}" name="Order_Date" dataDxfId="38"/>
    <tableColumn id="3" xr3:uid="{86627F48-44DD-4B35-BEA0-F5B336FAD7AB}" name="Customer_ID"/>
    <tableColumn id="4" xr3:uid="{B7E79873-284C-46F4-A9DA-C0D3168EB39E}" name="Employee_ID"/>
    <tableColumn id="5" xr3:uid="{99E44B76-1085-47F8-B1C7-9541EB18901C}" name="Product_ID"/>
    <tableColumn id="6" xr3:uid="{94B08F51-DE4C-42F9-AC6F-274CAB603FC7}" name="Quantity"/>
    <tableColumn id="7" xr3:uid="{877F3211-38D8-4F33-8BA2-BDB976683763}" name="Unit_Price_INR" dataDxfId="37"/>
    <tableColumn id="8" xr3:uid="{B564B4F0-33E2-4276-B1B1-9E34FD5EDFCA}" name="Discount_Rate" dataDxfId="36"/>
    <tableColumn id="9" xr3:uid="{806DA720-8BB6-41C6-98F9-327A11DC215A}" name="Order_Status"/>
    <tableColumn id="10" xr3:uid="{306B1E36-FAD7-461B-8D4B-D7059F44DB0F}" name="Sales_Channel"/>
    <tableColumn id="11" xr3:uid="{CE8B302F-9E5B-43B1-BB84-FF1FEF7A6E61}" name="Payment_Mode"/>
    <tableColumn id="12" xr3:uid="{963237BA-85A6-4E07-BCA6-341392B8D7E9}" name="Recorded_Net_Sales_INR" dataDxfId="35"/>
    <tableColumn id="13" xr3:uid="{6C16BC62-4875-4F60-9439-39B3A5F73ACA}" name="Ship_City"/>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9A21B91-57EB-47FA-A621-28947B796D0B}" name="tblEmployees" displayName="tblEmployees" ref="A1:E16" totalsRowShown="0" headerRowDxfId="34" headerRowBorderDxfId="33" tableBorderDxfId="32">
  <autoFilter ref="A1:E16" xr:uid="{00000000-0009-0000-0000-000002000000}"/>
  <tableColumns count="5">
    <tableColumn id="1" xr3:uid="{342D15A0-B7DD-419E-B94B-73514EE8B1BE}" name="Employee_ID"/>
    <tableColumn id="2" xr3:uid="{7B9A6982-EDC8-4B00-8EFF-DC7C60D916FF}" name="Employee_Name"/>
    <tableColumn id="3" xr3:uid="{B008077C-C13F-4390-9E52-98B659705DD1}" name="Region"/>
    <tableColumn id="4" xr3:uid="{C913A9D5-2756-4F6F-96CF-D2C0815C1B6A}" name="Base_City"/>
    <tableColumn id="5" xr3:uid="{BD58CB38-5075-4272-A042-27608DCF71BF}" name="Rol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CC864B2-8385-4B45-87B3-6848E71B095B}" name="tblProducts" displayName="tblProducts" ref="A1:E13" totalsRowShown="0" headerRowDxfId="31" headerRowBorderDxfId="30" tableBorderDxfId="29">
  <autoFilter ref="A1:E13" xr:uid="{00000000-0009-0000-0000-000003000000}"/>
  <tableColumns count="5">
    <tableColumn id="1" xr3:uid="{944FA0E9-FB00-4C88-93C9-E8427F0C1522}" name="Product_ID"/>
    <tableColumn id="2" xr3:uid="{72601C75-FA48-48C3-B8E4-86A65E35CD9C}" name="Product_Name"/>
    <tableColumn id="3" xr3:uid="{BC275098-B8C8-4CAA-A1C1-0C9B44D31CC0}" name="Category"/>
    <tableColumn id="4" xr3:uid="{53D45FA3-D42D-43E6-B5E2-BE1B5288CA06}" name="List_Price_INR" dataDxfId="28"/>
    <tableColumn id="5" xr3:uid="{375A55D8-CF21-4016-8EA4-630021FFA201}" name="Unit_Cost_INR" dataDxfId="27"/>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153D0E6-E9A0-4429-B501-EF02A1C1B64F}" name="tblTargets" displayName="tblTargets" ref="A1:D91" totalsRowShown="0" headerRowDxfId="26" headerRowBorderDxfId="25" tableBorderDxfId="24">
  <autoFilter ref="A1:D91" xr:uid="{00000000-0009-0000-0000-000004000000}"/>
  <tableColumns count="4">
    <tableColumn id="1" xr3:uid="{7A5704AC-0D5D-45FF-8546-E7C1A26AC7C4}" name="Target_Month"/>
    <tableColumn id="2" xr3:uid="{F4309530-B95E-44A9-8C54-444D6B3931B0}" name="Employee_ID"/>
    <tableColumn id="3" xr3:uid="{7D590508-D42E-4DAB-BA8B-C71FA8EB1A53}" name="Monthly_Sales_Target_INR" dataDxfId="16"/>
    <tableColumn id="4" xr3:uid="{82C39B38-ECEA-410A-8304-C6D34F6B5B1F}" name="Monthly_Orders_Target"/>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217B1-9791-462C-9587-B2A7DFBDE24B}" name="tblReturns" displayName="tblReturns" ref="A1:F66" totalsRowShown="0" headerRowDxfId="23" headerRowBorderDxfId="22" tableBorderDxfId="21">
  <autoFilter ref="A1:F66" xr:uid="{00000000-0009-0000-0000-000005000000}"/>
  <tableColumns count="6">
    <tableColumn id="1" xr3:uid="{068527B7-B539-42C2-A2C7-476C7F78DCAB}" name="Return_ID"/>
    <tableColumn id="2" xr3:uid="{A167113E-DE2D-41E2-BBE5-206223F20E3D}" name="Order_ID"/>
    <tableColumn id="3" xr3:uid="{3C5AE7BF-5067-40C6-878B-CAB64018D51A}" name="Return_Date" dataDxfId="20"/>
    <tableColumn id="4" xr3:uid="{BB7075AA-D0BB-40D2-97E3-DAF709A5990C}" name="Return_Quantity"/>
    <tableColumn id="5" xr3:uid="{C1F372EC-C04C-4E2B-B399-37A14E3A8C1C}" name="Return_Reason"/>
    <tableColumn id="6" xr3:uid="{CF29D3A3-DC9D-44CB-B76D-DF2F1415DCA3}" name="Return_Status"/>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E23C25B-14BC-4BFD-BE14-29E7899A8817}" name="tblDataDictionary" displayName="tblDataDictionary" ref="A1:B17" totalsRowShown="0" headerRowDxfId="19" headerRowBorderDxfId="18" tableBorderDxfId="17">
  <autoFilter ref="A1:B17" xr:uid="{00000000-0009-0000-0000-000006000000}"/>
  <tableColumns count="2">
    <tableColumn id="1" xr3:uid="{B16B6E82-1285-4B91-BBCF-99F47AC9E602}" name="Field"/>
    <tableColumn id="2" xr3:uid="{74A1DE1F-B47F-4E2E-95BA-E748A6D5A22F}" name="Definition / Handling Note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2506E-C206-4CED-9A8F-D02AB05DAFAA}">
  <dimension ref="A1:X35"/>
  <sheetViews>
    <sheetView showGridLines="0" zoomScale="102" zoomScaleNormal="102" workbookViewId="0">
      <selection activeCell="G31" sqref="G31"/>
    </sheetView>
  </sheetViews>
  <sheetFormatPr defaultRowHeight="14.4" x14ac:dyDescent="0.3"/>
  <sheetData>
    <row r="1" spans="1:24" x14ac:dyDescent="0.3">
      <c r="A1" s="15" t="s">
        <v>1717</v>
      </c>
      <c r="B1" s="15"/>
      <c r="C1" s="15"/>
      <c r="D1" s="15"/>
      <c r="E1" s="15"/>
      <c r="F1" s="15"/>
      <c r="G1" s="15"/>
      <c r="H1" s="15"/>
      <c r="I1" s="15"/>
      <c r="J1" s="15"/>
      <c r="K1" s="15"/>
      <c r="L1" s="15"/>
      <c r="M1" s="15"/>
      <c r="N1" s="15"/>
      <c r="O1" s="15"/>
      <c r="P1" s="15"/>
      <c r="Q1" s="15"/>
      <c r="R1" s="15"/>
      <c r="S1" s="15"/>
      <c r="T1" s="15"/>
      <c r="U1" s="15"/>
      <c r="V1" s="15"/>
      <c r="W1" s="15"/>
    </row>
    <row r="2" spans="1:24" x14ac:dyDescent="0.3">
      <c r="A2" s="15"/>
      <c r="B2" s="15"/>
      <c r="C2" s="15"/>
      <c r="D2" s="15"/>
      <c r="E2" s="15"/>
      <c r="F2" s="15"/>
      <c r="G2" s="15"/>
      <c r="H2" s="15"/>
      <c r="I2" s="15"/>
      <c r="J2" s="15"/>
      <c r="K2" s="15"/>
      <c r="L2" s="15"/>
      <c r="M2" s="15"/>
      <c r="N2" s="15"/>
      <c r="O2" s="15"/>
      <c r="P2" s="15"/>
      <c r="Q2" s="15"/>
      <c r="R2" s="15"/>
      <c r="S2" s="15"/>
      <c r="T2" s="15"/>
      <c r="U2" s="15"/>
      <c r="V2" s="15"/>
      <c r="W2" s="15"/>
    </row>
    <row r="3" spans="1:24" x14ac:dyDescent="0.3">
      <c r="A3" s="15"/>
      <c r="B3" s="15"/>
      <c r="C3" s="15"/>
      <c r="D3" s="15"/>
      <c r="E3" s="15"/>
      <c r="F3" s="15"/>
      <c r="G3" s="15"/>
      <c r="H3" s="15"/>
      <c r="I3" s="15"/>
      <c r="J3" s="15"/>
      <c r="K3" s="15"/>
      <c r="L3" s="15"/>
      <c r="M3" s="15"/>
      <c r="N3" s="15"/>
      <c r="O3" s="15"/>
      <c r="P3" s="15"/>
      <c r="Q3" s="15"/>
      <c r="R3" s="15"/>
      <c r="S3" s="15"/>
      <c r="T3" s="15"/>
      <c r="U3" s="15"/>
      <c r="V3" s="15"/>
      <c r="W3" s="15"/>
    </row>
    <row r="9" spans="1:24" x14ac:dyDescent="0.3">
      <c r="A9" s="13"/>
      <c r="B9" s="13"/>
      <c r="C9" s="13"/>
      <c r="D9" s="13"/>
      <c r="E9" s="13"/>
      <c r="F9" s="13"/>
      <c r="G9" s="13"/>
      <c r="H9" s="13"/>
      <c r="I9" s="13"/>
      <c r="J9" s="13"/>
      <c r="K9" s="13"/>
      <c r="L9" s="13"/>
      <c r="M9" s="13"/>
      <c r="N9" s="13"/>
      <c r="O9" s="13"/>
      <c r="P9" s="13"/>
      <c r="Q9" s="13"/>
      <c r="R9" s="13"/>
      <c r="S9" s="13"/>
      <c r="T9" s="13"/>
      <c r="U9" s="13"/>
      <c r="V9" s="13"/>
      <c r="W9" s="13"/>
      <c r="X9" s="13"/>
    </row>
    <row r="10" spans="1:24" x14ac:dyDescent="0.3">
      <c r="A10" s="13"/>
      <c r="B10" s="13"/>
      <c r="C10" s="13"/>
      <c r="D10" s="13"/>
      <c r="E10" s="13"/>
      <c r="F10" s="13"/>
      <c r="G10" s="13"/>
      <c r="H10" s="13"/>
      <c r="I10" s="13"/>
      <c r="J10" s="13"/>
      <c r="K10" s="13"/>
      <c r="L10" s="13"/>
      <c r="M10" s="13"/>
      <c r="N10" s="13"/>
      <c r="O10" s="13"/>
      <c r="P10" s="13"/>
      <c r="Q10" s="13"/>
      <c r="R10" s="13"/>
      <c r="S10" s="13"/>
      <c r="T10" s="13"/>
      <c r="U10" s="13"/>
      <c r="V10" s="13"/>
      <c r="W10" s="13"/>
      <c r="X10" s="13"/>
    </row>
    <row r="11" spans="1:24" x14ac:dyDescent="0.3">
      <c r="A11" s="13"/>
      <c r="B11" s="13"/>
      <c r="C11" s="13"/>
      <c r="D11" s="13"/>
      <c r="E11" s="13"/>
      <c r="F11" s="13"/>
      <c r="G11" s="13"/>
      <c r="H11" s="13"/>
      <c r="I11" s="13"/>
      <c r="J11" s="13"/>
      <c r="K11" s="13"/>
      <c r="L11" s="13"/>
      <c r="M11" s="13"/>
      <c r="N11" s="13"/>
      <c r="O11" s="13"/>
      <c r="P11" s="13"/>
      <c r="Q11" s="13"/>
      <c r="R11" s="13"/>
      <c r="S11" s="13"/>
      <c r="T11" s="13"/>
      <c r="U11" s="13"/>
      <c r="V11" s="13"/>
      <c r="W11" s="13"/>
      <c r="X11" s="13"/>
    </row>
    <row r="12" spans="1:24" x14ac:dyDescent="0.3">
      <c r="A12" s="13"/>
      <c r="B12" s="13"/>
      <c r="C12" s="13"/>
      <c r="D12" s="13"/>
      <c r="E12" s="13"/>
      <c r="F12" s="13"/>
      <c r="G12" s="13"/>
      <c r="H12" s="13"/>
      <c r="I12" s="13"/>
      <c r="J12" s="13"/>
      <c r="K12" s="13"/>
      <c r="L12" s="13"/>
      <c r="M12" s="13"/>
      <c r="N12" s="13"/>
      <c r="O12" s="13"/>
      <c r="P12" s="13"/>
      <c r="Q12" s="13"/>
      <c r="R12" s="13"/>
      <c r="S12" s="13"/>
      <c r="T12" s="13"/>
      <c r="U12" s="13"/>
      <c r="V12" s="13"/>
      <c r="W12" s="13"/>
      <c r="X12" s="13"/>
    </row>
    <row r="13" spans="1:24" x14ac:dyDescent="0.3">
      <c r="A13" s="13"/>
      <c r="B13" s="13"/>
      <c r="C13" s="13"/>
      <c r="D13" s="13"/>
      <c r="E13" s="13"/>
      <c r="F13" s="13"/>
      <c r="G13" s="13"/>
      <c r="H13" s="13"/>
      <c r="I13" s="13"/>
      <c r="J13" s="13"/>
      <c r="K13" s="13"/>
      <c r="L13" s="13"/>
      <c r="M13" s="13"/>
      <c r="N13" s="13"/>
      <c r="O13" s="13"/>
      <c r="P13" s="13"/>
      <c r="Q13" s="13"/>
      <c r="R13" s="13"/>
      <c r="S13" s="13"/>
      <c r="T13" s="13"/>
      <c r="U13" s="13"/>
      <c r="V13" s="13"/>
      <c r="W13" s="13"/>
      <c r="X13" s="13"/>
    </row>
    <row r="14" spans="1:24" x14ac:dyDescent="0.3">
      <c r="A14" s="13"/>
      <c r="B14" s="13"/>
      <c r="C14" s="13"/>
      <c r="D14" s="13"/>
      <c r="E14" s="13"/>
      <c r="F14" s="13"/>
      <c r="G14" s="13"/>
      <c r="H14" s="13"/>
      <c r="I14" s="13"/>
      <c r="J14" s="13"/>
      <c r="K14" s="13"/>
      <c r="L14" s="13"/>
      <c r="M14" s="13"/>
      <c r="N14" s="13"/>
      <c r="O14" s="13"/>
      <c r="P14" s="13"/>
      <c r="Q14" s="13"/>
      <c r="R14" s="13"/>
      <c r="S14" s="13"/>
      <c r="T14" s="13"/>
      <c r="U14" s="13"/>
      <c r="V14" s="13"/>
      <c r="W14" s="13"/>
      <c r="X14" s="13"/>
    </row>
    <row r="15" spans="1:24" x14ac:dyDescent="0.3">
      <c r="A15" s="13"/>
      <c r="B15" s="13"/>
      <c r="C15" s="13"/>
      <c r="D15" s="13"/>
      <c r="E15" s="13"/>
      <c r="F15" s="13"/>
      <c r="G15" s="13"/>
      <c r="H15" s="13"/>
      <c r="I15" s="13"/>
      <c r="J15" s="13"/>
      <c r="K15" s="13"/>
      <c r="L15" s="13"/>
      <c r="M15" s="13"/>
      <c r="N15" s="13"/>
      <c r="O15" s="13"/>
      <c r="P15" s="13"/>
      <c r="Q15" s="13"/>
      <c r="R15" s="13"/>
      <c r="S15" s="13"/>
      <c r="T15" s="13"/>
      <c r="U15" s="13"/>
      <c r="V15" s="13"/>
      <c r="W15" s="13"/>
      <c r="X15" s="13"/>
    </row>
    <row r="16" spans="1:24" x14ac:dyDescent="0.3">
      <c r="A16" s="13"/>
      <c r="B16" s="13"/>
      <c r="C16" s="13"/>
      <c r="D16" s="13"/>
      <c r="E16" s="13"/>
      <c r="F16" s="13"/>
      <c r="G16" s="13"/>
      <c r="H16" s="13"/>
      <c r="I16" s="13"/>
      <c r="J16" s="13"/>
      <c r="K16" s="13"/>
      <c r="L16" s="13"/>
      <c r="M16" s="13"/>
      <c r="N16" s="13"/>
      <c r="O16" s="13"/>
      <c r="P16" s="13"/>
      <c r="Q16" s="13"/>
      <c r="R16" s="13"/>
      <c r="S16" s="13"/>
      <c r="T16" s="13"/>
      <c r="U16" s="13"/>
      <c r="V16" s="13"/>
      <c r="W16" s="13"/>
      <c r="X16" s="13"/>
    </row>
    <row r="17" spans="1:24" x14ac:dyDescent="0.3">
      <c r="A17" s="13"/>
      <c r="B17" s="13"/>
      <c r="C17" s="13"/>
      <c r="D17" s="13"/>
      <c r="E17" s="13"/>
      <c r="F17" s="13"/>
      <c r="G17" s="13"/>
      <c r="H17" s="13"/>
      <c r="I17" s="13"/>
      <c r="J17" s="13"/>
      <c r="K17" s="13"/>
      <c r="L17" s="13"/>
      <c r="M17" s="13"/>
      <c r="N17" s="13"/>
      <c r="O17" s="13"/>
      <c r="P17" s="13"/>
      <c r="Q17" s="13"/>
      <c r="R17" s="13"/>
      <c r="S17" s="13"/>
      <c r="T17" s="13"/>
      <c r="U17" s="13"/>
      <c r="V17" s="13"/>
      <c r="W17" s="13"/>
      <c r="X17" s="13"/>
    </row>
    <row r="18" spans="1:24" x14ac:dyDescent="0.3">
      <c r="A18" s="13"/>
      <c r="B18" s="13"/>
      <c r="C18" s="13"/>
      <c r="D18" s="13"/>
      <c r="E18" s="13"/>
      <c r="F18" s="13"/>
      <c r="G18" s="13"/>
      <c r="H18" s="13"/>
      <c r="I18" s="13"/>
      <c r="J18" s="13"/>
      <c r="K18" s="13"/>
      <c r="L18" s="13"/>
      <c r="M18" s="13"/>
      <c r="N18" s="13"/>
      <c r="O18" s="13"/>
      <c r="P18" s="13"/>
      <c r="Q18" s="13"/>
      <c r="R18" s="13"/>
      <c r="S18" s="13"/>
      <c r="T18" s="13"/>
      <c r="U18" s="13"/>
      <c r="V18" s="13"/>
      <c r="W18" s="13"/>
      <c r="X18" s="13"/>
    </row>
    <row r="19" spans="1:24" x14ac:dyDescent="0.3">
      <c r="A19" s="13"/>
      <c r="B19" s="13"/>
      <c r="C19" s="13"/>
      <c r="D19" s="13"/>
      <c r="E19" s="13"/>
      <c r="F19" s="13"/>
      <c r="G19" s="13"/>
      <c r="H19" s="13"/>
      <c r="I19" s="13"/>
      <c r="J19" s="13"/>
      <c r="K19" s="13"/>
      <c r="L19" s="13"/>
      <c r="M19" s="13"/>
      <c r="N19" s="13"/>
      <c r="O19" s="13"/>
      <c r="P19" s="13"/>
      <c r="Q19" s="13"/>
      <c r="R19" s="13"/>
      <c r="S19" s="13"/>
      <c r="T19" s="13"/>
      <c r="U19" s="13"/>
      <c r="V19" s="13"/>
      <c r="W19" s="13"/>
      <c r="X19" s="13"/>
    </row>
    <row r="20" spans="1:24" x14ac:dyDescent="0.3">
      <c r="A20" s="13"/>
      <c r="B20" s="13"/>
      <c r="C20" s="13"/>
      <c r="D20" s="13"/>
      <c r="E20" s="13"/>
      <c r="F20" s="13"/>
      <c r="G20" s="13"/>
      <c r="H20" s="13"/>
      <c r="I20" s="13"/>
      <c r="J20" s="13"/>
      <c r="K20" s="13"/>
      <c r="L20" s="13"/>
      <c r="M20" s="13"/>
      <c r="N20" s="13"/>
      <c r="O20" s="13"/>
      <c r="P20" s="13"/>
      <c r="Q20" s="13"/>
      <c r="R20" s="13"/>
      <c r="S20" s="13"/>
      <c r="T20" s="13"/>
      <c r="U20" s="13"/>
      <c r="V20" s="13"/>
      <c r="W20" s="13"/>
      <c r="X20" s="13"/>
    </row>
    <row r="21" spans="1:24" x14ac:dyDescent="0.3">
      <c r="A21" s="13"/>
      <c r="B21" s="13"/>
      <c r="C21" s="13"/>
      <c r="D21" s="13"/>
      <c r="E21" s="13"/>
      <c r="F21" s="13"/>
      <c r="G21" s="13"/>
      <c r="H21" s="13"/>
      <c r="I21" s="13"/>
      <c r="J21" s="13"/>
      <c r="K21" s="13"/>
      <c r="L21" s="13"/>
      <c r="M21" s="13"/>
      <c r="N21" s="13"/>
      <c r="O21" s="13"/>
      <c r="P21" s="13"/>
      <c r="Q21" s="13"/>
      <c r="R21" s="13"/>
      <c r="S21" s="13"/>
      <c r="T21" s="13"/>
      <c r="U21" s="13"/>
      <c r="V21" s="13"/>
      <c r="W21" s="13"/>
      <c r="X21" s="13"/>
    </row>
    <row r="22" spans="1:24" x14ac:dyDescent="0.3">
      <c r="A22" s="13"/>
      <c r="B22" s="13"/>
      <c r="C22" s="13"/>
      <c r="D22" s="13"/>
      <c r="E22" s="13"/>
      <c r="F22" s="13"/>
      <c r="G22" s="13"/>
      <c r="H22" s="13"/>
      <c r="I22" s="13"/>
      <c r="J22" s="13"/>
      <c r="K22" s="13"/>
      <c r="L22" s="13"/>
      <c r="M22" s="13"/>
      <c r="N22" s="13"/>
      <c r="O22" s="13"/>
      <c r="P22" s="13"/>
      <c r="Q22" s="13"/>
      <c r="R22" s="13"/>
      <c r="S22" s="13"/>
      <c r="T22" s="13"/>
      <c r="U22" s="13"/>
      <c r="V22" s="13"/>
      <c r="W22" s="13"/>
      <c r="X22" s="13"/>
    </row>
    <row r="23" spans="1:24" x14ac:dyDescent="0.3">
      <c r="A23" s="13"/>
      <c r="B23" s="13"/>
      <c r="C23" s="13"/>
      <c r="D23" s="13"/>
      <c r="E23" s="13"/>
      <c r="F23" s="13"/>
      <c r="G23" s="13"/>
      <c r="H23" s="13"/>
      <c r="I23" s="13"/>
      <c r="J23" s="13"/>
      <c r="K23" s="13"/>
      <c r="L23" s="13"/>
      <c r="M23" s="13"/>
      <c r="N23" s="13"/>
      <c r="O23" s="13"/>
      <c r="P23" s="13"/>
      <c r="Q23" s="13"/>
      <c r="R23" s="13"/>
      <c r="S23" s="13"/>
      <c r="T23" s="13"/>
      <c r="U23" s="13"/>
      <c r="V23" s="13"/>
      <c r="W23" s="13"/>
      <c r="X23" s="13"/>
    </row>
    <row r="24" spans="1:24" x14ac:dyDescent="0.3">
      <c r="A24" s="13"/>
      <c r="B24" s="13"/>
      <c r="C24" s="13"/>
      <c r="D24" s="13"/>
      <c r="E24" s="13"/>
      <c r="F24" s="13"/>
      <c r="G24" s="13"/>
      <c r="H24" s="13"/>
      <c r="I24" s="13"/>
      <c r="J24" s="13"/>
      <c r="K24" s="13"/>
      <c r="L24" s="13"/>
      <c r="M24" s="13"/>
      <c r="N24" s="13"/>
      <c r="O24" s="13"/>
      <c r="P24" s="13"/>
      <c r="Q24" s="13"/>
      <c r="R24" s="13"/>
      <c r="S24" s="13"/>
      <c r="T24" s="13"/>
      <c r="U24" s="13"/>
      <c r="V24" s="13"/>
      <c r="W24" s="13"/>
      <c r="X24" s="13"/>
    </row>
    <row r="25" spans="1:24" x14ac:dyDescent="0.3">
      <c r="A25" s="13"/>
      <c r="B25" s="13"/>
      <c r="C25" s="13"/>
      <c r="D25" s="13"/>
      <c r="E25" s="13"/>
      <c r="F25" s="13"/>
      <c r="G25" s="13"/>
      <c r="H25" s="13"/>
      <c r="I25" s="13"/>
      <c r="J25" s="13"/>
      <c r="K25" s="13"/>
      <c r="L25" s="13"/>
      <c r="M25" s="13"/>
      <c r="N25" s="13"/>
      <c r="O25" s="13"/>
      <c r="P25" s="13"/>
      <c r="Q25" s="13"/>
      <c r="R25" s="13"/>
      <c r="S25" s="13"/>
      <c r="T25" s="13"/>
      <c r="U25" s="13"/>
      <c r="V25" s="13"/>
      <c r="W25" s="13"/>
      <c r="X25" s="13"/>
    </row>
    <row r="26" spans="1:24" x14ac:dyDescent="0.3">
      <c r="A26" s="13"/>
      <c r="B26" s="13"/>
      <c r="C26" s="13"/>
      <c r="D26" s="13"/>
      <c r="E26" s="13"/>
      <c r="F26" s="13"/>
      <c r="G26" s="13"/>
      <c r="H26" s="13"/>
      <c r="I26" s="13"/>
      <c r="J26" s="13"/>
      <c r="K26" s="13"/>
      <c r="L26" s="13"/>
      <c r="M26" s="13"/>
      <c r="N26" s="13"/>
      <c r="O26" s="13"/>
      <c r="P26" s="13"/>
      <c r="Q26" s="13"/>
      <c r="R26" s="13"/>
      <c r="S26" s="13"/>
      <c r="T26" s="13"/>
      <c r="U26" s="13"/>
      <c r="V26" s="13"/>
      <c r="W26" s="13"/>
      <c r="X26" s="13"/>
    </row>
    <row r="27" spans="1:24" x14ac:dyDescent="0.3">
      <c r="A27" s="13"/>
      <c r="B27" s="13"/>
      <c r="C27" s="13"/>
      <c r="D27" s="13"/>
      <c r="E27" s="13"/>
      <c r="F27" s="13"/>
      <c r="G27" s="13"/>
      <c r="H27" s="13"/>
      <c r="I27" s="13"/>
      <c r="J27" s="13"/>
      <c r="K27" s="13"/>
      <c r="L27" s="13"/>
      <c r="M27" s="13"/>
      <c r="N27" s="13"/>
      <c r="O27" s="13"/>
      <c r="P27" s="13"/>
      <c r="Q27" s="13"/>
      <c r="R27" s="13"/>
      <c r="S27" s="13"/>
      <c r="T27" s="13"/>
      <c r="U27" s="13"/>
      <c r="V27" s="13"/>
      <c r="W27" s="13"/>
      <c r="X27" s="13"/>
    </row>
    <row r="28" spans="1:24" x14ac:dyDescent="0.3">
      <c r="A28" s="13"/>
      <c r="B28" s="13"/>
      <c r="C28" s="13"/>
      <c r="D28" s="13"/>
      <c r="E28" s="13"/>
      <c r="F28" s="13"/>
      <c r="G28" s="13"/>
      <c r="H28" s="13"/>
      <c r="I28" s="13"/>
      <c r="J28" s="13"/>
      <c r="K28" s="13"/>
      <c r="L28" s="13"/>
      <c r="M28" s="13"/>
      <c r="N28" s="13"/>
      <c r="O28" s="13"/>
      <c r="P28" s="13"/>
      <c r="Q28" s="13"/>
      <c r="R28" s="13"/>
      <c r="S28" s="13"/>
      <c r="T28" s="13"/>
      <c r="U28" s="13"/>
      <c r="V28" s="13"/>
      <c r="W28" s="13"/>
      <c r="X28" s="13"/>
    </row>
    <row r="29" spans="1:24" x14ac:dyDescent="0.3">
      <c r="A29" s="13"/>
      <c r="B29" s="13"/>
      <c r="C29" s="13"/>
      <c r="D29" s="13"/>
      <c r="E29" s="13"/>
      <c r="F29" s="13"/>
      <c r="G29" s="13"/>
      <c r="H29" s="13"/>
      <c r="I29" s="13"/>
      <c r="J29" s="13"/>
      <c r="K29" s="13"/>
      <c r="L29" s="13"/>
      <c r="M29" s="13"/>
      <c r="N29" s="13"/>
      <c r="O29" s="13"/>
      <c r="P29" s="13"/>
      <c r="Q29" s="13"/>
      <c r="R29" s="13"/>
      <c r="S29" s="13"/>
      <c r="T29" s="13"/>
      <c r="U29" s="13"/>
      <c r="V29" s="13"/>
      <c r="W29" s="13"/>
      <c r="X29" s="13"/>
    </row>
    <row r="30" spans="1:24" x14ac:dyDescent="0.3">
      <c r="A30" s="13"/>
      <c r="B30" s="13"/>
      <c r="C30" s="13"/>
      <c r="D30" s="13"/>
      <c r="E30" s="13"/>
      <c r="F30" s="13"/>
      <c r="G30" s="13"/>
      <c r="H30" s="13"/>
      <c r="I30" s="13"/>
      <c r="J30" s="13"/>
      <c r="K30" s="13"/>
      <c r="L30" s="13"/>
      <c r="M30" s="13"/>
      <c r="N30" s="13"/>
      <c r="O30" s="13"/>
      <c r="P30" s="13"/>
      <c r="Q30" s="13"/>
      <c r="R30" s="13"/>
      <c r="S30" s="13"/>
      <c r="T30" s="13"/>
      <c r="U30" s="13"/>
      <c r="V30" s="13"/>
      <c r="W30" s="13"/>
      <c r="X30" s="13"/>
    </row>
    <row r="31" spans="1:24" x14ac:dyDescent="0.3">
      <c r="A31" s="13"/>
      <c r="B31" s="13"/>
      <c r="C31" s="13"/>
      <c r="D31" s="13"/>
      <c r="E31" s="13"/>
      <c r="F31" s="13"/>
      <c r="G31" s="13"/>
      <c r="H31" s="13"/>
      <c r="I31" s="13"/>
      <c r="J31" s="13"/>
      <c r="K31" s="13"/>
      <c r="L31" s="13"/>
      <c r="M31" s="13"/>
      <c r="N31" s="13"/>
      <c r="O31" s="13"/>
      <c r="P31" s="13"/>
      <c r="Q31" s="13"/>
      <c r="R31" s="13"/>
      <c r="S31" s="13"/>
      <c r="T31" s="13"/>
      <c r="U31" s="13"/>
      <c r="V31" s="13"/>
      <c r="W31" s="13"/>
      <c r="X31" s="13"/>
    </row>
    <row r="32" spans="1:24" x14ac:dyDescent="0.3">
      <c r="A32" s="13"/>
      <c r="B32" s="13"/>
      <c r="C32" s="13"/>
      <c r="D32" s="13"/>
      <c r="E32" s="13"/>
      <c r="F32" s="13"/>
      <c r="G32" s="13"/>
      <c r="H32" s="13"/>
      <c r="I32" s="13"/>
      <c r="J32" s="13"/>
      <c r="K32" s="13"/>
      <c r="L32" s="13"/>
      <c r="M32" s="13"/>
      <c r="N32" s="13"/>
      <c r="O32" s="13"/>
      <c r="P32" s="13"/>
      <c r="Q32" s="13"/>
      <c r="R32" s="13"/>
      <c r="S32" s="13"/>
      <c r="T32" s="13"/>
      <c r="U32" s="13"/>
      <c r="V32" s="13"/>
      <c r="W32" s="13"/>
      <c r="X32" s="13"/>
    </row>
    <row r="33" spans="1:24" x14ac:dyDescent="0.3">
      <c r="A33" s="13"/>
      <c r="B33" s="13"/>
      <c r="C33" s="13"/>
      <c r="D33" s="13"/>
      <c r="E33" s="13"/>
      <c r="F33" s="13"/>
      <c r="G33" s="13"/>
      <c r="H33" s="13"/>
      <c r="I33" s="13"/>
      <c r="J33" s="13"/>
      <c r="K33" s="13"/>
      <c r="L33" s="13"/>
      <c r="M33" s="13"/>
      <c r="N33" s="13"/>
      <c r="O33" s="13"/>
      <c r="P33" s="13"/>
      <c r="Q33" s="13"/>
      <c r="R33" s="13"/>
      <c r="S33" s="13"/>
      <c r="T33" s="13"/>
      <c r="U33" s="13"/>
      <c r="V33" s="13"/>
      <c r="W33" s="13"/>
      <c r="X33" s="13"/>
    </row>
    <row r="34" spans="1:24" x14ac:dyDescent="0.3">
      <c r="A34" s="13"/>
      <c r="B34" s="13"/>
      <c r="C34" s="13"/>
      <c r="D34" s="13"/>
      <c r="E34" s="13"/>
      <c r="F34" s="13"/>
      <c r="G34" s="13"/>
      <c r="H34" s="13"/>
      <c r="I34" s="13"/>
      <c r="J34" s="13"/>
      <c r="K34" s="13"/>
      <c r="L34" s="13"/>
      <c r="M34" s="13"/>
      <c r="N34" s="13"/>
      <c r="O34" s="13"/>
      <c r="P34" s="13"/>
      <c r="Q34" s="13"/>
      <c r="R34" s="13"/>
      <c r="S34" s="13"/>
      <c r="T34" s="13"/>
      <c r="U34" s="13"/>
      <c r="V34" s="13"/>
      <c r="W34" s="13"/>
      <c r="X34" s="13"/>
    </row>
    <row r="35" spans="1:24" x14ac:dyDescent="0.3">
      <c r="A35" s="13"/>
      <c r="B35" s="13"/>
      <c r="C35" s="13"/>
      <c r="D35" s="13"/>
      <c r="E35" s="13"/>
      <c r="F35" s="13"/>
      <c r="G35" s="13"/>
      <c r="H35" s="13"/>
      <c r="I35" s="13"/>
      <c r="J35" s="13"/>
      <c r="K35" s="13"/>
      <c r="L35" s="13"/>
      <c r="M35" s="13"/>
      <c r="N35" s="13"/>
      <c r="O35" s="13"/>
      <c r="P35" s="13"/>
      <c r="Q35" s="13"/>
      <c r="R35" s="13"/>
      <c r="S35" s="13"/>
      <c r="T35" s="13"/>
      <c r="U35" s="13"/>
      <c r="V35" s="13"/>
      <c r="W35" s="13"/>
      <c r="X35" s="13"/>
    </row>
  </sheetData>
  <mergeCells count="1">
    <mergeCell ref="A1:W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14E8B-0F82-4C20-B28A-48D25868DDA4}">
  <dimension ref="A1:B77"/>
  <sheetViews>
    <sheetView showGridLines="0" tabSelected="1" workbookViewId="0">
      <selection activeCell="E11" sqref="E11"/>
    </sheetView>
  </sheetViews>
  <sheetFormatPr defaultRowHeight="14.4" x14ac:dyDescent="0.3"/>
  <sheetData>
    <row r="1" spans="1:2" ht="31.2" x14ac:dyDescent="0.3">
      <c r="A1" s="16" t="s">
        <v>1726</v>
      </c>
    </row>
    <row r="3" spans="1:2" ht="23.4" x14ac:dyDescent="0.3">
      <c r="A3" s="17" t="s">
        <v>1727</v>
      </c>
    </row>
    <row r="4" spans="1:2" x14ac:dyDescent="0.3">
      <c r="A4" s="18"/>
    </row>
    <row r="5" spans="1:2" x14ac:dyDescent="0.3">
      <c r="A5" s="19" t="s">
        <v>1728</v>
      </c>
    </row>
    <row r="6" spans="1:2" x14ac:dyDescent="0.3">
      <c r="A6" s="18"/>
    </row>
    <row r="7" spans="1:2" x14ac:dyDescent="0.3">
      <c r="A7" s="19" t="s">
        <v>1729</v>
      </c>
      <c r="B7" s="9" t="s">
        <v>1765</v>
      </c>
    </row>
    <row r="8" spans="1:2" x14ac:dyDescent="0.3">
      <c r="A8" s="18"/>
    </row>
    <row r="9" spans="1:2" x14ac:dyDescent="0.3">
      <c r="A9" s="19" t="s">
        <v>1730</v>
      </c>
    </row>
    <row r="10" spans="1:2" x14ac:dyDescent="0.3">
      <c r="A10" s="18"/>
    </row>
    <row r="11" spans="1:2" x14ac:dyDescent="0.3">
      <c r="A11" s="19" t="s">
        <v>1731</v>
      </c>
    </row>
    <row r="12" spans="1:2" x14ac:dyDescent="0.3">
      <c r="A12" s="18"/>
    </row>
    <row r="13" spans="1:2" x14ac:dyDescent="0.3">
      <c r="A13" s="19" t="s">
        <v>1732</v>
      </c>
    </row>
    <row r="14" spans="1:2" x14ac:dyDescent="0.3">
      <c r="A14" s="18"/>
    </row>
    <row r="15" spans="1:2" x14ac:dyDescent="0.3">
      <c r="A15" s="19" t="s">
        <v>1733</v>
      </c>
    </row>
    <row r="16" spans="1:2" x14ac:dyDescent="0.3">
      <c r="A16" s="18"/>
    </row>
    <row r="17" spans="1:1" x14ac:dyDescent="0.3">
      <c r="A17" s="19" t="s">
        <v>1734</v>
      </c>
    </row>
    <row r="19" spans="1:1" ht="23.4" x14ac:dyDescent="0.3">
      <c r="A19" s="17" t="s">
        <v>1735</v>
      </c>
    </row>
    <row r="21" spans="1:1" x14ac:dyDescent="0.3">
      <c r="A21" t="s">
        <v>1736</v>
      </c>
    </row>
    <row r="23" spans="1:1" x14ac:dyDescent="0.3">
      <c r="A23" s="9" t="s">
        <v>1737</v>
      </c>
    </row>
    <row r="25" spans="1:1" ht="23.4" x14ac:dyDescent="0.3">
      <c r="A25" s="17" t="s">
        <v>1738</v>
      </c>
    </row>
    <row r="27" spans="1:1" x14ac:dyDescent="0.3">
      <c r="A27" t="s">
        <v>1739</v>
      </c>
    </row>
    <row r="29" spans="1:1" x14ac:dyDescent="0.3">
      <c r="A29" s="9" t="s">
        <v>1740</v>
      </c>
    </row>
    <row r="31" spans="1:1" ht="23.4" x14ac:dyDescent="0.3">
      <c r="A31" s="17" t="s">
        <v>1741</v>
      </c>
    </row>
    <row r="33" spans="1:1" x14ac:dyDescent="0.3">
      <c r="A33" t="s">
        <v>1742</v>
      </c>
    </row>
    <row r="35" spans="1:1" x14ac:dyDescent="0.3">
      <c r="A35" s="9" t="s">
        <v>1743</v>
      </c>
    </row>
    <row r="37" spans="1:1" ht="23.4" x14ac:dyDescent="0.3">
      <c r="A37" s="17" t="s">
        <v>1744</v>
      </c>
    </row>
    <row r="39" spans="1:1" x14ac:dyDescent="0.3">
      <c r="A39" t="s">
        <v>1745</v>
      </c>
    </row>
    <row r="41" spans="1:1" x14ac:dyDescent="0.3">
      <c r="A41" s="9" t="s">
        <v>1746</v>
      </c>
    </row>
    <row r="43" spans="1:1" ht="23.4" x14ac:dyDescent="0.3">
      <c r="A43" s="17" t="s">
        <v>1747</v>
      </c>
    </row>
    <row r="45" spans="1:1" x14ac:dyDescent="0.3">
      <c r="A45" t="s">
        <v>1748</v>
      </c>
    </row>
    <row r="47" spans="1:1" x14ac:dyDescent="0.3">
      <c r="A47" t="s">
        <v>1749</v>
      </c>
    </row>
    <row r="49" spans="1:1" ht="23.4" x14ac:dyDescent="0.3">
      <c r="A49" s="17" t="s">
        <v>1750</v>
      </c>
    </row>
    <row r="51" spans="1:1" x14ac:dyDescent="0.3">
      <c r="A51" t="s">
        <v>1751</v>
      </c>
    </row>
    <row r="52" spans="1:1" x14ac:dyDescent="0.3">
      <c r="A52" s="18"/>
    </row>
    <row r="53" spans="1:1" x14ac:dyDescent="0.3">
      <c r="A53" s="18" t="s">
        <v>1752</v>
      </c>
    </row>
    <row r="54" spans="1:1" x14ac:dyDescent="0.3">
      <c r="A54" s="18"/>
    </row>
    <row r="55" spans="1:1" x14ac:dyDescent="0.3">
      <c r="A55" s="18" t="s">
        <v>1753</v>
      </c>
    </row>
    <row r="56" spans="1:1" x14ac:dyDescent="0.3">
      <c r="A56" s="18"/>
    </row>
    <row r="57" spans="1:1" x14ac:dyDescent="0.3">
      <c r="A57" s="18" t="s">
        <v>1754</v>
      </c>
    </row>
    <row r="58" spans="1:1" x14ac:dyDescent="0.3">
      <c r="A58" s="18"/>
    </row>
    <row r="59" spans="1:1" x14ac:dyDescent="0.3">
      <c r="A59" s="18" t="s">
        <v>1755</v>
      </c>
    </row>
    <row r="60" spans="1:1" x14ac:dyDescent="0.3">
      <c r="A60" s="18"/>
    </row>
    <row r="61" spans="1:1" x14ac:dyDescent="0.3">
      <c r="A61" s="18" t="s">
        <v>1756</v>
      </c>
    </row>
    <row r="62" spans="1:1" x14ac:dyDescent="0.3">
      <c r="A62" s="18"/>
    </row>
    <row r="63" spans="1:1" x14ac:dyDescent="0.3">
      <c r="A63" s="18" t="s">
        <v>1757</v>
      </c>
    </row>
    <row r="64" spans="1:1" x14ac:dyDescent="0.3">
      <c r="A64" s="18"/>
    </row>
    <row r="65" spans="1:1" x14ac:dyDescent="0.3">
      <c r="A65" s="18" t="s">
        <v>1758</v>
      </c>
    </row>
    <row r="66" spans="1:1" x14ac:dyDescent="0.3">
      <c r="A66" s="18"/>
    </row>
    <row r="67" spans="1:1" x14ac:dyDescent="0.3">
      <c r="A67" s="18" t="s">
        <v>1759</v>
      </c>
    </row>
    <row r="68" spans="1:1" x14ac:dyDescent="0.3">
      <c r="A68" s="18"/>
    </row>
    <row r="69" spans="1:1" x14ac:dyDescent="0.3">
      <c r="A69" s="18" t="s">
        <v>1760</v>
      </c>
    </row>
    <row r="71" spans="1:1" x14ac:dyDescent="0.3">
      <c r="A71" t="s">
        <v>1761</v>
      </c>
    </row>
    <row r="73" spans="1:1" ht="23.4" x14ac:dyDescent="0.3">
      <c r="A73" s="17" t="s">
        <v>1762</v>
      </c>
    </row>
    <row r="75" spans="1:1" x14ac:dyDescent="0.3">
      <c r="A75" t="s">
        <v>1763</v>
      </c>
    </row>
    <row r="77" spans="1:1" x14ac:dyDescent="0.3">
      <c r="A77" t="s">
        <v>1764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F92C0-2B08-413B-9FF4-BAF5C6BF555D}">
  <dimension ref="A1:Y1198"/>
  <sheetViews>
    <sheetView workbookViewId="0"/>
  </sheetViews>
  <sheetFormatPr defaultRowHeight="14.4" x14ac:dyDescent="0.3"/>
  <cols>
    <col min="1" max="1" width="12.6640625" bestFit="1" customWidth="1"/>
    <col min="2" max="2" width="15.44140625" bestFit="1" customWidth="1"/>
    <col min="3" max="3" width="14.109375" bestFit="1" customWidth="1"/>
    <col min="4" max="4" width="14.33203125" bestFit="1" customWidth="1"/>
    <col min="5" max="5" width="12.6640625" bestFit="1" customWidth="1"/>
    <col min="6" max="6" width="10.5546875" bestFit="1" customWidth="1"/>
    <col min="7" max="7" width="16" bestFit="1" customWidth="1"/>
    <col min="8" max="8" width="15.44140625" bestFit="1" customWidth="1"/>
    <col min="9" max="9" width="14.21875" bestFit="1" customWidth="1"/>
    <col min="10" max="10" width="15.44140625" bestFit="1" customWidth="1"/>
    <col min="11" max="11" width="16.88671875" bestFit="1" customWidth="1"/>
    <col min="12" max="12" width="24.77734375" bestFit="1" customWidth="1"/>
    <col min="13" max="13" width="11.109375" bestFit="1" customWidth="1"/>
    <col min="14" max="14" width="25.5546875" bestFit="1" customWidth="1"/>
    <col min="15" max="15" width="26.77734375" bestFit="1" customWidth="1"/>
    <col min="16" max="16" width="17.6640625" bestFit="1" customWidth="1"/>
    <col min="17" max="17" width="9" bestFit="1" customWidth="1"/>
    <col min="18" max="18" width="12" bestFit="1" customWidth="1"/>
    <col min="19" max="19" width="13.44140625" bestFit="1" customWidth="1"/>
    <col min="20" max="20" width="18.6640625" bestFit="1" customWidth="1"/>
    <col min="21" max="21" width="10.77734375" bestFit="1" customWidth="1"/>
    <col min="22" max="22" width="15.109375" bestFit="1" customWidth="1"/>
    <col min="23" max="23" width="15.5546875" bestFit="1" customWidth="1"/>
    <col min="24" max="24" width="19.5546875" bestFit="1" customWidth="1"/>
    <col min="25" max="25" width="17.554687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1699</v>
      </c>
      <c r="O1" t="s">
        <v>1700</v>
      </c>
      <c r="P1" t="s">
        <v>1536</v>
      </c>
      <c r="Q1" t="s">
        <v>1537</v>
      </c>
      <c r="R1" t="s">
        <v>1538</v>
      </c>
      <c r="S1" t="s">
        <v>1539</v>
      </c>
      <c r="T1" t="s">
        <v>1566</v>
      </c>
      <c r="U1" t="s">
        <v>1567</v>
      </c>
      <c r="V1" t="s">
        <v>1568</v>
      </c>
      <c r="W1" t="s">
        <v>1569</v>
      </c>
      <c r="X1" t="s">
        <v>1708</v>
      </c>
      <c r="Y1" t="s">
        <v>1725</v>
      </c>
    </row>
    <row r="2" spans="1:25" x14ac:dyDescent="0.3">
      <c r="A2" s="8" t="s">
        <v>13</v>
      </c>
      <c r="B2" s="14">
        <v>46186</v>
      </c>
      <c r="C2" s="8" t="s">
        <v>14</v>
      </c>
      <c r="D2" s="8" t="s">
        <v>15</v>
      </c>
      <c r="E2" s="8" t="s">
        <v>16</v>
      </c>
      <c r="F2">
        <v>4</v>
      </c>
      <c r="G2">
        <v>617.5</v>
      </c>
      <c r="H2">
        <v>0</v>
      </c>
      <c r="I2" s="8" t="s">
        <v>17</v>
      </c>
      <c r="J2" s="8" t="s">
        <v>18</v>
      </c>
      <c r="K2" s="8" t="s">
        <v>1698</v>
      </c>
      <c r="L2">
        <v>2470</v>
      </c>
      <c r="M2" s="8" t="s">
        <v>20</v>
      </c>
      <c r="N2">
        <v>2470</v>
      </c>
      <c r="O2" s="8" t="s">
        <v>1701</v>
      </c>
      <c r="P2" s="8" t="s">
        <v>1543</v>
      </c>
      <c r="Q2" s="8" t="s">
        <v>1541</v>
      </c>
      <c r="R2" s="8" t="s">
        <v>52</v>
      </c>
      <c r="S2" s="8" t="s">
        <v>1542</v>
      </c>
      <c r="T2" s="8" t="s">
        <v>1570</v>
      </c>
      <c r="U2" s="8" t="s">
        <v>1571</v>
      </c>
      <c r="V2">
        <v>650</v>
      </c>
      <c r="W2">
        <v>390</v>
      </c>
      <c r="X2">
        <v>2470</v>
      </c>
      <c r="Y2">
        <v>910</v>
      </c>
    </row>
    <row r="3" spans="1:25" x14ac:dyDescent="0.3">
      <c r="A3" s="8" t="s">
        <v>21</v>
      </c>
      <c r="B3" s="14">
        <v>46046</v>
      </c>
      <c r="C3" s="8" t="s">
        <v>22</v>
      </c>
      <c r="D3" s="8" t="s">
        <v>23</v>
      </c>
      <c r="E3" s="8" t="s">
        <v>24</v>
      </c>
      <c r="F3">
        <v>2</v>
      </c>
      <c r="G3">
        <v>11760</v>
      </c>
      <c r="H3">
        <v>0</v>
      </c>
      <c r="I3" s="8" t="s">
        <v>17</v>
      </c>
      <c r="J3" s="8" t="s">
        <v>18</v>
      </c>
      <c r="K3" s="8" t="s">
        <v>25</v>
      </c>
      <c r="L3">
        <v>23520</v>
      </c>
      <c r="M3" s="8" t="s">
        <v>26</v>
      </c>
      <c r="N3">
        <v>23520</v>
      </c>
      <c r="O3" s="8" t="s">
        <v>1701</v>
      </c>
      <c r="P3" s="8" t="s">
        <v>1545</v>
      </c>
      <c r="Q3" s="8" t="s">
        <v>1541</v>
      </c>
      <c r="R3" s="8" t="s">
        <v>1546</v>
      </c>
      <c r="S3" s="8" t="s">
        <v>1542</v>
      </c>
      <c r="T3" s="8" t="s">
        <v>1574</v>
      </c>
      <c r="U3" s="8" t="s">
        <v>1575</v>
      </c>
      <c r="V3">
        <v>11200</v>
      </c>
      <c r="W3">
        <v>8300</v>
      </c>
      <c r="X3">
        <v>23520</v>
      </c>
      <c r="Y3">
        <v>6920</v>
      </c>
    </row>
    <row r="4" spans="1:25" x14ac:dyDescent="0.3">
      <c r="A4" s="8" t="s">
        <v>83</v>
      </c>
      <c r="B4" s="14">
        <v>46199</v>
      </c>
      <c r="C4" s="8" t="s">
        <v>84</v>
      </c>
      <c r="D4" s="8" t="s">
        <v>23</v>
      </c>
      <c r="E4" s="8" t="s">
        <v>85</v>
      </c>
      <c r="F4">
        <v>2</v>
      </c>
      <c r="G4">
        <v>50925</v>
      </c>
      <c r="H4">
        <v>0.2</v>
      </c>
      <c r="I4" s="8" t="s">
        <v>17</v>
      </c>
      <c r="J4" s="8" t="s">
        <v>31</v>
      </c>
      <c r="K4" s="8" t="s">
        <v>41</v>
      </c>
      <c r="L4">
        <v>81480</v>
      </c>
      <c r="M4" s="8" t="s">
        <v>52</v>
      </c>
      <c r="N4">
        <v>81480</v>
      </c>
      <c r="O4" s="8" t="s">
        <v>1701</v>
      </c>
      <c r="P4" s="8" t="s">
        <v>1545</v>
      </c>
      <c r="Q4" s="8" t="s">
        <v>1541</v>
      </c>
      <c r="R4" s="8" t="s">
        <v>1546</v>
      </c>
      <c r="S4" s="8" t="s">
        <v>1542</v>
      </c>
      <c r="T4" s="8" t="s">
        <v>1585</v>
      </c>
      <c r="U4" s="8" t="s">
        <v>1586</v>
      </c>
      <c r="V4">
        <v>48500</v>
      </c>
      <c r="W4">
        <v>41200</v>
      </c>
      <c r="X4">
        <v>81480</v>
      </c>
      <c r="Y4">
        <v>-920</v>
      </c>
    </row>
    <row r="5" spans="1:25" x14ac:dyDescent="0.3">
      <c r="A5" s="8" t="s">
        <v>27</v>
      </c>
      <c r="B5" s="14">
        <v>46024</v>
      </c>
      <c r="C5" s="8" t="s">
        <v>28</v>
      </c>
      <c r="D5" s="8" t="s">
        <v>29</v>
      </c>
      <c r="E5" s="8" t="s">
        <v>30</v>
      </c>
      <c r="F5">
        <v>3</v>
      </c>
      <c r="G5">
        <v>1800</v>
      </c>
      <c r="H5">
        <v>0.05</v>
      </c>
      <c r="I5" s="8" t="s">
        <v>17</v>
      </c>
      <c r="J5" s="8" t="s">
        <v>31</v>
      </c>
      <c r="K5" s="8" t="s">
        <v>1698</v>
      </c>
      <c r="L5">
        <v>5130</v>
      </c>
      <c r="M5" s="8" t="s">
        <v>32</v>
      </c>
      <c r="N5">
        <v>5130</v>
      </c>
      <c r="O5" s="8" t="s">
        <v>1701</v>
      </c>
      <c r="P5" s="8" t="s">
        <v>1560</v>
      </c>
      <c r="Q5" s="8" t="s">
        <v>1559</v>
      </c>
      <c r="R5" s="8" t="s">
        <v>1561</v>
      </c>
      <c r="S5" s="8" t="s">
        <v>1542</v>
      </c>
      <c r="T5" s="8" t="s">
        <v>1573</v>
      </c>
      <c r="U5" s="8" t="s">
        <v>1571</v>
      </c>
      <c r="V5">
        <v>1800</v>
      </c>
      <c r="W5">
        <v>1120</v>
      </c>
      <c r="X5">
        <v>5130</v>
      </c>
      <c r="Y5">
        <v>1770</v>
      </c>
    </row>
    <row r="6" spans="1:25" x14ac:dyDescent="0.3">
      <c r="A6" s="8" t="s">
        <v>78</v>
      </c>
      <c r="B6" s="14">
        <v>46159</v>
      </c>
      <c r="C6" s="8" t="s">
        <v>79</v>
      </c>
      <c r="D6" s="8" t="s">
        <v>29</v>
      </c>
      <c r="E6" s="8" t="s">
        <v>30</v>
      </c>
      <c r="F6">
        <v>1</v>
      </c>
      <c r="G6">
        <v>1800</v>
      </c>
      <c r="H6">
        <v>0.1</v>
      </c>
      <c r="I6" s="8" t="s">
        <v>80</v>
      </c>
      <c r="J6" s="8" t="s">
        <v>18</v>
      </c>
      <c r="K6" s="8" t="s">
        <v>41</v>
      </c>
      <c r="L6">
        <v>1620</v>
      </c>
      <c r="M6" s="8" t="s">
        <v>82</v>
      </c>
      <c r="N6">
        <v>1620</v>
      </c>
      <c r="O6" s="8" t="s">
        <v>1701</v>
      </c>
      <c r="P6" s="8" t="s">
        <v>1560</v>
      </c>
      <c r="Q6" s="8" t="s">
        <v>1559</v>
      </c>
      <c r="R6" s="8" t="s">
        <v>1561</v>
      </c>
      <c r="S6" s="8" t="s">
        <v>1542</v>
      </c>
      <c r="T6" s="8" t="s">
        <v>1573</v>
      </c>
      <c r="U6" s="8" t="s">
        <v>1571</v>
      </c>
      <c r="V6">
        <v>1800</v>
      </c>
      <c r="W6">
        <v>1120</v>
      </c>
      <c r="X6">
        <v>0</v>
      </c>
      <c r="Y6">
        <v>-1120</v>
      </c>
    </row>
    <row r="7" spans="1:25" x14ac:dyDescent="0.3">
      <c r="A7" s="8" t="s">
        <v>57</v>
      </c>
      <c r="B7" s="14">
        <v>46059</v>
      </c>
      <c r="C7" s="8" t="s">
        <v>58</v>
      </c>
      <c r="D7" s="8" t="s">
        <v>45</v>
      </c>
      <c r="E7" s="8" t="s">
        <v>30</v>
      </c>
      <c r="F7">
        <v>1</v>
      </c>
      <c r="G7">
        <v>1890</v>
      </c>
      <c r="H7">
        <v>0.15</v>
      </c>
      <c r="I7" s="8" t="s">
        <v>17</v>
      </c>
      <c r="J7" s="8" t="s">
        <v>47</v>
      </c>
      <c r="K7" s="8" t="s">
        <v>41</v>
      </c>
      <c r="L7">
        <v>1606.5</v>
      </c>
      <c r="M7" s="8" t="s">
        <v>59</v>
      </c>
      <c r="N7">
        <v>1606.5</v>
      </c>
      <c r="O7" s="8" t="s">
        <v>1701</v>
      </c>
      <c r="P7" s="8" t="s">
        <v>1547</v>
      </c>
      <c r="Q7" s="8" t="s">
        <v>1541</v>
      </c>
      <c r="R7" s="8" t="s">
        <v>56</v>
      </c>
      <c r="S7" s="8" t="s">
        <v>1542</v>
      </c>
      <c r="T7" s="8" t="s">
        <v>1573</v>
      </c>
      <c r="U7" s="8" t="s">
        <v>1571</v>
      </c>
      <c r="V7">
        <v>1800</v>
      </c>
      <c r="W7">
        <v>1120</v>
      </c>
      <c r="X7">
        <v>1606.5</v>
      </c>
      <c r="Y7">
        <v>486.5</v>
      </c>
    </row>
    <row r="8" spans="1:25" x14ac:dyDescent="0.3">
      <c r="A8" s="8" t="s">
        <v>68</v>
      </c>
      <c r="B8" s="14">
        <v>46098</v>
      </c>
      <c r="C8" s="8" t="s">
        <v>69</v>
      </c>
      <c r="D8" s="8" t="s">
        <v>70</v>
      </c>
      <c r="E8" s="8" t="s">
        <v>30</v>
      </c>
      <c r="F8">
        <v>2</v>
      </c>
      <c r="G8">
        <v>1800</v>
      </c>
      <c r="H8">
        <v>0.2</v>
      </c>
      <c r="I8" s="8" t="s">
        <v>66</v>
      </c>
      <c r="J8" s="8" t="s">
        <v>71</v>
      </c>
      <c r="K8" s="8" t="s">
        <v>25</v>
      </c>
      <c r="L8">
        <v>2880</v>
      </c>
      <c r="M8" s="8" t="s">
        <v>42</v>
      </c>
      <c r="N8">
        <v>2880</v>
      </c>
      <c r="O8" s="8" t="s">
        <v>1701</v>
      </c>
      <c r="P8" s="8" t="s">
        <v>1550</v>
      </c>
      <c r="Q8" s="8" t="s">
        <v>1549</v>
      </c>
      <c r="R8" s="8" t="s">
        <v>32</v>
      </c>
      <c r="S8" s="8" t="s">
        <v>1542</v>
      </c>
      <c r="T8" s="8" t="s">
        <v>1573</v>
      </c>
      <c r="U8" s="8" t="s">
        <v>1571</v>
      </c>
      <c r="V8">
        <v>1800</v>
      </c>
      <c r="W8">
        <v>1120</v>
      </c>
      <c r="X8">
        <v>0</v>
      </c>
      <c r="Y8">
        <v>-2240</v>
      </c>
    </row>
    <row r="9" spans="1:25" x14ac:dyDescent="0.3">
      <c r="A9" s="8" t="s">
        <v>53</v>
      </c>
      <c r="B9" s="14">
        <v>46031</v>
      </c>
      <c r="C9" s="8" t="s">
        <v>54</v>
      </c>
      <c r="D9" s="8" t="s">
        <v>29</v>
      </c>
      <c r="E9" s="8" t="s">
        <v>36</v>
      </c>
      <c r="F9">
        <v>2</v>
      </c>
      <c r="G9">
        <v>1400</v>
      </c>
      <c r="H9">
        <v>0</v>
      </c>
      <c r="I9" s="8" t="s">
        <v>17</v>
      </c>
      <c r="J9" s="8" t="s">
        <v>18</v>
      </c>
      <c r="K9" s="8" t="s">
        <v>55</v>
      </c>
      <c r="L9">
        <v>2800</v>
      </c>
      <c r="M9" s="8" t="s">
        <v>56</v>
      </c>
      <c r="N9">
        <v>2800</v>
      </c>
      <c r="O9" s="8" t="s">
        <v>1701</v>
      </c>
      <c r="P9" s="8" t="s">
        <v>1560</v>
      </c>
      <c r="Q9" s="8" t="s">
        <v>1559</v>
      </c>
      <c r="R9" s="8" t="s">
        <v>1561</v>
      </c>
      <c r="S9" s="8" t="s">
        <v>1542</v>
      </c>
      <c r="T9" s="8" t="s">
        <v>1577</v>
      </c>
      <c r="U9" s="8" t="s">
        <v>1571</v>
      </c>
      <c r="V9">
        <v>1400</v>
      </c>
      <c r="W9">
        <v>780</v>
      </c>
      <c r="X9">
        <v>2800</v>
      </c>
      <c r="Y9">
        <v>1240</v>
      </c>
    </row>
    <row r="10" spans="1:25" x14ac:dyDescent="0.3">
      <c r="A10" s="8" t="s">
        <v>33</v>
      </c>
      <c r="B10" s="14">
        <v>46047</v>
      </c>
      <c r="C10" s="8" t="s">
        <v>34</v>
      </c>
      <c r="D10" s="8" t="s">
        <v>35</v>
      </c>
      <c r="E10" s="8" t="s">
        <v>36</v>
      </c>
      <c r="F10">
        <v>3</v>
      </c>
      <c r="G10">
        <v>1330</v>
      </c>
      <c r="H10">
        <v>0</v>
      </c>
      <c r="I10" s="8" t="s">
        <v>66</v>
      </c>
      <c r="J10" s="8" t="s">
        <v>31</v>
      </c>
      <c r="K10" s="8" t="s">
        <v>25</v>
      </c>
      <c r="L10">
        <v>3990</v>
      </c>
      <c r="M10" s="8" t="s">
        <v>26</v>
      </c>
      <c r="N10">
        <v>3990</v>
      </c>
      <c r="O10" s="8" t="s">
        <v>1701</v>
      </c>
      <c r="P10" s="8" t="s">
        <v>1548</v>
      </c>
      <c r="Q10" s="8" t="s">
        <v>1549</v>
      </c>
      <c r="R10" s="8" t="s">
        <v>42</v>
      </c>
      <c r="S10" s="8" t="s">
        <v>1542</v>
      </c>
      <c r="T10" s="8" t="s">
        <v>1577</v>
      </c>
      <c r="U10" s="8" t="s">
        <v>1571</v>
      </c>
      <c r="V10">
        <v>1400</v>
      </c>
      <c r="W10">
        <v>780</v>
      </c>
      <c r="X10">
        <v>0</v>
      </c>
      <c r="Y10">
        <v>-2340</v>
      </c>
    </row>
    <row r="11" spans="1:25" x14ac:dyDescent="0.3">
      <c r="A11" s="8" t="s">
        <v>38</v>
      </c>
      <c r="B11" s="14">
        <v>46183</v>
      </c>
      <c r="C11" s="8" t="s">
        <v>39</v>
      </c>
      <c r="D11" s="8" t="s">
        <v>40</v>
      </c>
      <c r="E11" s="8" t="s">
        <v>36</v>
      </c>
      <c r="F11">
        <v>3</v>
      </c>
      <c r="G11">
        <v>1400</v>
      </c>
      <c r="H11">
        <v>0.2</v>
      </c>
      <c r="I11" s="8" t="s">
        <v>17</v>
      </c>
      <c r="J11" s="8" t="s">
        <v>31</v>
      </c>
      <c r="K11" s="8" t="s">
        <v>41</v>
      </c>
      <c r="L11">
        <v>3360</v>
      </c>
      <c r="M11" s="8" t="s">
        <v>42</v>
      </c>
      <c r="N11">
        <v>3360</v>
      </c>
      <c r="O11" s="8" t="s">
        <v>1701</v>
      </c>
      <c r="P11" s="8" t="s">
        <v>1555</v>
      </c>
      <c r="Q11" s="8" t="s">
        <v>1554</v>
      </c>
      <c r="R11" s="8" t="s">
        <v>82</v>
      </c>
      <c r="S11" s="8" t="s">
        <v>1542</v>
      </c>
      <c r="T11" s="8" t="s">
        <v>1577</v>
      </c>
      <c r="U11" s="8" t="s">
        <v>1571</v>
      </c>
      <c r="V11">
        <v>1400</v>
      </c>
      <c r="W11">
        <v>780</v>
      </c>
      <c r="X11">
        <v>3360</v>
      </c>
      <c r="Y11">
        <v>1020</v>
      </c>
    </row>
    <row r="12" spans="1:25" x14ac:dyDescent="0.3">
      <c r="A12" s="8" t="s">
        <v>49</v>
      </c>
      <c r="B12" s="14">
        <v>46185</v>
      </c>
      <c r="C12" s="8" t="s">
        <v>22</v>
      </c>
      <c r="D12" s="8" t="s">
        <v>50</v>
      </c>
      <c r="E12" s="8" t="s">
        <v>51</v>
      </c>
      <c r="F12">
        <v>3</v>
      </c>
      <c r="G12">
        <v>18500</v>
      </c>
      <c r="H12">
        <v>0</v>
      </c>
      <c r="I12" s="8" t="s">
        <v>17</v>
      </c>
      <c r="J12" s="8" t="s">
        <v>47</v>
      </c>
      <c r="K12" s="8" t="s">
        <v>1698</v>
      </c>
      <c r="L12">
        <v>55500</v>
      </c>
      <c r="M12" s="8" t="s">
        <v>52</v>
      </c>
      <c r="N12">
        <v>55500</v>
      </c>
      <c r="O12" s="8" t="s">
        <v>1701</v>
      </c>
      <c r="P12" s="8" t="s">
        <v>1544</v>
      </c>
      <c r="Q12" s="8" t="s">
        <v>1541</v>
      </c>
      <c r="R12" s="8" t="s">
        <v>26</v>
      </c>
      <c r="S12" s="8" t="s">
        <v>1542</v>
      </c>
      <c r="T12" s="8" t="s">
        <v>1581</v>
      </c>
      <c r="U12" s="8" t="s">
        <v>1580</v>
      </c>
      <c r="V12">
        <v>18500</v>
      </c>
      <c r="W12">
        <v>13900</v>
      </c>
      <c r="X12">
        <v>55500</v>
      </c>
      <c r="Y12">
        <v>13800</v>
      </c>
    </row>
    <row r="13" spans="1:25" x14ac:dyDescent="0.3">
      <c r="A13" s="8" t="s">
        <v>43</v>
      </c>
      <c r="B13" s="14">
        <v>46120</v>
      </c>
      <c r="C13" s="8" t="s">
        <v>44</v>
      </c>
      <c r="D13" s="8" t="s">
        <v>45</v>
      </c>
      <c r="E13" s="8" t="s">
        <v>46</v>
      </c>
      <c r="F13">
        <v>3</v>
      </c>
      <c r="G13">
        <v>7800</v>
      </c>
      <c r="H13">
        <v>0.05</v>
      </c>
      <c r="I13" s="8" t="s">
        <v>17</v>
      </c>
      <c r="J13" s="8" t="s">
        <v>47</v>
      </c>
      <c r="K13" s="8" t="s">
        <v>1698</v>
      </c>
      <c r="L13">
        <v>22230</v>
      </c>
      <c r="M13" s="8" t="s">
        <v>48</v>
      </c>
      <c r="N13">
        <v>22230</v>
      </c>
      <c r="O13" s="8" t="s">
        <v>1701</v>
      </c>
      <c r="P13" s="8" t="s">
        <v>1547</v>
      </c>
      <c r="Q13" s="8" t="s">
        <v>1541</v>
      </c>
      <c r="R13" s="8" t="s">
        <v>56</v>
      </c>
      <c r="S13" s="8" t="s">
        <v>1542</v>
      </c>
      <c r="T13" s="8" t="s">
        <v>1579</v>
      </c>
      <c r="U13" s="8" t="s">
        <v>1580</v>
      </c>
      <c r="V13">
        <v>7800</v>
      </c>
      <c r="W13">
        <v>5200</v>
      </c>
      <c r="X13">
        <v>22230</v>
      </c>
      <c r="Y13">
        <v>6630</v>
      </c>
    </row>
    <row r="14" spans="1:25" x14ac:dyDescent="0.3">
      <c r="A14" s="8" t="s">
        <v>72</v>
      </c>
      <c r="B14" s="14">
        <v>46183</v>
      </c>
      <c r="C14" s="8" t="s">
        <v>73</v>
      </c>
      <c r="D14" s="8" t="s">
        <v>45</v>
      </c>
      <c r="E14" s="8" t="s">
        <v>74</v>
      </c>
      <c r="F14">
        <v>2</v>
      </c>
      <c r="G14">
        <v>2400</v>
      </c>
      <c r="H14">
        <v>0</v>
      </c>
      <c r="I14" s="8" t="s">
        <v>17</v>
      </c>
      <c r="J14" s="8" t="s">
        <v>47</v>
      </c>
      <c r="K14" s="8" t="s">
        <v>55</v>
      </c>
      <c r="L14">
        <v>4800</v>
      </c>
      <c r="M14" s="8" t="s">
        <v>20</v>
      </c>
      <c r="N14">
        <v>4800</v>
      </c>
      <c r="O14" s="8" t="s">
        <v>1701</v>
      </c>
      <c r="P14" s="8" t="s">
        <v>1547</v>
      </c>
      <c r="Q14" s="8" t="s">
        <v>1541</v>
      </c>
      <c r="R14" s="8" t="s">
        <v>56</v>
      </c>
      <c r="S14" s="8" t="s">
        <v>1542</v>
      </c>
      <c r="T14" s="8" t="s">
        <v>1584</v>
      </c>
      <c r="U14" s="8" t="s">
        <v>1583</v>
      </c>
      <c r="V14">
        <v>2400</v>
      </c>
      <c r="W14">
        <v>1480</v>
      </c>
      <c r="X14">
        <v>4800</v>
      </c>
      <c r="Y14">
        <v>1840</v>
      </c>
    </row>
    <row r="15" spans="1:25" x14ac:dyDescent="0.3">
      <c r="A15" s="8" t="s">
        <v>60</v>
      </c>
      <c r="B15" s="14">
        <v>46153</v>
      </c>
      <c r="C15" s="8" t="s">
        <v>61</v>
      </c>
      <c r="D15" s="8" t="s">
        <v>62</v>
      </c>
      <c r="E15" s="8" t="s">
        <v>63</v>
      </c>
      <c r="F15">
        <v>4</v>
      </c>
      <c r="G15">
        <v>2200</v>
      </c>
      <c r="H15">
        <v>0</v>
      </c>
      <c r="I15" s="8" t="s">
        <v>17</v>
      </c>
      <c r="J15" s="8" t="s">
        <v>31</v>
      </c>
      <c r="K15" s="8" t="s">
        <v>55</v>
      </c>
      <c r="L15">
        <v>8800</v>
      </c>
      <c r="M15" s="8" t="s">
        <v>32</v>
      </c>
      <c r="N15">
        <v>8800</v>
      </c>
      <c r="O15" s="8" t="s">
        <v>1701</v>
      </c>
      <c r="P15" s="8" t="s">
        <v>1551</v>
      </c>
      <c r="Q15" s="8" t="s">
        <v>1549</v>
      </c>
      <c r="R15" s="8" t="s">
        <v>1552</v>
      </c>
      <c r="S15" s="8" t="s">
        <v>1542</v>
      </c>
      <c r="T15" s="8" t="s">
        <v>1572</v>
      </c>
      <c r="U15" s="8" t="s">
        <v>1571</v>
      </c>
      <c r="V15">
        <v>2200</v>
      </c>
      <c r="W15">
        <v>1450</v>
      </c>
      <c r="X15">
        <v>8800</v>
      </c>
      <c r="Y15">
        <v>3000</v>
      </c>
    </row>
    <row r="16" spans="1:25" x14ac:dyDescent="0.3">
      <c r="A16" s="8" t="s">
        <v>64</v>
      </c>
      <c r="B16" s="14">
        <v>46175</v>
      </c>
      <c r="C16" s="8" t="s">
        <v>65</v>
      </c>
      <c r="D16" s="8" t="s">
        <v>62</v>
      </c>
      <c r="E16" s="8" t="s">
        <v>51</v>
      </c>
      <c r="F16">
        <v>1</v>
      </c>
      <c r="G16">
        <v>17575</v>
      </c>
      <c r="H16">
        <v>0.15</v>
      </c>
      <c r="I16" s="8" t="s">
        <v>66</v>
      </c>
      <c r="J16" s="8" t="s">
        <v>47</v>
      </c>
      <c r="K16" s="8" t="s">
        <v>67</v>
      </c>
      <c r="L16">
        <v>14938.75</v>
      </c>
      <c r="M16" s="8" t="s">
        <v>42</v>
      </c>
      <c r="N16">
        <v>14938.75</v>
      </c>
      <c r="O16" s="8" t="s">
        <v>1701</v>
      </c>
      <c r="P16" s="8" t="s">
        <v>1551</v>
      </c>
      <c r="Q16" s="8" t="s">
        <v>1549</v>
      </c>
      <c r="R16" s="8" t="s">
        <v>1552</v>
      </c>
      <c r="S16" s="8" t="s">
        <v>1542</v>
      </c>
      <c r="T16" s="8" t="s">
        <v>1581</v>
      </c>
      <c r="U16" s="8" t="s">
        <v>1580</v>
      </c>
      <c r="V16">
        <v>18500</v>
      </c>
      <c r="W16">
        <v>13900</v>
      </c>
      <c r="X16">
        <v>0</v>
      </c>
      <c r="Y16">
        <v>-13900</v>
      </c>
    </row>
    <row r="17" spans="1:25" x14ac:dyDescent="0.3">
      <c r="A17" s="8" t="s">
        <v>75</v>
      </c>
      <c r="B17" s="14">
        <v>46051</v>
      </c>
      <c r="C17" s="8" t="s">
        <v>76</v>
      </c>
      <c r="D17" s="8" t="s">
        <v>77</v>
      </c>
      <c r="E17" s="8" t="s">
        <v>36</v>
      </c>
      <c r="F17">
        <v>5</v>
      </c>
      <c r="G17">
        <v>1400</v>
      </c>
      <c r="H17">
        <v>0.05</v>
      </c>
      <c r="I17" s="8" t="s">
        <v>17</v>
      </c>
      <c r="J17" s="8" t="s">
        <v>31</v>
      </c>
      <c r="K17" s="8" t="s">
        <v>55</v>
      </c>
      <c r="L17">
        <v>6650</v>
      </c>
      <c r="M17" s="8" t="s">
        <v>42</v>
      </c>
      <c r="N17">
        <v>6650</v>
      </c>
      <c r="O17" s="8" t="s">
        <v>1701</v>
      </c>
      <c r="P17" s="8" t="s">
        <v>1564</v>
      </c>
      <c r="Q17" s="8" t="s">
        <v>1563</v>
      </c>
      <c r="R17" s="8" t="s">
        <v>1565</v>
      </c>
      <c r="S17" s="8" t="s">
        <v>1542</v>
      </c>
      <c r="T17" s="8" t="s">
        <v>1577</v>
      </c>
      <c r="U17" s="8" t="s">
        <v>1571</v>
      </c>
      <c r="V17">
        <v>1400</v>
      </c>
      <c r="W17">
        <v>780</v>
      </c>
      <c r="X17">
        <v>6650</v>
      </c>
      <c r="Y17">
        <v>2750</v>
      </c>
    </row>
    <row r="18" spans="1:25" x14ac:dyDescent="0.3">
      <c r="A18" s="8" t="s">
        <v>86</v>
      </c>
      <c r="B18" s="14">
        <v>46039</v>
      </c>
      <c r="C18" s="8" t="s">
        <v>87</v>
      </c>
      <c r="D18" s="8" t="s">
        <v>35</v>
      </c>
      <c r="E18" s="8" t="s">
        <v>16</v>
      </c>
      <c r="F18">
        <v>3</v>
      </c>
      <c r="G18">
        <v>617.5</v>
      </c>
      <c r="H18">
        <v>0</v>
      </c>
      <c r="I18" s="8" t="s">
        <v>17</v>
      </c>
      <c r="J18" s="8" t="s">
        <v>31</v>
      </c>
      <c r="K18" s="8" t="s">
        <v>41</v>
      </c>
      <c r="L18">
        <v>1852.5</v>
      </c>
      <c r="M18" s="8" t="s">
        <v>42</v>
      </c>
      <c r="N18">
        <v>1852.5</v>
      </c>
      <c r="O18" s="8" t="s">
        <v>1701</v>
      </c>
      <c r="P18" s="8" t="s">
        <v>1548</v>
      </c>
      <c r="Q18" s="8" t="s">
        <v>1549</v>
      </c>
      <c r="R18" s="8" t="s">
        <v>42</v>
      </c>
      <c r="S18" s="8" t="s">
        <v>1542</v>
      </c>
      <c r="T18" s="8" t="s">
        <v>1570</v>
      </c>
      <c r="U18" s="8" t="s">
        <v>1571</v>
      </c>
      <c r="V18">
        <v>650</v>
      </c>
      <c r="W18">
        <v>390</v>
      </c>
      <c r="X18">
        <v>1852.5</v>
      </c>
      <c r="Y18">
        <v>682.5</v>
      </c>
    </row>
    <row r="19" spans="1:25" x14ac:dyDescent="0.3">
      <c r="A19" s="8" t="s">
        <v>88</v>
      </c>
      <c r="B19" s="14">
        <v>46031</v>
      </c>
      <c r="C19" s="8" t="s">
        <v>89</v>
      </c>
      <c r="D19" s="8" t="s">
        <v>90</v>
      </c>
      <c r="E19" s="8" t="s">
        <v>36</v>
      </c>
      <c r="F19">
        <v>1</v>
      </c>
      <c r="G19">
        <v>1470</v>
      </c>
      <c r="H19">
        <v>0</v>
      </c>
      <c r="I19" s="8" t="s">
        <v>17</v>
      </c>
      <c r="J19" s="8" t="s">
        <v>71</v>
      </c>
      <c r="K19" s="8" t="s">
        <v>25</v>
      </c>
      <c r="L19">
        <v>1470</v>
      </c>
      <c r="M19" s="8" t="s">
        <v>48</v>
      </c>
      <c r="N19">
        <v>1470</v>
      </c>
      <c r="O19" s="8" t="s">
        <v>1701</v>
      </c>
      <c r="P19" s="8" t="s">
        <v>1562</v>
      </c>
      <c r="Q19" s="8" t="s">
        <v>1563</v>
      </c>
      <c r="R19" s="8" t="s">
        <v>48</v>
      </c>
      <c r="S19" s="8" t="s">
        <v>1542</v>
      </c>
      <c r="T19" s="8" t="s">
        <v>1577</v>
      </c>
      <c r="U19" s="8" t="s">
        <v>1571</v>
      </c>
      <c r="V19">
        <v>1400</v>
      </c>
      <c r="W19">
        <v>780</v>
      </c>
      <c r="X19">
        <v>1470</v>
      </c>
      <c r="Y19">
        <v>690</v>
      </c>
    </row>
    <row r="20" spans="1:25" x14ac:dyDescent="0.3">
      <c r="A20" s="8" t="s">
        <v>91</v>
      </c>
      <c r="B20" s="14">
        <v>46144</v>
      </c>
      <c r="C20" s="8" t="s">
        <v>92</v>
      </c>
      <c r="D20" s="8" t="s">
        <v>23</v>
      </c>
      <c r="E20" s="8" t="s">
        <v>46</v>
      </c>
      <c r="F20">
        <v>4</v>
      </c>
      <c r="G20">
        <v>8190</v>
      </c>
      <c r="H20">
        <v>0</v>
      </c>
      <c r="I20" s="8" t="s">
        <v>17</v>
      </c>
      <c r="J20" s="8" t="s">
        <v>18</v>
      </c>
      <c r="K20" s="8" t="s">
        <v>55</v>
      </c>
      <c r="L20">
        <v>32760</v>
      </c>
      <c r="M20" s="8" t="s">
        <v>56</v>
      </c>
      <c r="N20">
        <v>32760</v>
      </c>
      <c r="O20" s="8" t="s">
        <v>1701</v>
      </c>
      <c r="P20" s="8" t="s">
        <v>1545</v>
      </c>
      <c r="Q20" s="8" t="s">
        <v>1541</v>
      </c>
      <c r="R20" s="8" t="s">
        <v>1546</v>
      </c>
      <c r="S20" s="8" t="s">
        <v>1542</v>
      </c>
      <c r="T20" s="8" t="s">
        <v>1579</v>
      </c>
      <c r="U20" s="8" t="s">
        <v>1580</v>
      </c>
      <c r="V20">
        <v>7800</v>
      </c>
      <c r="W20">
        <v>5200</v>
      </c>
      <c r="X20">
        <v>32760</v>
      </c>
      <c r="Y20">
        <v>11960</v>
      </c>
    </row>
    <row r="21" spans="1:25" x14ac:dyDescent="0.3">
      <c r="A21" s="8" t="s">
        <v>93</v>
      </c>
      <c r="B21" s="14">
        <v>46036</v>
      </c>
      <c r="C21" s="8" t="s">
        <v>94</v>
      </c>
      <c r="D21" s="8" t="s">
        <v>95</v>
      </c>
      <c r="E21" s="8" t="s">
        <v>74</v>
      </c>
      <c r="F21">
        <v>10</v>
      </c>
      <c r="G21">
        <v>2400</v>
      </c>
      <c r="H21">
        <v>0</v>
      </c>
      <c r="I21" s="8" t="s">
        <v>17</v>
      </c>
      <c r="J21" s="8" t="s">
        <v>71</v>
      </c>
      <c r="K21" s="8" t="s">
        <v>41</v>
      </c>
      <c r="L21">
        <v>24000</v>
      </c>
      <c r="M21" s="8" t="s">
        <v>52</v>
      </c>
      <c r="N21">
        <v>24000</v>
      </c>
      <c r="O21" s="8" t="s">
        <v>1701</v>
      </c>
      <c r="P21" s="8" t="s">
        <v>1556</v>
      </c>
      <c r="Q21" s="8" t="s">
        <v>1554</v>
      </c>
      <c r="R21" s="8" t="s">
        <v>1557</v>
      </c>
      <c r="S21" s="8" t="s">
        <v>1542</v>
      </c>
      <c r="T21" s="8" t="s">
        <v>1584</v>
      </c>
      <c r="U21" s="8" t="s">
        <v>1583</v>
      </c>
      <c r="V21">
        <v>2400</v>
      </c>
      <c r="W21">
        <v>1480</v>
      </c>
      <c r="X21">
        <v>24000</v>
      </c>
      <c r="Y21">
        <v>9200</v>
      </c>
    </row>
    <row r="22" spans="1:25" x14ac:dyDescent="0.3">
      <c r="A22" s="8" t="s">
        <v>96</v>
      </c>
      <c r="B22" s="14">
        <v>46160</v>
      </c>
      <c r="C22" s="8" t="s">
        <v>97</v>
      </c>
      <c r="D22" s="8" t="s">
        <v>62</v>
      </c>
      <c r="E22" s="8" t="s">
        <v>30</v>
      </c>
      <c r="F22">
        <v>2</v>
      </c>
      <c r="G22">
        <v>1710</v>
      </c>
      <c r="H22">
        <v>0.05</v>
      </c>
      <c r="I22" s="8" t="s">
        <v>17</v>
      </c>
      <c r="J22" s="8" t="s">
        <v>31</v>
      </c>
      <c r="K22" s="8" t="s">
        <v>1698</v>
      </c>
      <c r="L22">
        <v>3249</v>
      </c>
      <c r="M22" s="8" t="s">
        <v>82</v>
      </c>
      <c r="N22">
        <v>3249</v>
      </c>
      <c r="O22" s="8" t="s">
        <v>1701</v>
      </c>
      <c r="P22" s="8" t="s">
        <v>1551</v>
      </c>
      <c r="Q22" s="8" t="s">
        <v>1549</v>
      </c>
      <c r="R22" s="8" t="s">
        <v>1552</v>
      </c>
      <c r="S22" s="8" t="s">
        <v>1542</v>
      </c>
      <c r="T22" s="8" t="s">
        <v>1573</v>
      </c>
      <c r="U22" s="8" t="s">
        <v>1571</v>
      </c>
      <c r="V22">
        <v>1800</v>
      </c>
      <c r="W22">
        <v>1120</v>
      </c>
      <c r="X22">
        <v>3249</v>
      </c>
      <c r="Y22">
        <v>1009</v>
      </c>
    </row>
    <row r="23" spans="1:25" x14ac:dyDescent="0.3">
      <c r="A23" s="8" t="s">
        <v>98</v>
      </c>
      <c r="B23" s="14">
        <v>46026</v>
      </c>
      <c r="C23" s="8" t="s">
        <v>99</v>
      </c>
      <c r="D23" s="8" t="s">
        <v>15</v>
      </c>
      <c r="E23" s="8" t="s">
        <v>24</v>
      </c>
      <c r="F23">
        <v>1</v>
      </c>
      <c r="G23">
        <v>11760</v>
      </c>
      <c r="H23">
        <v>0.1</v>
      </c>
      <c r="I23" s="8" t="s">
        <v>17</v>
      </c>
      <c r="J23" s="8" t="s">
        <v>71</v>
      </c>
      <c r="K23" s="8" t="s">
        <v>55</v>
      </c>
      <c r="L23">
        <v>10584</v>
      </c>
      <c r="M23" s="8" t="s">
        <v>20</v>
      </c>
      <c r="N23">
        <v>10584</v>
      </c>
      <c r="O23" s="8" t="s">
        <v>1701</v>
      </c>
      <c r="P23" s="8" t="s">
        <v>1543</v>
      </c>
      <c r="Q23" s="8" t="s">
        <v>1541</v>
      </c>
      <c r="R23" s="8" t="s">
        <v>52</v>
      </c>
      <c r="S23" s="8" t="s">
        <v>1542</v>
      </c>
      <c r="T23" s="8" t="s">
        <v>1574</v>
      </c>
      <c r="U23" s="8" t="s">
        <v>1575</v>
      </c>
      <c r="V23">
        <v>11200</v>
      </c>
      <c r="W23">
        <v>8300</v>
      </c>
      <c r="X23">
        <v>10584</v>
      </c>
      <c r="Y23">
        <v>2284</v>
      </c>
    </row>
    <row r="24" spans="1:25" x14ac:dyDescent="0.3">
      <c r="A24" s="8" t="s">
        <v>100</v>
      </c>
      <c r="B24" s="14">
        <v>46122</v>
      </c>
      <c r="C24" s="8" t="s">
        <v>101</v>
      </c>
      <c r="D24" s="8" t="s">
        <v>45</v>
      </c>
      <c r="E24" s="8" t="s">
        <v>46</v>
      </c>
      <c r="F24">
        <v>1</v>
      </c>
      <c r="G24">
        <v>8190</v>
      </c>
      <c r="H24">
        <v>0.2</v>
      </c>
      <c r="I24" s="8" t="s">
        <v>80</v>
      </c>
      <c r="J24" s="8" t="s">
        <v>71</v>
      </c>
      <c r="K24" s="8" t="s">
        <v>67</v>
      </c>
      <c r="L24">
        <v>6552</v>
      </c>
      <c r="M24" s="8" t="s">
        <v>52</v>
      </c>
      <c r="N24">
        <v>6552</v>
      </c>
      <c r="O24" s="8" t="s">
        <v>1701</v>
      </c>
      <c r="P24" s="8" t="s">
        <v>1547</v>
      </c>
      <c r="Q24" s="8" t="s">
        <v>1541</v>
      </c>
      <c r="R24" s="8" t="s">
        <v>56</v>
      </c>
      <c r="S24" s="8" t="s">
        <v>1542</v>
      </c>
      <c r="T24" s="8" t="s">
        <v>1579</v>
      </c>
      <c r="U24" s="8" t="s">
        <v>1580</v>
      </c>
      <c r="V24">
        <v>7800</v>
      </c>
      <c r="W24">
        <v>5200</v>
      </c>
      <c r="X24">
        <v>0</v>
      </c>
      <c r="Y24">
        <v>-5200</v>
      </c>
    </row>
    <row r="25" spans="1:25" x14ac:dyDescent="0.3">
      <c r="A25" s="8" t="s">
        <v>102</v>
      </c>
      <c r="B25" s="14">
        <v>46037</v>
      </c>
      <c r="C25" s="8" t="s">
        <v>103</v>
      </c>
      <c r="D25" s="8" t="s">
        <v>40</v>
      </c>
      <c r="E25" s="8" t="s">
        <v>85</v>
      </c>
      <c r="F25">
        <v>2</v>
      </c>
      <c r="G25">
        <v>46075</v>
      </c>
      <c r="H25">
        <v>0.2</v>
      </c>
      <c r="I25" s="8" t="s">
        <v>17</v>
      </c>
      <c r="J25" s="8" t="s">
        <v>71</v>
      </c>
      <c r="K25" s="8" t="s">
        <v>1698</v>
      </c>
      <c r="L25">
        <v>73720</v>
      </c>
      <c r="M25" s="8" t="s">
        <v>82</v>
      </c>
      <c r="N25">
        <v>73720</v>
      </c>
      <c r="O25" s="8" t="s">
        <v>1701</v>
      </c>
      <c r="P25" s="8" t="s">
        <v>1555</v>
      </c>
      <c r="Q25" s="8" t="s">
        <v>1554</v>
      </c>
      <c r="R25" s="8" t="s">
        <v>82</v>
      </c>
      <c r="S25" s="8" t="s">
        <v>1542</v>
      </c>
      <c r="T25" s="8" t="s">
        <v>1585</v>
      </c>
      <c r="U25" s="8" t="s">
        <v>1586</v>
      </c>
      <c r="V25">
        <v>48500</v>
      </c>
      <c r="W25">
        <v>41200</v>
      </c>
      <c r="X25">
        <v>73720</v>
      </c>
      <c r="Y25">
        <v>-8680</v>
      </c>
    </row>
    <row r="26" spans="1:25" x14ac:dyDescent="0.3">
      <c r="A26" s="8" t="s">
        <v>105</v>
      </c>
      <c r="B26" s="14">
        <v>46043</v>
      </c>
      <c r="C26" s="8" t="s">
        <v>106</v>
      </c>
      <c r="D26" s="8" t="s">
        <v>90</v>
      </c>
      <c r="E26" s="8" t="s">
        <v>30</v>
      </c>
      <c r="F26">
        <v>1</v>
      </c>
      <c r="G26">
        <v>1800</v>
      </c>
      <c r="H26">
        <v>0</v>
      </c>
      <c r="I26" s="8" t="s">
        <v>17</v>
      </c>
      <c r="J26" s="8" t="s">
        <v>31</v>
      </c>
      <c r="K26" s="8" t="s">
        <v>25</v>
      </c>
      <c r="L26">
        <v>1800</v>
      </c>
      <c r="M26" s="8" t="s">
        <v>52</v>
      </c>
      <c r="N26">
        <v>1800</v>
      </c>
      <c r="O26" s="8" t="s">
        <v>1701</v>
      </c>
      <c r="P26" s="8" t="s">
        <v>1562</v>
      </c>
      <c r="Q26" s="8" t="s">
        <v>1563</v>
      </c>
      <c r="R26" s="8" t="s">
        <v>48</v>
      </c>
      <c r="S26" s="8" t="s">
        <v>1542</v>
      </c>
      <c r="T26" s="8" t="s">
        <v>1573</v>
      </c>
      <c r="U26" s="8" t="s">
        <v>1571</v>
      </c>
      <c r="V26">
        <v>1800</v>
      </c>
      <c r="W26">
        <v>1120</v>
      </c>
      <c r="X26">
        <v>1800</v>
      </c>
      <c r="Y26">
        <v>680</v>
      </c>
    </row>
    <row r="27" spans="1:25" x14ac:dyDescent="0.3">
      <c r="A27" s="8" t="s">
        <v>107</v>
      </c>
      <c r="B27" s="14">
        <v>46171</v>
      </c>
      <c r="C27" s="8" t="s">
        <v>108</v>
      </c>
      <c r="D27" s="8" t="s">
        <v>40</v>
      </c>
      <c r="E27" s="8" t="s">
        <v>16</v>
      </c>
      <c r="F27">
        <v>3</v>
      </c>
      <c r="G27">
        <v>650</v>
      </c>
      <c r="H27">
        <v>0.1</v>
      </c>
      <c r="I27" s="8" t="s">
        <v>17</v>
      </c>
      <c r="J27" s="8" t="s">
        <v>47</v>
      </c>
      <c r="K27" s="8" t="s">
        <v>67</v>
      </c>
      <c r="L27">
        <v>1755</v>
      </c>
      <c r="M27" s="8" t="s">
        <v>52</v>
      </c>
      <c r="N27">
        <v>1755</v>
      </c>
      <c r="O27" s="8" t="s">
        <v>1701</v>
      </c>
      <c r="P27" s="8" t="s">
        <v>1555</v>
      </c>
      <c r="Q27" s="8" t="s">
        <v>1554</v>
      </c>
      <c r="R27" s="8" t="s">
        <v>82</v>
      </c>
      <c r="S27" s="8" t="s">
        <v>1542</v>
      </c>
      <c r="T27" s="8" t="s">
        <v>1570</v>
      </c>
      <c r="U27" s="8" t="s">
        <v>1571</v>
      </c>
      <c r="V27">
        <v>650</v>
      </c>
      <c r="W27">
        <v>390</v>
      </c>
      <c r="X27">
        <v>1755</v>
      </c>
      <c r="Y27">
        <v>585</v>
      </c>
    </row>
    <row r="28" spans="1:25" x14ac:dyDescent="0.3">
      <c r="A28" s="8" t="s">
        <v>110</v>
      </c>
      <c r="B28" s="14">
        <v>46090</v>
      </c>
      <c r="C28" s="8" t="s">
        <v>111</v>
      </c>
      <c r="D28" s="8" t="s">
        <v>70</v>
      </c>
      <c r="E28" s="8" t="s">
        <v>30</v>
      </c>
      <c r="F28">
        <v>3</v>
      </c>
      <c r="G28">
        <v>1710</v>
      </c>
      <c r="H28">
        <v>0.05</v>
      </c>
      <c r="I28" s="8" t="s">
        <v>17</v>
      </c>
      <c r="J28" s="8" t="s">
        <v>18</v>
      </c>
      <c r="K28" s="8" t="s">
        <v>25</v>
      </c>
      <c r="L28">
        <v>4873.5</v>
      </c>
      <c r="M28" s="8" t="s">
        <v>48</v>
      </c>
      <c r="N28">
        <v>4873.5</v>
      </c>
      <c r="O28" s="8" t="s">
        <v>1701</v>
      </c>
      <c r="P28" s="8" t="s">
        <v>1550</v>
      </c>
      <c r="Q28" s="8" t="s">
        <v>1549</v>
      </c>
      <c r="R28" s="8" t="s">
        <v>32</v>
      </c>
      <c r="S28" s="8" t="s">
        <v>1542</v>
      </c>
      <c r="T28" s="8" t="s">
        <v>1573</v>
      </c>
      <c r="U28" s="8" t="s">
        <v>1571</v>
      </c>
      <c r="V28">
        <v>1800</v>
      </c>
      <c r="W28">
        <v>1120</v>
      </c>
      <c r="X28">
        <v>4873.5</v>
      </c>
      <c r="Y28">
        <v>1513.5</v>
      </c>
    </row>
    <row r="29" spans="1:25" x14ac:dyDescent="0.3">
      <c r="A29" s="8" t="s">
        <v>112</v>
      </c>
      <c r="B29" s="14">
        <v>46048</v>
      </c>
      <c r="C29" s="8" t="s">
        <v>113</v>
      </c>
      <c r="D29" s="8" t="s">
        <v>15</v>
      </c>
      <c r="E29" s="8" t="s">
        <v>51</v>
      </c>
      <c r="F29">
        <v>1</v>
      </c>
      <c r="G29">
        <v>18500</v>
      </c>
      <c r="H29">
        <v>0.05</v>
      </c>
      <c r="I29" s="8" t="s">
        <v>17</v>
      </c>
      <c r="J29" s="8" t="s">
        <v>71</v>
      </c>
      <c r="K29" s="8" t="s">
        <v>67</v>
      </c>
      <c r="L29">
        <v>17575</v>
      </c>
      <c r="M29" s="8" t="s">
        <v>26</v>
      </c>
      <c r="N29">
        <v>17575</v>
      </c>
      <c r="O29" s="8" t="s">
        <v>1701</v>
      </c>
      <c r="P29" s="8" t="s">
        <v>1543</v>
      </c>
      <c r="Q29" s="8" t="s">
        <v>1541</v>
      </c>
      <c r="R29" s="8" t="s">
        <v>52</v>
      </c>
      <c r="S29" s="8" t="s">
        <v>1542</v>
      </c>
      <c r="T29" s="8" t="s">
        <v>1581</v>
      </c>
      <c r="U29" s="8" t="s">
        <v>1580</v>
      </c>
      <c r="V29">
        <v>18500</v>
      </c>
      <c r="W29">
        <v>13900</v>
      </c>
      <c r="X29">
        <v>17575</v>
      </c>
      <c r="Y29">
        <v>3675</v>
      </c>
    </row>
    <row r="30" spans="1:25" x14ac:dyDescent="0.3">
      <c r="A30" s="8" t="s">
        <v>114</v>
      </c>
      <c r="B30" s="14">
        <v>46063</v>
      </c>
      <c r="C30" s="8" t="s">
        <v>115</v>
      </c>
      <c r="D30" s="8" t="s">
        <v>62</v>
      </c>
      <c r="E30" s="8" t="s">
        <v>51</v>
      </c>
      <c r="F30">
        <v>3</v>
      </c>
      <c r="G30">
        <v>17575</v>
      </c>
      <c r="H30">
        <v>0.15</v>
      </c>
      <c r="I30" s="8" t="s">
        <v>116</v>
      </c>
      <c r="J30" s="8" t="s">
        <v>31</v>
      </c>
      <c r="K30" s="8" t="s">
        <v>41</v>
      </c>
      <c r="L30">
        <v>44816.25</v>
      </c>
      <c r="M30" s="8" t="s">
        <v>26</v>
      </c>
      <c r="N30">
        <v>44816.25</v>
      </c>
      <c r="O30" s="8" t="s">
        <v>1701</v>
      </c>
      <c r="P30" s="8" t="s">
        <v>1551</v>
      </c>
      <c r="Q30" s="8" t="s">
        <v>1549</v>
      </c>
      <c r="R30" s="8" t="s">
        <v>1552</v>
      </c>
      <c r="S30" s="8" t="s">
        <v>1542</v>
      </c>
      <c r="T30" s="8" t="s">
        <v>1581</v>
      </c>
      <c r="U30" s="8" t="s">
        <v>1580</v>
      </c>
      <c r="V30">
        <v>18500</v>
      </c>
      <c r="W30">
        <v>13900</v>
      </c>
      <c r="X30">
        <v>0</v>
      </c>
      <c r="Y30">
        <v>-41700</v>
      </c>
    </row>
    <row r="31" spans="1:25" x14ac:dyDescent="0.3">
      <c r="A31" s="8" t="s">
        <v>117</v>
      </c>
      <c r="B31" s="14">
        <v>46052</v>
      </c>
      <c r="C31" s="8" t="s">
        <v>118</v>
      </c>
      <c r="D31" s="8" t="s">
        <v>77</v>
      </c>
      <c r="E31" s="8" t="s">
        <v>63</v>
      </c>
      <c r="F31">
        <v>4</v>
      </c>
      <c r="G31">
        <v>2200</v>
      </c>
      <c r="H31">
        <v>0</v>
      </c>
      <c r="I31" s="8" t="s">
        <v>17</v>
      </c>
      <c r="J31" s="8" t="s">
        <v>71</v>
      </c>
      <c r="K31" s="8" t="s">
        <v>67</v>
      </c>
      <c r="L31">
        <v>8800</v>
      </c>
      <c r="M31" s="8" t="s">
        <v>82</v>
      </c>
      <c r="N31">
        <v>8800</v>
      </c>
      <c r="O31" s="8" t="s">
        <v>1701</v>
      </c>
      <c r="P31" s="8" t="s">
        <v>1564</v>
      </c>
      <c r="Q31" s="8" t="s">
        <v>1563</v>
      </c>
      <c r="R31" s="8" t="s">
        <v>1565</v>
      </c>
      <c r="S31" s="8" t="s">
        <v>1542</v>
      </c>
      <c r="T31" s="8" t="s">
        <v>1572</v>
      </c>
      <c r="U31" s="8" t="s">
        <v>1571</v>
      </c>
      <c r="V31">
        <v>2200</v>
      </c>
      <c r="W31">
        <v>1450</v>
      </c>
      <c r="X31">
        <v>8800</v>
      </c>
      <c r="Y31">
        <v>3000</v>
      </c>
    </row>
    <row r="32" spans="1:25" x14ac:dyDescent="0.3">
      <c r="A32" s="8" t="s">
        <v>119</v>
      </c>
      <c r="B32" s="14">
        <v>46148</v>
      </c>
      <c r="C32" s="8" t="s">
        <v>120</v>
      </c>
      <c r="D32" s="8" t="s">
        <v>45</v>
      </c>
      <c r="E32" s="8" t="s">
        <v>16</v>
      </c>
      <c r="F32">
        <v>1</v>
      </c>
      <c r="G32">
        <v>617.5</v>
      </c>
      <c r="H32">
        <v>0.1</v>
      </c>
      <c r="I32" s="8" t="s">
        <v>17</v>
      </c>
      <c r="J32" s="8" t="s">
        <v>47</v>
      </c>
      <c r="K32" s="8" t="s">
        <v>41</v>
      </c>
      <c r="L32">
        <v>555.75</v>
      </c>
      <c r="M32" s="8" t="s">
        <v>26</v>
      </c>
      <c r="N32">
        <v>555.75</v>
      </c>
      <c r="O32" s="8" t="s">
        <v>1701</v>
      </c>
      <c r="P32" s="8" t="s">
        <v>1547</v>
      </c>
      <c r="Q32" s="8" t="s">
        <v>1541</v>
      </c>
      <c r="R32" s="8" t="s">
        <v>56</v>
      </c>
      <c r="S32" s="8" t="s">
        <v>1542</v>
      </c>
      <c r="T32" s="8" t="s">
        <v>1570</v>
      </c>
      <c r="U32" s="8" t="s">
        <v>1571</v>
      </c>
      <c r="V32">
        <v>650</v>
      </c>
      <c r="W32">
        <v>390</v>
      </c>
      <c r="X32">
        <v>555.75</v>
      </c>
      <c r="Y32">
        <v>165.75</v>
      </c>
    </row>
    <row r="33" spans="1:25" x14ac:dyDescent="0.3">
      <c r="A33" s="8" t="s">
        <v>121</v>
      </c>
      <c r="B33" s="14">
        <v>46064</v>
      </c>
      <c r="C33" s="8" t="s">
        <v>122</v>
      </c>
      <c r="D33" s="8" t="s">
        <v>123</v>
      </c>
      <c r="E33" s="8" t="s">
        <v>46</v>
      </c>
      <c r="F33">
        <v>3</v>
      </c>
      <c r="G33">
        <v>7410</v>
      </c>
      <c r="H33">
        <v>0.1</v>
      </c>
      <c r="I33" s="8" t="s">
        <v>17</v>
      </c>
      <c r="J33" s="8" t="s">
        <v>71</v>
      </c>
      <c r="K33" s="8" t="s">
        <v>25</v>
      </c>
      <c r="L33">
        <v>20007</v>
      </c>
      <c r="M33" s="8" t="s">
        <v>20</v>
      </c>
      <c r="N33">
        <v>20007</v>
      </c>
      <c r="O33" s="8" t="s">
        <v>1701</v>
      </c>
      <c r="P33" s="8" t="s">
        <v>1558</v>
      </c>
      <c r="Q33" s="8" t="s">
        <v>1559</v>
      </c>
      <c r="R33" s="8" t="s">
        <v>138</v>
      </c>
      <c r="S33" s="8" t="s">
        <v>1542</v>
      </c>
      <c r="T33" s="8" t="s">
        <v>1579</v>
      </c>
      <c r="U33" s="8" t="s">
        <v>1580</v>
      </c>
      <c r="V33">
        <v>7800</v>
      </c>
      <c r="W33">
        <v>5200</v>
      </c>
      <c r="X33">
        <v>20007</v>
      </c>
      <c r="Y33">
        <v>4407</v>
      </c>
    </row>
    <row r="34" spans="1:25" x14ac:dyDescent="0.3">
      <c r="A34" s="8" t="s">
        <v>124</v>
      </c>
      <c r="B34" s="14">
        <v>46117</v>
      </c>
      <c r="C34" s="8" t="s">
        <v>125</v>
      </c>
      <c r="D34" s="8" t="s">
        <v>40</v>
      </c>
      <c r="E34" s="8" t="s">
        <v>51</v>
      </c>
      <c r="F34">
        <v>1</v>
      </c>
      <c r="G34">
        <v>18500</v>
      </c>
      <c r="H34">
        <v>0</v>
      </c>
      <c r="I34" s="8" t="s">
        <v>17</v>
      </c>
      <c r="J34" s="8" t="s">
        <v>47</v>
      </c>
      <c r="K34" s="8" t="s">
        <v>41</v>
      </c>
      <c r="L34">
        <v>18500</v>
      </c>
      <c r="M34" s="8" t="s">
        <v>52</v>
      </c>
      <c r="N34">
        <v>18500</v>
      </c>
      <c r="O34" s="8" t="s">
        <v>1701</v>
      </c>
      <c r="P34" s="8" t="s">
        <v>1555</v>
      </c>
      <c r="Q34" s="8" t="s">
        <v>1554</v>
      </c>
      <c r="R34" s="8" t="s">
        <v>82</v>
      </c>
      <c r="S34" s="8" t="s">
        <v>1542</v>
      </c>
      <c r="T34" s="8" t="s">
        <v>1581</v>
      </c>
      <c r="U34" s="8" t="s">
        <v>1580</v>
      </c>
      <c r="V34">
        <v>18500</v>
      </c>
      <c r="W34">
        <v>13900</v>
      </c>
      <c r="X34">
        <v>18500</v>
      </c>
      <c r="Y34">
        <v>4600</v>
      </c>
    </row>
    <row r="35" spans="1:25" x14ac:dyDescent="0.3">
      <c r="A35" s="8" t="s">
        <v>126</v>
      </c>
      <c r="B35" s="14">
        <v>46193</v>
      </c>
      <c r="C35" s="8" t="s">
        <v>127</v>
      </c>
      <c r="D35" s="8" t="s">
        <v>15</v>
      </c>
      <c r="E35" s="8" t="s">
        <v>36</v>
      </c>
      <c r="F35">
        <v>4</v>
      </c>
      <c r="G35">
        <v>1400</v>
      </c>
      <c r="H35">
        <v>0.1</v>
      </c>
      <c r="I35" s="8" t="s">
        <v>116</v>
      </c>
      <c r="J35" s="8" t="s">
        <v>71</v>
      </c>
      <c r="K35" s="8" t="s">
        <v>41</v>
      </c>
      <c r="L35">
        <v>5040</v>
      </c>
      <c r="M35" s="8" t="s">
        <v>32</v>
      </c>
      <c r="N35">
        <v>5040</v>
      </c>
      <c r="O35" s="8" t="s">
        <v>1701</v>
      </c>
      <c r="P35" s="8" t="s">
        <v>1543</v>
      </c>
      <c r="Q35" s="8" t="s">
        <v>1541</v>
      </c>
      <c r="R35" s="8" t="s">
        <v>52</v>
      </c>
      <c r="S35" s="8" t="s">
        <v>1542</v>
      </c>
      <c r="T35" s="8" t="s">
        <v>1577</v>
      </c>
      <c r="U35" s="8" t="s">
        <v>1571</v>
      </c>
      <c r="V35">
        <v>1400</v>
      </c>
      <c r="W35">
        <v>780</v>
      </c>
      <c r="X35">
        <v>0</v>
      </c>
      <c r="Y35">
        <v>-3120</v>
      </c>
    </row>
    <row r="36" spans="1:25" x14ac:dyDescent="0.3">
      <c r="A36" s="8" t="s">
        <v>128</v>
      </c>
      <c r="B36" s="14">
        <v>46029</v>
      </c>
      <c r="C36" s="8" t="s">
        <v>129</v>
      </c>
      <c r="D36" s="8" t="s">
        <v>50</v>
      </c>
      <c r="E36" s="8" t="s">
        <v>85</v>
      </c>
      <c r="F36">
        <v>8</v>
      </c>
      <c r="G36">
        <v>48500</v>
      </c>
      <c r="H36">
        <v>0.1</v>
      </c>
      <c r="I36" s="8" t="s">
        <v>17</v>
      </c>
      <c r="J36" s="8" t="s">
        <v>71</v>
      </c>
      <c r="K36" s="8" t="s">
        <v>1698</v>
      </c>
      <c r="L36">
        <v>349200</v>
      </c>
      <c r="M36" s="8" t="s">
        <v>32</v>
      </c>
      <c r="N36">
        <v>349200</v>
      </c>
      <c r="O36" s="8" t="s">
        <v>1701</v>
      </c>
      <c r="P36" s="8" t="s">
        <v>1544</v>
      </c>
      <c r="Q36" s="8" t="s">
        <v>1541</v>
      </c>
      <c r="R36" s="8" t="s">
        <v>26</v>
      </c>
      <c r="S36" s="8" t="s">
        <v>1542</v>
      </c>
      <c r="T36" s="8" t="s">
        <v>1585</v>
      </c>
      <c r="U36" s="8" t="s">
        <v>1586</v>
      </c>
      <c r="V36">
        <v>48500</v>
      </c>
      <c r="W36">
        <v>41200</v>
      </c>
      <c r="X36">
        <v>349200</v>
      </c>
      <c r="Y36">
        <v>19600</v>
      </c>
    </row>
    <row r="37" spans="1:25" x14ac:dyDescent="0.3">
      <c r="A37" s="8" t="s">
        <v>130</v>
      </c>
      <c r="B37" s="14">
        <v>46032</v>
      </c>
      <c r="C37" s="8" t="s">
        <v>1702</v>
      </c>
      <c r="D37" s="8" t="s">
        <v>90</v>
      </c>
      <c r="E37" s="8" t="s">
        <v>46</v>
      </c>
      <c r="F37">
        <v>1</v>
      </c>
      <c r="G37">
        <v>7800</v>
      </c>
      <c r="H37">
        <v>0.1</v>
      </c>
      <c r="I37" s="8" t="s">
        <v>17</v>
      </c>
      <c r="J37" s="8" t="s">
        <v>31</v>
      </c>
      <c r="K37" s="8" t="s">
        <v>41</v>
      </c>
      <c r="L37">
        <v>7020</v>
      </c>
      <c r="M37" s="8" t="s">
        <v>32</v>
      </c>
      <c r="N37">
        <v>7020</v>
      </c>
      <c r="O37" s="8" t="s">
        <v>1701</v>
      </c>
      <c r="P37" s="8" t="s">
        <v>1562</v>
      </c>
      <c r="Q37" s="8" t="s">
        <v>1563</v>
      </c>
      <c r="R37" s="8" t="s">
        <v>48</v>
      </c>
      <c r="S37" s="8" t="s">
        <v>1542</v>
      </c>
      <c r="T37" s="8" t="s">
        <v>1579</v>
      </c>
      <c r="U37" s="8" t="s">
        <v>1580</v>
      </c>
      <c r="V37">
        <v>7800</v>
      </c>
      <c r="W37">
        <v>5200</v>
      </c>
      <c r="X37">
        <v>7020</v>
      </c>
      <c r="Y37">
        <v>1820</v>
      </c>
    </row>
    <row r="38" spans="1:25" x14ac:dyDescent="0.3">
      <c r="A38" s="8" t="s">
        <v>131</v>
      </c>
      <c r="B38" s="14">
        <v>46107</v>
      </c>
      <c r="C38" s="8" t="s">
        <v>132</v>
      </c>
      <c r="D38" s="8" t="s">
        <v>45</v>
      </c>
      <c r="E38" s="8" t="s">
        <v>63</v>
      </c>
      <c r="F38">
        <v>8</v>
      </c>
      <c r="G38">
        <v>2310</v>
      </c>
      <c r="H38">
        <v>0.05</v>
      </c>
      <c r="I38" s="8" t="s">
        <v>17</v>
      </c>
      <c r="J38" s="8" t="s">
        <v>31</v>
      </c>
      <c r="K38" s="8" t="s">
        <v>1698</v>
      </c>
      <c r="L38">
        <v>17556</v>
      </c>
      <c r="M38" s="8" t="s">
        <v>26</v>
      </c>
      <c r="N38">
        <v>17556</v>
      </c>
      <c r="O38" s="8" t="s">
        <v>1701</v>
      </c>
      <c r="P38" s="8" t="s">
        <v>1547</v>
      </c>
      <c r="Q38" s="8" t="s">
        <v>1541</v>
      </c>
      <c r="R38" s="8" t="s">
        <v>56</v>
      </c>
      <c r="S38" s="8" t="s">
        <v>1542</v>
      </c>
      <c r="T38" s="8" t="s">
        <v>1572</v>
      </c>
      <c r="U38" s="8" t="s">
        <v>1571</v>
      </c>
      <c r="V38">
        <v>2200</v>
      </c>
      <c r="W38">
        <v>1450</v>
      </c>
      <c r="X38">
        <v>17556</v>
      </c>
      <c r="Y38">
        <v>5956</v>
      </c>
    </row>
    <row r="39" spans="1:25" x14ac:dyDescent="0.3">
      <c r="A39" s="8" t="s">
        <v>133</v>
      </c>
      <c r="B39" s="14">
        <v>46068</v>
      </c>
      <c r="C39" s="8" t="s">
        <v>134</v>
      </c>
      <c r="D39" s="8" t="s">
        <v>40</v>
      </c>
      <c r="E39" s="8" t="s">
        <v>135</v>
      </c>
      <c r="F39">
        <v>1</v>
      </c>
      <c r="G39">
        <v>16800</v>
      </c>
      <c r="H39">
        <v>0.15</v>
      </c>
      <c r="I39" s="8" t="s">
        <v>17</v>
      </c>
      <c r="J39" s="8" t="s">
        <v>31</v>
      </c>
      <c r="K39" s="8" t="s">
        <v>55</v>
      </c>
      <c r="L39">
        <v>14280</v>
      </c>
      <c r="M39" s="8" t="s">
        <v>48</v>
      </c>
      <c r="N39">
        <v>14280</v>
      </c>
      <c r="O39" s="8" t="s">
        <v>1701</v>
      </c>
      <c r="P39" s="8" t="s">
        <v>1555</v>
      </c>
      <c r="Q39" s="8" t="s">
        <v>1554</v>
      </c>
      <c r="R39" s="8" t="s">
        <v>82</v>
      </c>
      <c r="S39" s="8" t="s">
        <v>1542</v>
      </c>
      <c r="T39" s="8" t="s">
        <v>1576</v>
      </c>
      <c r="U39" s="8" t="s">
        <v>1575</v>
      </c>
      <c r="V39">
        <v>16800</v>
      </c>
      <c r="W39">
        <v>12600</v>
      </c>
      <c r="X39">
        <v>14280</v>
      </c>
      <c r="Y39">
        <v>1680</v>
      </c>
    </row>
    <row r="40" spans="1:25" x14ac:dyDescent="0.3">
      <c r="A40" s="8" t="s">
        <v>136</v>
      </c>
      <c r="B40" s="14">
        <v>46071</v>
      </c>
      <c r="C40" s="8" t="s">
        <v>137</v>
      </c>
      <c r="D40" s="8" t="s">
        <v>45</v>
      </c>
      <c r="E40" s="8" t="s">
        <v>16</v>
      </c>
      <c r="F40">
        <v>3</v>
      </c>
      <c r="G40">
        <v>650</v>
      </c>
      <c r="H40">
        <v>0</v>
      </c>
      <c r="I40" s="8" t="s">
        <v>17</v>
      </c>
      <c r="J40" s="8" t="s">
        <v>18</v>
      </c>
      <c r="K40" s="8" t="s">
        <v>1698</v>
      </c>
      <c r="L40">
        <v>1950</v>
      </c>
      <c r="M40" s="8" t="s">
        <v>138</v>
      </c>
      <c r="N40">
        <v>1950</v>
      </c>
      <c r="O40" s="8" t="s">
        <v>1701</v>
      </c>
      <c r="P40" s="8" t="s">
        <v>1547</v>
      </c>
      <c r="Q40" s="8" t="s">
        <v>1541</v>
      </c>
      <c r="R40" s="8" t="s">
        <v>56</v>
      </c>
      <c r="S40" s="8" t="s">
        <v>1542</v>
      </c>
      <c r="T40" s="8" t="s">
        <v>1570</v>
      </c>
      <c r="U40" s="8" t="s">
        <v>1571</v>
      </c>
      <c r="V40">
        <v>650</v>
      </c>
      <c r="W40">
        <v>390</v>
      </c>
      <c r="X40">
        <v>1950</v>
      </c>
      <c r="Y40">
        <v>780</v>
      </c>
    </row>
    <row r="41" spans="1:25" x14ac:dyDescent="0.3">
      <c r="A41" s="8" t="s">
        <v>139</v>
      </c>
      <c r="B41" s="14">
        <v>46182</v>
      </c>
      <c r="C41" s="8" t="s">
        <v>140</v>
      </c>
      <c r="D41" s="8" t="s">
        <v>35</v>
      </c>
      <c r="E41" s="8" t="s">
        <v>74</v>
      </c>
      <c r="F41">
        <v>4</v>
      </c>
      <c r="G41">
        <v>2400</v>
      </c>
      <c r="H41">
        <v>0.2</v>
      </c>
      <c r="I41" s="8" t="s">
        <v>80</v>
      </c>
      <c r="J41" s="8" t="s">
        <v>47</v>
      </c>
      <c r="K41" s="8" t="s">
        <v>55</v>
      </c>
      <c r="L41">
        <v>7680</v>
      </c>
      <c r="M41" s="8" t="s">
        <v>26</v>
      </c>
      <c r="N41">
        <v>7680</v>
      </c>
      <c r="O41" s="8" t="s">
        <v>1701</v>
      </c>
      <c r="P41" s="8" t="s">
        <v>1548</v>
      </c>
      <c r="Q41" s="8" t="s">
        <v>1549</v>
      </c>
      <c r="R41" s="8" t="s">
        <v>42</v>
      </c>
      <c r="S41" s="8" t="s">
        <v>1542</v>
      </c>
      <c r="T41" s="8" t="s">
        <v>1584</v>
      </c>
      <c r="U41" s="8" t="s">
        <v>1583</v>
      </c>
      <c r="V41">
        <v>2400</v>
      </c>
      <c r="W41">
        <v>1480</v>
      </c>
      <c r="X41">
        <v>0</v>
      </c>
      <c r="Y41">
        <v>-5920</v>
      </c>
    </row>
    <row r="42" spans="1:25" x14ac:dyDescent="0.3">
      <c r="A42" s="8" t="s">
        <v>141</v>
      </c>
      <c r="B42" s="14">
        <v>46164</v>
      </c>
      <c r="C42" s="8" t="s">
        <v>142</v>
      </c>
      <c r="D42" s="8" t="s">
        <v>50</v>
      </c>
      <c r="E42" s="8" t="s">
        <v>24</v>
      </c>
      <c r="F42">
        <v>2</v>
      </c>
      <c r="G42">
        <v>11200</v>
      </c>
      <c r="H42">
        <v>0.1</v>
      </c>
      <c r="I42" s="8" t="s">
        <v>17</v>
      </c>
      <c r="J42" s="8" t="s">
        <v>18</v>
      </c>
      <c r="K42" s="8" t="s">
        <v>25</v>
      </c>
      <c r="L42">
        <v>20160</v>
      </c>
      <c r="M42" s="8" t="s">
        <v>20</v>
      </c>
      <c r="N42">
        <v>20160</v>
      </c>
      <c r="O42" s="8" t="s">
        <v>1701</v>
      </c>
      <c r="P42" s="8" t="s">
        <v>1544</v>
      </c>
      <c r="Q42" s="8" t="s">
        <v>1541</v>
      </c>
      <c r="R42" s="8" t="s">
        <v>26</v>
      </c>
      <c r="S42" s="8" t="s">
        <v>1542</v>
      </c>
      <c r="T42" s="8" t="s">
        <v>1574</v>
      </c>
      <c r="U42" s="8" t="s">
        <v>1575</v>
      </c>
      <c r="V42">
        <v>11200</v>
      </c>
      <c r="W42">
        <v>8300</v>
      </c>
      <c r="X42">
        <v>20160</v>
      </c>
      <c r="Y42">
        <v>3560</v>
      </c>
    </row>
    <row r="43" spans="1:25" x14ac:dyDescent="0.3">
      <c r="A43" s="8" t="s">
        <v>143</v>
      </c>
      <c r="B43" s="14">
        <v>46100</v>
      </c>
      <c r="C43" s="8" t="s">
        <v>144</v>
      </c>
      <c r="D43" s="8" t="s">
        <v>45</v>
      </c>
      <c r="E43" s="8" t="s">
        <v>24</v>
      </c>
      <c r="F43">
        <v>2</v>
      </c>
      <c r="G43">
        <v>11200</v>
      </c>
      <c r="H43">
        <v>0.15</v>
      </c>
      <c r="I43" s="8" t="s">
        <v>17</v>
      </c>
      <c r="J43" s="8" t="s">
        <v>18</v>
      </c>
      <c r="K43" s="8" t="s">
        <v>55</v>
      </c>
      <c r="L43">
        <v>19040</v>
      </c>
      <c r="M43" s="8" t="s">
        <v>52</v>
      </c>
      <c r="N43">
        <v>19040</v>
      </c>
      <c r="O43" s="8" t="s">
        <v>1701</v>
      </c>
      <c r="P43" s="8" t="s">
        <v>1547</v>
      </c>
      <c r="Q43" s="8" t="s">
        <v>1541</v>
      </c>
      <c r="R43" s="8" t="s">
        <v>56</v>
      </c>
      <c r="S43" s="8" t="s">
        <v>1542</v>
      </c>
      <c r="T43" s="8" t="s">
        <v>1574</v>
      </c>
      <c r="U43" s="8" t="s">
        <v>1575</v>
      </c>
      <c r="V43">
        <v>11200</v>
      </c>
      <c r="W43">
        <v>8300</v>
      </c>
      <c r="X43">
        <v>19040</v>
      </c>
      <c r="Y43">
        <v>2440</v>
      </c>
    </row>
    <row r="44" spans="1:25" x14ac:dyDescent="0.3">
      <c r="A44" s="8" t="s">
        <v>145</v>
      </c>
      <c r="B44" s="14">
        <v>46153</v>
      </c>
      <c r="C44" s="8" t="s">
        <v>146</v>
      </c>
      <c r="D44" s="8" t="s">
        <v>62</v>
      </c>
      <c r="E44" s="8" t="s">
        <v>85</v>
      </c>
      <c r="F44">
        <v>1</v>
      </c>
      <c r="G44">
        <v>48500</v>
      </c>
      <c r="H44">
        <v>0</v>
      </c>
      <c r="I44" s="8" t="s">
        <v>17</v>
      </c>
      <c r="J44" s="8" t="s">
        <v>71</v>
      </c>
      <c r="K44" s="8" t="s">
        <v>67</v>
      </c>
      <c r="L44">
        <v>48500</v>
      </c>
      <c r="M44" s="8" t="s">
        <v>52</v>
      </c>
      <c r="N44">
        <v>48500</v>
      </c>
      <c r="O44" s="8" t="s">
        <v>1701</v>
      </c>
      <c r="P44" s="8" t="s">
        <v>1551</v>
      </c>
      <c r="Q44" s="8" t="s">
        <v>1549</v>
      </c>
      <c r="R44" s="8" t="s">
        <v>1552</v>
      </c>
      <c r="S44" s="8" t="s">
        <v>1542</v>
      </c>
      <c r="T44" s="8" t="s">
        <v>1585</v>
      </c>
      <c r="U44" s="8" t="s">
        <v>1586</v>
      </c>
      <c r="V44">
        <v>48500</v>
      </c>
      <c r="W44">
        <v>41200</v>
      </c>
      <c r="X44">
        <v>48500</v>
      </c>
      <c r="Y44">
        <v>7300</v>
      </c>
    </row>
    <row r="45" spans="1:25" x14ac:dyDescent="0.3">
      <c r="A45" s="8" t="s">
        <v>147</v>
      </c>
      <c r="B45" s="14">
        <v>46073</v>
      </c>
      <c r="C45" s="8" t="s">
        <v>148</v>
      </c>
      <c r="D45" s="8" t="s">
        <v>50</v>
      </c>
      <c r="E45" s="8" t="s">
        <v>16</v>
      </c>
      <c r="F45">
        <v>1</v>
      </c>
      <c r="G45">
        <v>617.5</v>
      </c>
      <c r="H45">
        <v>0.1</v>
      </c>
      <c r="I45" s="8" t="s">
        <v>17</v>
      </c>
      <c r="J45" s="8" t="s">
        <v>18</v>
      </c>
      <c r="K45" s="8" t="s">
        <v>25</v>
      </c>
      <c r="L45">
        <v>555.75</v>
      </c>
      <c r="M45" s="8" t="s">
        <v>52</v>
      </c>
      <c r="N45">
        <v>555.75</v>
      </c>
      <c r="O45" s="8" t="s">
        <v>1701</v>
      </c>
      <c r="P45" s="8" t="s">
        <v>1544</v>
      </c>
      <c r="Q45" s="8" t="s">
        <v>1541</v>
      </c>
      <c r="R45" s="8" t="s">
        <v>26</v>
      </c>
      <c r="S45" s="8" t="s">
        <v>1542</v>
      </c>
      <c r="T45" s="8" t="s">
        <v>1570</v>
      </c>
      <c r="U45" s="8" t="s">
        <v>1571</v>
      </c>
      <c r="V45">
        <v>650</v>
      </c>
      <c r="W45">
        <v>390</v>
      </c>
      <c r="X45">
        <v>555.75</v>
      </c>
      <c r="Y45">
        <v>165.75</v>
      </c>
    </row>
    <row r="46" spans="1:25" x14ac:dyDescent="0.3">
      <c r="A46" s="8" t="s">
        <v>149</v>
      </c>
      <c r="B46" s="14">
        <v>46201</v>
      </c>
      <c r="C46" s="8" t="s">
        <v>150</v>
      </c>
      <c r="D46" s="8" t="s">
        <v>70</v>
      </c>
      <c r="E46" s="8" t="s">
        <v>46</v>
      </c>
      <c r="F46">
        <v>2</v>
      </c>
      <c r="G46">
        <v>7410</v>
      </c>
      <c r="H46">
        <v>0</v>
      </c>
      <c r="I46" s="8" t="s">
        <v>17</v>
      </c>
      <c r="J46" s="8" t="s">
        <v>18</v>
      </c>
      <c r="K46" s="8" t="s">
        <v>41</v>
      </c>
      <c r="L46">
        <v>14820</v>
      </c>
      <c r="M46" s="8" t="s">
        <v>59</v>
      </c>
      <c r="N46">
        <v>14820</v>
      </c>
      <c r="O46" s="8" t="s">
        <v>1701</v>
      </c>
      <c r="P46" s="8" t="s">
        <v>1550</v>
      </c>
      <c r="Q46" s="8" t="s">
        <v>1549</v>
      </c>
      <c r="R46" s="8" t="s">
        <v>32</v>
      </c>
      <c r="S46" s="8" t="s">
        <v>1542</v>
      </c>
      <c r="T46" s="8" t="s">
        <v>1579</v>
      </c>
      <c r="U46" s="8" t="s">
        <v>1580</v>
      </c>
      <c r="V46">
        <v>7800</v>
      </c>
      <c r="W46">
        <v>5200</v>
      </c>
      <c r="X46">
        <v>14820</v>
      </c>
      <c r="Y46">
        <v>4420</v>
      </c>
    </row>
    <row r="47" spans="1:25" x14ac:dyDescent="0.3">
      <c r="A47" s="8" t="s">
        <v>151</v>
      </c>
      <c r="B47" s="14">
        <v>46201</v>
      </c>
      <c r="C47" s="8" t="s">
        <v>148</v>
      </c>
      <c r="D47" s="8" t="s">
        <v>152</v>
      </c>
      <c r="E47" s="8" t="s">
        <v>46</v>
      </c>
      <c r="F47">
        <v>1</v>
      </c>
      <c r="G47">
        <v>7410</v>
      </c>
      <c r="I47" s="8" t="s">
        <v>80</v>
      </c>
      <c r="J47" s="8" t="s">
        <v>71</v>
      </c>
      <c r="K47" s="8" t="s">
        <v>55</v>
      </c>
      <c r="L47">
        <v>7410</v>
      </c>
      <c r="M47" s="8" t="s">
        <v>82</v>
      </c>
      <c r="O47" s="8" t="s">
        <v>1703</v>
      </c>
      <c r="P47" s="8" t="s">
        <v>1553</v>
      </c>
      <c r="Q47" s="8" t="s">
        <v>1554</v>
      </c>
      <c r="R47" s="8" t="s">
        <v>59</v>
      </c>
      <c r="S47" s="8" t="s">
        <v>1542</v>
      </c>
      <c r="T47" s="8" t="s">
        <v>1579</v>
      </c>
      <c r="U47" s="8" t="s">
        <v>1580</v>
      </c>
      <c r="V47">
        <v>7800</v>
      </c>
      <c r="W47">
        <v>5200</v>
      </c>
      <c r="X47">
        <v>0</v>
      </c>
      <c r="Y47">
        <v>-5200</v>
      </c>
    </row>
    <row r="48" spans="1:25" x14ac:dyDescent="0.3">
      <c r="A48" s="8" t="s">
        <v>153</v>
      </c>
      <c r="B48" s="14">
        <v>46166</v>
      </c>
      <c r="C48" s="8" t="s">
        <v>154</v>
      </c>
      <c r="D48" s="8" t="s">
        <v>40</v>
      </c>
      <c r="E48" s="8" t="s">
        <v>36</v>
      </c>
      <c r="F48">
        <v>8</v>
      </c>
      <c r="G48">
        <v>1470</v>
      </c>
      <c r="H48">
        <v>0.1</v>
      </c>
      <c r="I48" s="8" t="s">
        <v>17</v>
      </c>
      <c r="J48" s="8" t="s">
        <v>71</v>
      </c>
      <c r="K48" s="8" t="s">
        <v>55</v>
      </c>
      <c r="L48">
        <v>10584</v>
      </c>
      <c r="M48" s="8" t="s">
        <v>56</v>
      </c>
      <c r="N48">
        <v>10584</v>
      </c>
      <c r="O48" s="8" t="s">
        <v>1701</v>
      </c>
      <c r="P48" s="8" t="s">
        <v>1555</v>
      </c>
      <c r="Q48" s="8" t="s">
        <v>1554</v>
      </c>
      <c r="R48" s="8" t="s">
        <v>82</v>
      </c>
      <c r="S48" s="8" t="s">
        <v>1542</v>
      </c>
      <c r="T48" s="8" t="s">
        <v>1577</v>
      </c>
      <c r="U48" s="8" t="s">
        <v>1571</v>
      </c>
      <c r="V48">
        <v>1400</v>
      </c>
      <c r="W48">
        <v>780</v>
      </c>
      <c r="X48">
        <v>10584</v>
      </c>
      <c r="Y48">
        <v>4344</v>
      </c>
    </row>
    <row r="49" spans="1:25" x14ac:dyDescent="0.3">
      <c r="A49" s="8" t="s">
        <v>155</v>
      </c>
      <c r="B49" s="14">
        <v>46089</v>
      </c>
      <c r="C49" s="8" t="s">
        <v>156</v>
      </c>
      <c r="D49" s="8" t="s">
        <v>29</v>
      </c>
      <c r="E49" s="8" t="s">
        <v>24</v>
      </c>
      <c r="F49">
        <v>4</v>
      </c>
      <c r="G49">
        <v>11760</v>
      </c>
      <c r="H49">
        <v>0.05</v>
      </c>
      <c r="I49" s="8" t="s">
        <v>17</v>
      </c>
      <c r="J49" s="8" t="s">
        <v>47</v>
      </c>
      <c r="K49" s="8" t="s">
        <v>55</v>
      </c>
      <c r="L49">
        <v>44688</v>
      </c>
      <c r="M49" s="8" t="s">
        <v>42</v>
      </c>
      <c r="N49">
        <v>44688</v>
      </c>
      <c r="O49" s="8" t="s">
        <v>1701</v>
      </c>
      <c r="P49" s="8" t="s">
        <v>1560</v>
      </c>
      <c r="Q49" s="8" t="s">
        <v>1559</v>
      </c>
      <c r="R49" s="8" t="s">
        <v>1561</v>
      </c>
      <c r="S49" s="8" t="s">
        <v>1542</v>
      </c>
      <c r="T49" s="8" t="s">
        <v>1574</v>
      </c>
      <c r="U49" s="8" t="s">
        <v>1575</v>
      </c>
      <c r="V49">
        <v>11200</v>
      </c>
      <c r="W49">
        <v>8300</v>
      </c>
      <c r="X49">
        <v>44688</v>
      </c>
      <c r="Y49">
        <v>11488</v>
      </c>
    </row>
    <row r="50" spans="1:25" x14ac:dyDescent="0.3">
      <c r="A50" s="8" t="s">
        <v>157</v>
      </c>
      <c r="B50" s="14">
        <v>46096</v>
      </c>
      <c r="C50" s="8" t="s">
        <v>158</v>
      </c>
      <c r="D50" s="8" t="s">
        <v>23</v>
      </c>
      <c r="E50" s="8" t="s">
        <v>135</v>
      </c>
      <c r="F50">
        <v>2</v>
      </c>
      <c r="G50">
        <v>16800</v>
      </c>
      <c r="H50">
        <v>0.15</v>
      </c>
      <c r="I50" s="8" t="s">
        <v>17</v>
      </c>
      <c r="J50" s="8" t="s">
        <v>18</v>
      </c>
      <c r="K50" s="8" t="s">
        <v>41</v>
      </c>
      <c r="L50">
        <v>28560</v>
      </c>
      <c r="M50" s="8" t="s">
        <v>52</v>
      </c>
      <c r="N50">
        <v>28560</v>
      </c>
      <c r="O50" s="8" t="s">
        <v>1701</v>
      </c>
      <c r="P50" s="8" t="s">
        <v>1545</v>
      </c>
      <c r="Q50" s="8" t="s">
        <v>1541</v>
      </c>
      <c r="R50" s="8" t="s">
        <v>1546</v>
      </c>
      <c r="S50" s="8" t="s">
        <v>1542</v>
      </c>
      <c r="T50" s="8" t="s">
        <v>1576</v>
      </c>
      <c r="U50" s="8" t="s">
        <v>1575</v>
      </c>
      <c r="V50">
        <v>16800</v>
      </c>
      <c r="W50">
        <v>12600</v>
      </c>
      <c r="X50">
        <v>28560</v>
      </c>
      <c r="Y50">
        <v>3360</v>
      </c>
    </row>
    <row r="51" spans="1:25" x14ac:dyDescent="0.3">
      <c r="A51" s="8" t="s">
        <v>159</v>
      </c>
      <c r="B51" s="14">
        <v>46039</v>
      </c>
      <c r="C51" s="8" t="s">
        <v>160</v>
      </c>
      <c r="D51" s="8" t="s">
        <v>70</v>
      </c>
      <c r="E51" s="8" t="s">
        <v>161</v>
      </c>
      <c r="F51">
        <v>2</v>
      </c>
      <c r="G51">
        <v>2600</v>
      </c>
      <c r="H51">
        <v>0.1</v>
      </c>
      <c r="I51" s="8" t="s">
        <v>17</v>
      </c>
      <c r="J51" s="8" t="s">
        <v>18</v>
      </c>
      <c r="K51" s="8" t="s">
        <v>25</v>
      </c>
      <c r="L51">
        <v>4680</v>
      </c>
      <c r="M51" s="8" t="s">
        <v>20</v>
      </c>
      <c r="N51">
        <v>4680</v>
      </c>
      <c r="O51" s="8" t="s">
        <v>1701</v>
      </c>
      <c r="P51" s="8" t="s">
        <v>1550</v>
      </c>
      <c r="Q51" s="8" t="s">
        <v>1549</v>
      </c>
      <c r="R51" s="8" t="s">
        <v>32</v>
      </c>
      <c r="S51" s="8" t="s">
        <v>1542</v>
      </c>
      <c r="T51" s="8" t="s">
        <v>1578</v>
      </c>
      <c r="U51" s="8" t="s">
        <v>1571</v>
      </c>
      <c r="V51">
        <v>2600</v>
      </c>
      <c r="W51">
        <v>1750</v>
      </c>
      <c r="X51">
        <v>4680</v>
      </c>
      <c r="Y51">
        <v>1180</v>
      </c>
    </row>
    <row r="52" spans="1:25" x14ac:dyDescent="0.3">
      <c r="A52" s="8" t="s">
        <v>162</v>
      </c>
      <c r="B52" s="14">
        <v>46170</v>
      </c>
      <c r="C52" s="8" t="s">
        <v>163</v>
      </c>
      <c r="D52" s="8" t="s">
        <v>70</v>
      </c>
      <c r="E52" s="8" t="s">
        <v>46</v>
      </c>
      <c r="F52">
        <v>1</v>
      </c>
      <c r="G52">
        <v>8190</v>
      </c>
      <c r="H52">
        <v>0.05</v>
      </c>
      <c r="I52" s="8" t="s">
        <v>17</v>
      </c>
      <c r="J52" s="8" t="s">
        <v>71</v>
      </c>
      <c r="K52" s="8" t="s">
        <v>55</v>
      </c>
      <c r="L52">
        <v>7780.5</v>
      </c>
      <c r="M52" s="8" t="s">
        <v>52</v>
      </c>
      <c r="N52">
        <v>7780.5</v>
      </c>
      <c r="O52" s="8" t="s">
        <v>1701</v>
      </c>
      <c r="P52" s="8" t="s">
        <v>1550</v>
      </c>
      <c r="Q52" s="8" t="s">
        <v>1549</v>
      </c>
      <c r="R52" s="8" t="s">
        <v>32</v>
      </c>
      <c r="S52" s="8" t="s">
        <v>1542</v>
      </c>
      <c r="T52" s="8" t="s">
        <v>1579</v>
      </c>
      <c r="U52" s="8" t="s">
        <v>1580</v>
      </c>
      <c r="V52">
        <v>7800</v>
      </c>
      <c r="W52">
        <v>5200</v>
      </c>
      <c r="X52">
        <v>7780.5</v>
      </c>
      <c r="Y52">
        <v>2580.5</v>
      </c>
    </row>
    <row r="53" spans="1:25" x14ac:dyDescent="0.3">
      <c r="A53" s="8" t="s">
        <v>164</v>
      </c>
      <c r="B53" s="14">
        <v>46092</v>
      </c>
      <c r="C53" s="8" t="s">
        <v>165</v>
      </c>
      <c r="D53" s="8" t="s">
        <v>70</v>
      </c>
      <c r="E53" s="8" t="s">
        <v>46</v>
      </c>
      <c r="F53">
        <v>1</v>
      </c>
      <c r="G53">
        <v>8190</v>
      </c>
      <c r="H53">
        <v>0.05</v>
      </c>
      <c r="I53" s="8" t="s">
        <v>17</v>
      </c>
      <c r="J53" s="8" t="s">
        <v>18</v>
      </c>
      <c r="K53" s="8" t="s">
        <v>41</v>
      </c>
      <c r="L53">
        <v>7780.5</v>
      </c>
      <c r="M53" s="8" t="s">
        <v>48</v>
      </c>
      <c r="N53">
        <v>7780.5</v>
      </c>
      <c r="O53" s="8" t="s">
        <v>1701</v>
      </c>
      <c r="P53" s="8" t="s">
        <v>1550</v>
      </c>
      <c r="Q53" s="8" t="s">
        <v>1549</v>
      </c>
      <c r="R53" s="8" t="s">
        <v>32</v>
      </c>
      <c r="S53" s="8" t="s">
        <v>1542</v>
      </c>
      <c r="T53" s="8" t="s">
        <v>1579</v>
      </c>
      <c r="U53" s="8" t="s">
        <v>1580</v>
      </c>
      <c r="V53">
        <v>7800</v>
      </c>
      <c r="W53">
        <v>5200</v>
      </c>
      <c r="X53">
        <v>7780.5</v>
      </c>
      <c r="Y53">
        <v>2580.5</v>
      </c>
    </row>
    <row r="54" spans="1:25" x14ac:dyDescent="0.3">
      <c r="A54" s="8" t="s">
        <v>166</v>
      </c>
      <c r="B54" s="14">
        <v>46159</v>
      </c>
      <c r="C54" s="8" t="s">
        <v>167</v>
      </c>
      <c r="D54" s="8" t="s">
        <v>168</v>
      </c>
      <c r="E54" s="8" t="s">
        <v>161</v>
      </c>
      <c r="F54">
        <v>3</v>
      </c>
      <c r="G54">
        <v>2730</v>
      </c>
      <c r="H54">
        <v>0.2</v>
      </c>
      <c r="I54" s="8" t="s">
        <v>17</v>
      </c>
      <c r="J54" s="8" t="s">
        <v>18</v>
      </c>
      <c r="K54" s="8" t="s">
        <v>41</v>
      </c>
      <c r="L54">
        <v>6552</v>
      </c>
      <c r="M54" s="8" t="s">
        <v>20</v>
      </c>
      <c r="N54">
        <v>6552</v>
      </c>
      <c r="O54" s="8" t="s">
        <v>1701</v>
      </c>
      <c r="P54" s="8" t="s">
        <v>1540</v>
      </c>
      <c r="Q54" s="8" t="s">
        <v>1541</v>
      </c>
      <c r="R54" s="8" t="s">
        <v>20</v>
      </c>
      <c r="S54" s="8" t="s">
        <v>1542</v>
      </c>
      <c r="T54" s="8" t="s">
        <v>1578</v>
      </c>
      <c r="U54" s="8" t="s">
        <v>1571</v>
      </c>
      <c r="V54">
        <v>2600</v>
      </c>
      <c r="W54">
        <v>1750</v>
      </c>
      <c r="X54">
        <v>6552</v>
      </c>
      <c r="Y54">
        <v>1302</v>
      </c>
    </row>
    <row r="55" spans="1:25" x14ac:dyDescent="0.3">
      <c r="A55" s="8" t="s">
        <v>169</v>
      </c>
      <c r="B55" s="14">
        <v>46089</v>
      </c>
      <c r="C55" s="8" t="s">
        <v>170</v>
      </c>
      <c r="D55" s="8" t="s">
        <v>70</v>
      </c>
      <c r="E55" s="8" t="s">
        <v>36</v>
      </c>
      <c r="F55">
        <v>1</v>
      </c>
      <c r="G55">
        <v>1470</v>
      </c>
      <c r="H55">
        <v>0.05</v>
      </c>
      <c r="I55" s="8" t="s">
        <v>17</v>
      </c>
      <c r="J55" s="8" t="s">
        <v>18</v>
      </c>
      <c r="K55" s="8" t="s">
        <v>67</v>
      </c>
      <c r="L55">
        <v>1396.5</v>
      </c>
      <c r="M55" s="8" t="s">
        <v>42</v>
      </c>
      <c r="N55">
        <v>1396.5</v>
      </c>
      <c r="O55" s="8" t="s">
        <v>1701</v>
      </c>
      <c r="P55" s="8" t="s">
        <v>1550</v>
      </c>
      <c r="Q55" s="8" t="s">
        <v>1549</v>
      </c>
      <c r="R55" s="8" t="s">
        <v>32</v>
      </c>
      <c r="S55" s="8" t="s">
        <v>1542</v>
      </c>
      <c r="T55" s="8" t="s">
        <v>1577</v>
      </c>
      <c r="U55" s="8" t="s">
        <v>1571</v>
      </c>
      <c r="V55">
        <v>1400</v>
      </c>
      <c r="W55">
        <v>780</v>
      </c>
      <c r="X55">
        <v>1396.5</v>
      </c>
      <c r="Y55">
        <v>616.5</v>
      </c>
    </row>
    <row r="56" spans="1:25" x14ac:dyDescent="0.3">
      <c r="A56" s="8" t="s">
        <v>171</v>
      </c>
      <c r="B56" s="14">
        <v>46143</v>
      </c>
      <c r="C56" s="8" t="s">
        <v>125</v>
      </c>
      <c r="D56" s="8" t="s">
        <v>168</v>
      </c>
      <c r="E56" s="8" t="s">
        <v>85</v>
      </c>
      <c r="F56">
        <v>2</v>
      </c>
      <c r="G56">
        <v>46075</v>
      </c>
      <c r="H56">
        <v>0.05</v>
      </c>
      <c r="I56" s="8" t="s">
        <v>17</v>
      </c>
      <c r="J56" s="8" t="s">
        <v>31</v>
      </c>
      <c r="K56" s="8" t="s">
        <v>41</v>
      </c>
      <c r="L56">
        <v>87542.5</v>
      </c>
      <c r="M56" s="8" t="s">
        <v>52</v>
      </c>
      <c r="N56">
        <v>87542.5</v>
      </c>
      <c r="O56" s="8" t="s">
        <v>1701</v>
      </c>
      <c r="P56" s="8" t="s">
        <v>1540</v>
      </c>
      <c r="Q56" s="8" t="s">
        <v>1541</v>
      </c>
      <c r="R56" s="8" t="s">
        <v>20</v>
      </c>
      <c r="S56" s="8" t="s">
        <v>1542</v>
      </c>
      <c r="T56" s="8" t="s">
        <v>1585</v>
      </c>
      <c r="U56" s="8" t="s">
        <v>1586</v>
      </c>
      <c r="V56">
        <v>48500</v>
      </c>
      <c r="W56">
        <v>41200</v>
      </c>
      <c r="X56">
        <v>87542.5</v>
      </c>
      <c r="Y56">
        <v>5142.5</v>
      </c>
    </row>
    <row r="57" spans="1:25" x14ac:dyDescent="0.3">
      <c r="A57" s="8" t="s">
        <v>172</v>
      </c>
      <c r="B57" s="14">
        <v>46028</v>
      </c>
      <c r="C57" s="8" t="s">
        <v>144</v>
      </c>
      <c r="D57" s="8" t="s">
        <v>40</v>
      </c>
      <c r="E57" s="8" t="s">
        <v>30</v>
      </c>
      <c r="F57">
        <v>1</v>
      </c>
      <c r="G57">
        <v>1800</v>
      </c>
      <c r="H57">
        <v>0.1</v>
      </c>
      <c r="I57" s="8" t="s">
        <v>17</v>
      </c>
      <c r="J57" s="8" t="s">
        <v>47</v>
      </c>
      <c r="K57" s="8" t="s">
        <v>67</v>
      </c>
      <c r="L57">
        <v>1620</v>
      </c>
      <c r="M57" s="8" t="s">
        <v>59</v>
      </c>
      <c r="N57">
        <v>1620</v>
      </c>
      <c r="O57" s="8" t="s">
        <v>1701</v>
      </c>
      <c r="P57" s="8" t="s">
        <v>1555</v>
      </c>
      <c r="Q57" s="8" t="s">
        <v>1554</v>
      </c>
      <c r="R57" s="8" t="s">
        <v>82</v>
      </c>
      <c r="S57" s="8" t="s">
        <v>1542</v>
      </c>
      <c r="T57" s="8" t="s">
        <v>1573</v>
      </c>
      <c r="U57" s="8" t="s">
        <v>1571</v>
      </c>
      <c r="V57">
        <v>1800</v>
      </c>
      <c r="W57">
        <v>1120</v>
      </c>
      <c r="X57">
        <v>1620</v>
      </c>
      <c r="Y57">
        <v>500</v>
      </c>
    </row>
    <row r="58" spans="1:25" x14ac:dyDescent="0.3">
      <c r="A58" s="8" t="s">
        <v>174</v>
      </c>
      <c r="B58" s="14">
        <v>46178</v>
      </c>
      <c r="C58" s="8" t="s">
        <v>175</v>
      </c>
      <c r="D58" s="8" t="s">
        <v>40</v>
      </c>
      <c r="E58" s="8" t="s">
        <v>85</v>
      </c>
      <c r="F58">
        <v>3</v>
      </c>
      <c r="G58">
        <v>46075</v>
      </c>
      <c r="H58">
        <v>0</v>
      </c>
      <c r="I58" s="8" t="s">
        <v>116</v>
      </c>
      <c r="J58" s="8" t="s">
        <v>47</v>
      </c>
      <c r="K58" s="8" t="s">
        <v>25</v>
      </c>
      <c r="L58">
        <v>138225</v>
      </c>
      <c r="M58" s="8" t="s">
        <v>32</v>
      </c>
      <c r="N58">
        <v>138225</v>
      </c>
      <c r="O58" s="8" t="s">
        <v>1701</v>
      </c>
      <c r="P58" s="8" t="s">
        <v>1555</v>
      </c>
      <c r="Q58" s="8" t="s">
        <v>1554</v>
      </c>
      <c r="R58" s="8" t="s">
        <v>82</v>
      </c>
      <c r="S58" s="8" t="s">
        <v>1542</v>
      </c>
      <c r="T58" s="8" t="s">
        <v>1585</v>
      </c>
      <c r="U58" s="8" t="s">
        <v>1586</v>
      </c>
      <c r="V58">
        <v>48500</v>
      </c>
      <c r="W58">
        <v>41200</v>
      </c>
      <c r="X58">
        <v>0</v>
      </c>
      <c r="Y58">
        <v>-123600</v>
      </c>
    </row>
    <row r="59" spans="1:25" x14ac:dyDescent="0.3">
      <c r="A59" s="8" t="s">
        <v>176</v>
      </c>
      <c r="B59" s="14">
        <v>46124</v>
      </c>
      <c r="C59" s="8" t="s">
        <v>177</v>
      </c>
      <c r="D59" s="8" t="s">
        <v>123</v>
      </c>
      <c r="E59" s="8" t="s">
        <v>24</v>
      </c>
      <c r="F59">
        <v>1</v>
      </c>
      <c r="G59">
        <v>11200</v>
      </c>
      <c r="H59">
        <v>0.2</v>
      </c>
      <c r="I59" s="8" t="s">
        <v>66</v>
      </c>
      <c r="J59" s="8" t="s">
        <v>47</v>
      </c>
      <c r="K59" s="8" t="s">
        <v>25</v>
      </c>
      <c r="L59">
        <v>8960</v>
      </c>
      <c r="M59" s="8" t="s">
        <v>42</v>
      </c>
      <c r="N59">
        <v>8960</v>
      </c>
      <c r="O59" s="8" t="s">
        <v>1701</v>
      </c>
      <c r="P59" s="8" t="s">
        <v>1558</v>
      </c>
      <c r="Q59" s="8" t="s">
        <v>1559</v>
      </c>
      <c r="R59" s="8" t="s">
        <v>138</v>
      </c>
      <c r="S59" s="8" t="s">
        <v>1542</v>
      </c>
      <c r="T59" s="8" t="s">
        <v>1574</v>
      </c>
      <c r="U59" s="8" t="s">
        <v>1575</v>
      </c>
      <c r="V59">
        <v>11200</v>
      </c>
      <c r="W59">
        <v>8300</v>
      </c>
      <c r="X59">
        <v>0</v>
      </c>
      <c r="Y59">
        <v>-8300</v>
      </c>
    </row>
    <row r="60" spans="1:25" x14ac:dyDescent="0.3">
      <c r="A60" s="8" t="s">
        <v>178</v>
      </c>
      <c r="B60" s="14">
        <v>46167</v>
      </c>
      <c r="C60" s="8" t="s">
        <v>179</v>
      </c>
      <c r="D60" s="8" t="s">
        <v>29</v>
      </c>
      <c r="E60" s="8" t="s">
        <v>16</v>
      </c>
      <c r="F60">
        <v>2</v>
      </c>
      <c r="G60">
        <v>617.5</v>
      </c>
      <c r="H60">
        <v>0.1</v>
      </c>
      <c r="I60" s="8" t="s">
        <v>17</v>
      </c>
      <c r="J60" s="8" t="s">
        <v>47</v>
      </c>
      <c r="K60" s="8" t="s">
        <v>1698</v>
      </c>
      <c r="L60">
        <v>1111.5</v>
      </c>
      <c r="M60" s="8" t="s">
        <v>32</v>
      </c>
      <c r="N60">
        <v>1111.5</v>
      </c>
      <c r="O60" s="8" t="s">
        <v>1701</v>
      </c>
      <c r="P60" s="8" t="s">
        <v>1560</v>
      </c>
      <c r="Q60" s="8" t="s">
        <v>1559</v>
      </c>
      <c r="R60" s="8" t="s">
        <v>1561</v>
      </c>
      <c r="S60" s="8" t="s">
        <v>1542</v>
      </c>
      <c r="T60" s="8" t="s">
        <v>1570</v>
      </c>
      <c r="U60" s="8" t="s">
        <v>1571</v>
      </c>
      <c r="V60">
        <v>650</v>
      </c>
      <c r="W60">
        <v>390</v>
      </c>
      <c r="X60">
        <v>1111.5</v>
      </c>
      <c r="Y60">
        <v>331.5</v>
      </c>
    </row>
    <row r="61" spans="1:25" x14ac:dyDescent="0.3">
      <c r="A61" s="8" t="s">
        <v>180</v>
      </c>
      <c r="B61" s="14">
        <v>46148</v>
      </c>
      <c r="C61" s="8" t="s">
        <v>181</v>
      </c>
      <c r="D61" s="8" t="s">
        <v>15</v>
      </c>
      <c r="E61" s="8" t="s">
        <v>161</v>
      </c>
      <c r="F61">
        <v>8</v>
      </c>
      <c r="G61">
        <v>2730</v>
      </c>
      <c r="H61">
        <v>0.2</v>
      </c>
      <c r="I61" s="8" t="s">
        <v>66</v>
      </c>
      <c r="J61" s="8" t="s">
        <v>18</v>
      </c>
      <c r="K61" s="8" t="s">
        <v>41</v>
      </c>
      <c r="L61">
        <v>17472</v>
      </c>
      <c r="M61" s="8" t="s">
        <v>82</v>
      </c>
      <c r="N61">
        <v>17472</v>
      </c>
      <c r="O61" s="8" t="s">
        <v>1701</v>
      </c>
      <c r="P61" s="8" t="s">
        <v>1543</v>
      </c>
      <c r="Q61" s="8" t="s">
        <v>1541</v>
      </c>
      <c r="R61" s="8" t="s">
        <v>52</v>
      </c>
      <c r="S61" s="8" t="s">
        <v>1542</v>
      </c>
      <c r="T61" s="8" t="s">
        <v>1578</v>
      </c>
      <c r="U61" s="8" t="s">
        <v>1571</v>
      </c>
      <c r="V61">
        <v>2600</v>
      </c>
      <c r="W61">
        <v>1750</v>
      </c>
      <c r="X61">
        <v>0</v>
      </c>
      <c r="Y61">
        <v>-14000</v>
      </c>
    </row>
    <row r="62" spans="1:25" x14ac:dyDescent="0.3">
      <c r="A62" s="8" t="s">
        <v>182</v>
      </c>
      <c r="B62" s="14">
        <v>46189</v>
      </c>
      <c r="C62" s="8" t="s">
        <v>134</v>
      </c>
      <c r="D62" s="8" t="s">
        <v>45</v>
      </c>
      <c r="E62" s="8" t="s">
        <v>183</v>
      </c>
      <c r="F62">
        <v>4</v>
      </c>
      <c r="G62">
        <v>3360</v>
      </c>
      <c r="H62">
        <v>0.15</v>
      </c>
      <c r="I62" s="8" t="s">
        <v>17</v>
      </c>
      <c r="J62" s="8" t="s">
        <v>47</v>
      </c>
      <c r="K62" s="8" t="s">
        <v>67</v>
      </c>
      <c r="L62">
        <v>11424</v>
      </c>
      <c r="M62" s="8" t="s">
        <v>52</v>
      </c>
      <c r="N62">
        <v>11424</v>
      </c>
      <c r="O62" s="8" t="s">
        <v>1701</v>
      </c>
      <c r="P62" s="8" t="s">
        <v>1547</v>
      </c>
      <c r="Q62" s="8" t="s">
        <v>1541</v>
      </c>
      <c r="R62" s="8" t="s">
        <v>56</v>
      </c>
      <c r="S62" s="8" t="s">
        <v>1542</v>
      </c>
      <c r="T62" s="8" t="s">
        <v>1582</v>
      </c>
      <c r="U62" s="8" t="s">
        <v>1583</v>
      </c>
      <c r="V62">
        <v>3200</v>
      </c>
      <c r="W62">
        <v>2050</v>
      </c>
      <c r="X62">
        <v>11424</v>
      </c>
      <c r="Y62">
        <v>3224</v>
      </c>
    </row>
    <row r="63" spans="1:25" x14ac:dyDescent="0.3">
      <c r="A63" s="8" t="s">
        <v>184</v>
      </c>
      <c r="B63" s="14">
        <v>46045</v>
      </c>
      <c r="C63" s="8" t="s">
        <v>28</v>
      </c>
      <c r="D63" s="8" t="s">
        <v>45</v>
      </c>
      <c r="E63" s="8" t="s">
        <v>46</v>
      </c>
      <c r="F63">
        <v>1</v>
      </c>
      <c r="G63">
        <v>8190</v>
      </c>
      <c r="H63">
        <v>0.1</v>
      </c>
      <c r="I63" s="8" t="s">
        <v>17</v>
      </c>
      <c r="J63" s="8" t="s">
        <v>31</v>
      </c>
      <c r="K63" s="8" t="s">
        <v>55</v>
      </c>
      <c r="L63">
        <v>7371</v>
      </c>
      <c r="M63" s="8" t="s">
        <v>138</v>
      </c>
      <c r="N63">
        <v>7371</v>
      </c>
      <c r="O63" s="8" t="s">
        <v>1701</v>
      </c>
      <c r="P63" s="8" t="s">
        <v>1547</v>
      </c>
      <c r="Q63" s="8" t="s">
        <v>1541</v>
      </c>
      <c r="R63" s="8" t="s">
        <v>56</v>
      </c>
      <c r="S63" s="8" t="s">
        <v>1542</v>
      </c>
      <c r="T63" s="8" t="s">
        <v>1579</v>
      </c>
      <c r="U63" s="8" t="s">
        <v>1580</v>
      </c>
      <c r="V63">
        <v>7800</v>
      </c>
      <c r="W63">
        <v>5200</v>
      </c>
      <c r="X63">
        <v>7371</v>
      </c>
      <c r="Y63">
        <v>2171</v>
      </c>
    </row>
    <row r="64" spans="1:25" x14ac:dyDescent="0.3">
      <c r="A64" s="8" t="s">
        <v>185</v>
      </c>
      <c r="B64" s="14">
        <v>46069</v>
      </c>
      <c r="C64" s="8" t="s">
        <v>186</v>
      </c>
      <c r="D64" s="8" t="s">
        <v>62</v>
      </c>
      <c r="E64" s="8" t="s">
        <v>24</v>
      </c>
      <c r="F64">
        <v>2</v>
      </c>
      <c r="G64">
        <v>11200</v>
      </c>
      <c r="H64">
        <v>0.05</v>
      </c>
      <c r="I64" s="8" t="s">
        <v>17</v>
      </c>
      <c r="J64" s="8" t="s">
        <v>71</v>
      </c>
      <c r="K64" s="8" t="s">
        <v>1698</v>
      </c>
      <c r="L64">
        <v>21280</v>
      </c>
      <c r="M64" s="8" t="s">
        <v>52</v>
      </c>
      <c r="N64">
        <v>21280</v>
      </c>
      <c r="O64" s="8" t="s">
        <v>1701</v>
      </c>
      <c r="P64" s="8" t="s">
        <v>1551</v>
      </c>
      <c r="Q64" s="8" t="s">
        <v>1549</v>
      </c>
      <c r="R64" s="8" t="s">
        <v>1552</v>
      </c>
      <c r="S64" s="8" t="s">
        <v>1542</v>
      </c>
      <c r="T64" s="8" t="s">
        <v>1574</v>
      </c>
      <c r="U64" s="8" t="s">
        <v>1575</v>
      </c>
      <c r="V64">
        <v>11200</v>
      </c>
      <c r="W64">
        <v>8300</v>
      </c>
      <c r="X64">
        <v>21280</v>
      </c>
      <c r="Y64">
        <v>4680</v>
      </c>
    </row>
    <row r="65" spans="1:25" x14ac:dyDescent="0.3">
      <c r="A65" s="8" t="s">
        <v>187</v>
      </c>
      <c r="B65" s="14">
        <v>46127</v>
      </c>
      <c r="C65" s="8" t="s">
        <v>188</v>
      </c>
      <c r="D65" s="8" t="s">
        <v>62</v>
      </c>
      <c r="E65" s="8" t="s">
        <v>51</v>
      </c>
      <c r="F65">
        <v>4</v>
      </c>
      <c r="G65">
        <v>19425</v>
      </c>
      <c r="H65">
        <v>0.2</v>
      </c>
      <c r="I65" s="8" t="s">
        <v>17</v>
      </c>
      <c r="J65" s="8" t="s">
        <v>31</v>
      </c>
      <c r="K65" s="8" t="s">
        <v>1698</v>
      </c>
      <c r="L65">
        <v>62160</v>
      </c>
      <c r="M65" s="8" t="s">
        <v>26</v>
      </c>
      <c r="N65">
        <v>62160</v>
      </c>
      <c r="O65" s="8" t="s">
        <v>1701</v>
      </c>
      <c r="P65" s="8" t="s">
        <v>1551</v>
      </c>
      <c r="Q65" s="8" t="s">
        <v>1549</v>
      </c>
      <c r="R65" s="8" t="s">
        <v>1552</v>
      </c>
      <c r="S65" s="8" t="s">
        <v>1542</v>
      </c>
      <c r="T65" s="8" t="s">
        <v>1581</v>
      </c>
      <c r="U65" s="8" t="s">
        <v>1580</v>
      </c>
      <c r="V65">
        <v>18500</v>
      </c>
      <c r="W65">
        <v>13900</v>
      </c>
      <c r="X65">
        <v>62160</v>
      </c>
      <c r="Y65">
        <v>6560</v>
      </c>
    </row>
    <row r="66" spans="1:25" x14ac:dyDescent="0.3">
      <c r="A66" s="8" t="s">
        <v>189</v>
      </c>
      <c r="B66" s="14">
        <v>46079</v>
      </c>
      <c r="C66" s="8" t="s">
        <v>190</v>
      </c>
      <c r="D66" s="8" t="s">
        <v>70</v>
      </c>
      <c r="E66" s="8" t="s">
        <v>85</v>
      </c>
      <c r="F66">
        <v>1</v>
      </c>
      <c r="G66">
        <v>50925</v>
      </c>
      <c r="H66">
        <v>0.2</v>
      </c>
      <c r="I66" s="8" t="s">
        <v>17</v>
      </c>
      <c r="J66" s="8" t="s">
        <v>18</v>
      </c>
      <c r="K66" s="8" t="s">
        <v>25</v>
      </c>
      <c r="L66">
        <v>40740</v>
      </c>
      <c r="M66" s="8" t="s">
        <v>138</v>
      </c>
      <c r="N66">
        <v>40740</v>
      </c>
      <c r="O66" s="8" t="s">
        <v>1701</v>
      </c>
      <c r="P66" s="8" t="s">
        <v>1550</v>
      </c>
      <c r="Q66" s="8" t="s">
        <v>1549</v>
      </c>
      <c r="R66" s="8" t="s">
        <v>32</v>
      </c>
      <c r="S66" s="8" t="s">
        <v>1542</v>
      </c>
      <c r="T66" s="8" t="s">
        <v>1585</v>
      </c>
      <c r="U66" s="8" t="s">
        <v>1586</v>
      </c>
      <c r="V66">
        <v>48500</v>
      </c>
      <c r="W66">
        <v>41200</v>
      </c>
      <c r="X66">
        <v>40740</v>
      </c>
      <c r="Y66">
        <v>-460</v>
      </c>
    </row>
    <row r="67" spans="1:25" x14ac:dyDescent="0.3">
      <c r="A67" s="8" t="s">
        <v>191</v>
      </c>
      <c r="B67" s="14">
        <v>46113</v>
      </c>
      <c r="C67" s="8" t="s">
        <v>192</v>
      </c>
      <c r="D67" s="8" t="s">
        <v>123</v>
      </c>
      <c r="E67" s="8" t="s">
        <v>46</v>
      </c>
      <c r="F67">
        <v>1</v>
      </c>
      <c r="G67">
        <v>7800</v>
      </c>
      <c r="H67">
        <v>0.05</v>
      </c>
      <c r="I67" s="8" t="s">
        <v>17</v>
      </c>
      <c r="J67" s="8" t="s">
        <v>31</v>
      </c>
      <c r="K67" s="8" t="s">
        <v>25</v>
      </c>
      <c r="L67">
        <v>7410</v>
      </c>
      <c r="M67" s="8" t="s">
        <v>59</v>
      </c>
      <c r="N67">
        <v>7410</v>
      </c>
      <c r="O67" s="8" t="s">
        <v>1701</v>
      </c>
      <c r="P67" s="8" t="s">
        <v>1558</v>
      </c>
      <c r="Q67" s="8" t="s">
        <v>1559</v>
      </c>
      <c r="R67" s="8" t="s">
        <v>138</v>
      </c>
      <c r="S67" s="8" t="s">
        <v>1542</v>
      </c>
      <c r="T67" s="8" t="s">
        <v>1579</v>
      </c>
      <c r="U67" s="8" t="s">
        <v>1580</v>
      </c>
      <c r="V67">
        <v>7800</v>
      </c>
      <c r="W67">
        <v>5200</v>
      </c>
      <c r="X67">
        <v>7410</v>
      </c>
      <c r="Y67">
        <v>2210</v>
      </c>
    </row>
    <row r="68" spans="1:25" x14ac:dyDescent="0.3">
      <c r="A68" s="8" t="s">
        <v>193</v>
      </c>
      <c r="B68" s="14">
        <v>46072</v>
      </c>
      <c r="C68" s="8" t="s">
        <v>194</v>
      </c>
      <c r="D68" s="8" t="s">
        <v>23</v>
      </c>
      <c r="E68" s="8" t="s">
        <v>85</v>
      </c>
      <c r="F68">
        <v>2</v>
      </c>
      <c r="G68">
        <v>48500</v>
      </c>
      <c r="H68">
        <v>0.2</v>
      </c>
      <c r="I68" s="8" t="s">
        <v>17</v>
      </c>
      <c r="J68" s="8" t="s">
        <v>71</v>
      </c>
      <c r="K68" s="8" t="s">
        <v>67</v>
      </c>
      <c r="L68">
        <v>77600</v>
      </c>
      <c r="M68" s="8" t="s">
        <v>52</v>
      </c>
      <c r="N68">
        <v>77600</v>
      </c>
      <c r="O68" s="8" t="s">
        <v>1701</v>
      </c>
      <c r="P68" s="8" t="s">
        <v>1545</v>
      </c>
      <c r="Q68" s="8" t="s">
        <v>1541</v>
      </c>
      <c r="R68" s="8" t="s">
        <v>1546</v>
      </c>
      <c r="S68" s="8" t="s">
        <v>1542</v>
      </c>
      <c r="T68" s="8" t="s">
        <v>1585</v>
      </c>
      <c r="U68" s="8" t="s">
        <v>1586</v>
      </c>
      <c r="V68">
        <v>48500</v>
      </c>
      <c r="W68">
        <v>41200</v>
      </c>
      <c r="X68">
        <v>77600</v>
      </c>
      <c r="Y68">
        <v>-4800</v>
      </c>
    </row>
    <row r="69" spans="1:25" x14ac:dyDescent="0.3">
      <c r="A69" s="8" t="s">
        <v>195</v>
      </c>
      <c r="B69" s="14">
        <v>46115</v>
      </c>
      <c r="C69" s="8" t="s">
        <v>196</v>
      </c>
      <c r="D69" s="8" t="s">
        <v>50</v>
      </c>
      <c r="E69" s="8" t="s">
        <v>135</v>
      </c>
      <c r="F69">
        <v>1</v>
      </c>
      <c r="G69">
        <v>15960</v>
      </c>
      <c r="H69">
        <v>0.15</v>
      </c>
      <c r="I69" s="8" t="s">
        <v>17</v>
      </c>
      <c r="J69" s="8" t="s">
        <v>47</v>
      </c>
      <c r="K69" s="8" t="s">
        <v>41</v>
      </c>
      <c r="L69">
        <v>13566</v>
      </c>
      <c r="M69" s="8" t="s">
        <v>56</v>
      </c>
      <c r="N69">
        <v>13566</v>
      </c>
      <c r="O69" s="8" t="s">
        <v>1701</v>
      </c>
      <c r="P69" s="8" t="s">
        <v>1544</v>
      </c>
      <c r="Q69" s="8" t="s">
        <v>1541</v>
      </c>
      <c r="R69" s="8" t="s">
        <v>26</v>
      </c>
      <c r="S69" s="8" t="s">
        <v>1542</v>
      </c>
      <c r="T69" s="8" t="s">
        <v>1576</v>
      </c>
      <c r="U69" s="8" t="s">
        <v>1575</v>
      </c>
      <c r="V69">
        <v>16800</v>
      </c>
      <c r="W69">
        <v>12600</v>
      </c>
      <c r="X69">
        <v>13566</v>
      </c>
      <c r="Y69">
        <v>966</v>
      </c>
    </row>
    <row r="70" spans="1:25" x14ac:dyDescent="0.3">
      <c r="A70" s="8" t="s">
        <v>197</v>
      </c>
      <c r="B70" s="14">
        <v>46049</v>
      </c>
      <c r="C70" s="8" t="s">
        <v>198</v>
      </c>
      <c r="D70" s="8" t="s">
        <v>90</v>
      </c>
      <c r="E70" s="8" t="s">
        <v>16</v>
      </c>
      <c r="F70">
        <v>3</v>
      </c>
      <c r="G70">
        <v>650</v>
      </c>
      <c r="H70">
        <v>0.1</v>
      </c>
      <c r="I70" s="8" t="s">
        <v>17</v>
      </c>
      <c r="J70" s="8" t="s">
        <v>31</v>
      </c>
      <c r="K70" s="8" t="s">
        <v>67</v>
      </c>
      <c r="L70">
        <v>1755</v>
      </c>
      <c r="M70" s="8" t="s">
        <v>56</v>
      </c>
      <c r="N70">
        <v>1755</v>
      </c>
      <c r="O70" s="8" t="s">
        <v>1701</v>
      </c>
      <c r="P70" s="8" t="s">
        <v>1562</v>
      </c>
      <c r="Q70" s="8" t="s">
        <v>1563</v>
      </c>
      <c r="R70" s="8" t="s">
        <v>48</v>
      </c>
      <c r="S70" s="8" t="s">
        <v>1542</v>
      </c>
      <c r="T70" s="8" t="s">
        <v>1570</v>
      </c>
      <c r="U70" s="8" t="s">
        <v>1571</v>
      </c>
      <c r="V70">
        <v>650</v>
      </c>
      <c r="W70">
        <v>390</v>
      </c>
      <c r="X70">
        <v>1755</v>
      </c>
      <c r="Y70">
        <v>585</v>
      </c>
    </row>
    <row r="71" spans="1:25" x14ac:dyDescent="0.3">
      <c r="A71" s="8" t="s">
        <v>199</v>
      </c>
      <c r="B71" s="14">
        <v>46052</v>
      </c>
      <c r="C71" s="8" t="s">
        <v>200</v>
      </c>
      <c r="D71" s="8" t="s">
        <v>90</v>
      </c>
      <c r="E71" s="8" t="s">
        <v>63</v>
      </c>
      <c r="F71">
        <v>2</v>
      </c>
      <c r="G71">
        <v>2090</v>
      </c>
      <c r="H71">
        <v>0</v>
      </c>
      <c r="I71" s="8" t="s">
        <v>17</v>
      </c>
      <c r="J71" s="8" t="s">
        <v>71</v>
      </c>
      <c r="K71" s="8" t="s">
        <v>25</v>
      </c>
      <c r="L71">
        <v>4180</v>
      </c>
      <c r="M71" s="8" t="s">
        <v>26</v>
      </c>
      <c r="N71">
        <v>4180</v>
      </c>
      <c r="O71" s="8" t="s">
        <v>1701</v>
      </c>
      <c r="P71" s="8" t="s">
        <v>1562</v>
      </c>
      <c r="Q71" s="8" t="s">
        <v>1563</v>
      </c>
      <c r="R71" s="8" t="s">
        <v>48</v>
      </c>
      <c r="S71" s="8" t="s">
        <v>1542</v>
      </c>
      <c r="T71" s="8" t="s">
        <v>1572</v>
      </c>
      <c r="U71" s="8" t="s">
        <v>1571</v>
      </c>
      <c r="V71">
        <v>2200</v>
      </c>
      <c r="W71">
        <v>1450</v>
      </c>
      <c r="X71">
        <v>4180</v>
      </c>
      <c r="Y71">
        <v>1280</v>
      </c>
    </row>
    <row r="72" spans="1:25" x14ac:dyDescent="0.3">
      <c r="A72" s="8" t="s">
        <v>201</v>
      </c>
      <c r="B72" s="14">
        <v>46044</v>
      </c>
      <c r="C72" s="8" t="s">
        <v>202</v>
      </c>
      <c r="D72" s="8" t="s">
        <v>23</v>
      </c>
      <c r="E72" s="8" t="s">
        <v>63</v>
      </c>
      <c r="F72">
        <v>3</v>
      </c>
      <c r="G72">
        <v>2200</v>
      </c>
      <c r="H72">
        <v>0.1</v>
      </c>
      <c r="I72" s="8" t="s">
        <v>17</v>
      </c>
      <c r="J72" s="8" t="s">
        <v>18</v>
      </c>
      <c r="K72" s="8" t="s">
        <v>55</v>
      </c>
      <c r="L72">
        <v>5940</v>
      </c>
      <c r="M72" s="8" t="s">
        <v>26</v>
      </c>
      <c r="N72">
        <v>5940</v>
      </c>
      <c r="O72" s="8" t="s">
        <v>1701</v>
      </c>
      <c r="P72" s="8" t="s">
        <v>1545</v>
      </c>
      <c r="Q72" s="8" t="s">
        <v>1541</v>
      </c>
      <c r="R72" s="8" t="s">
        <v>1546</v>
      </c>
      <c r="S72" s="8" t="s">
        <v>1542</v>
      </c>
      <c r="T72" s="8" t="s">
        <v>1572</v>
      </c>
      <c r="U72" s="8" t="s">
        <v>1571</v>
      </c>
      <c r="V72">
        <v>2200</v>
      </c>
      <c r="W72">
        <v>1450</v>
      </c>
      <c r="X72">
        <v>5940</v>
      </c>
      <c r="Y72">
        <v>1590</v>
      </c>
    </row>
    <row r="73" spans="1:25" x14ac:dyDescent="0.3">
      <c r="A73" s="8" t="s">
        <v>203</v>
      </c>
      <c r="B73" s="14">
        <v>46173</v>
      </c>
      <c r="C73" s="8" t="s">
        <v>204</v>
      </c>
      <c r="D73" s="8" t="s">
        <v>70</v>
      </c>
      <c r="E73" s="8" t="s">
        <v>135</v>
      </c>
      <c r="F73">
        <v>3</v>
      </c>
      <c r="G73">
        <v>15960</v>
      </c>
      <c r="H73">
        <v>0</v>
      </c>
      <c r="I73" s="8" t="s">
        <v>17</v>
      </c>
      <c r="J73" s="8" t="s">
        <v>71</v>
      </c>
      <c r="K73" s="8" t="s">
        <v>67</v>
      </c>
      <c r="L73">
        <v>47880</v>
      </c>
      <c r="M73" s="8" t="s">
        <v>42</v>
      </c>
      <c r="N73">
        <v>47880</v>
      </c>
      <c r="O73" s="8" t="s">
        <v>1701</v>
      </c>
      <c r="P73" s="8" t="s">
        <v>1550</v>
      </c>
      <c r="Q73" s="8" t="s">
        <v>1549</v>
      </c>
      <c r="R73" s="8" t="s">
        <v>32</v>
      </c>
      <c r="S73" s="8" t="s">
        <v>1542</v>
      </c>
      <c r="T73" s="8" t="s">
        <v>1576</v>
      </c>
      <c r="U73" s="8" t="s">
        <v>1575</v>
      </c>
      <c r="V73">
        <v>16800</v>
      </c>
      <c r="W73">
        <v>12600</v>
      </c>
      <c r="X73">
        <v>47880</v>
      </c>
      <c r="Y73">
        <v>10080</v>
      </c>
    </row>
    <row r="74" spans="1:25" x14ac:dyDescent="0.3">
      <c r="A74" s="8" t="s">
        <v>205</v>
      </c>
      <c r="B74" s="14">
        <v>46063</v>
      </c>
      <c r="C74" s="8" t="s">
        <v>1702</v>
      </c>
      <c r="D74" s="8" t="s">
        <v>23</v>
      </c>
      <c r="E74" s="8" t="s">
        <v>30</v>
      </c>
      <c r="F74">
        <v>3</v>
      </c>
      <c r="G74">
        <v>1890</v>
      </c>
      <c r="H74">
        <v>0</v>
      </c>
      <c r="I74" s="8" t="s">
        <v>17</v>
      </c>
      <c r="J74" s="8" t="s">
        <v>47</v>
      </c>
      <c r="K74" s="8" t="s">
        <v>1698</v>
      </c>
      <c r="L74">
        <v>5670</v>
      </c>
      <c r="M74" s="8" t="s">
        <v>52</v>
      </c>
      <c r="N74">
        <v>5670</v>
      </c>
      <c r="O74" s="8" t="s">
        <v>1701</v>
      </c>
      <c r="P74" s="8" t="s">
        <v>1545</v>
      </c>
      <c r="Q74" s="8" t="s">
        <v>1541</v>
      </c>
      <c r="R74" s="8" t="s">
        <v>1546</v>
      </c>
      <c r="S74" s="8" t="s">
        <v>1542</v>
      </c>
      <c r="T74" s="8" t="s">
        <v>1573</v>
      </c>
      <c r="U74" s="8" t="s">
        <v>1571</v>
      </c>
      <c r="V74">
        <v>1800</v>
      </c>
      <c r="W74">
        <v>1120</v>
      </c>
      <c r="X74">
        <v>5670</v>
      </c>
      <c r="Y74">
        <v>2310</v>
      </c>
    </row>
    <row r="75" spans="1:25" x14ac:dyDescent="0.3">
      <c r="A75" s="8" t="s">
        <v>206</v>
      </c>
      <c r="B75" s="14">
        <v>46096</v>
      </c>
      <c r="C75" s="8" t="s">
        <v>79</v>
      </c>
      <c r="D75" s="8" t="s">
        <v>123</v>
      </c>
      <c r="E75" s="8" t="s">
        <v>135</v>
      </c>
      <c r="F75">
        <v>3</v>
      </c>
      <c r="G75">
        <v>16800</v>
      </c>
      <c r="H75">
        <v>0.1</v>
      </c>
      <c r="I75" s="8" t="s">
        <v>17</v>
      </c>
      <c r="J75" s="8" t="s">
        <v>71</v>
      </c>
      <c r="K75" s="8" t="s">
        <v>55</v>
      </c>
      <c r="L75">
        <v>45360</v>
      </c>
      <c r="M75" s="8" t="s">
        <v>42</v>
      </c>
      <c r="N75">
        <v>45360</v>
      </c>
      <c r="O75" s="8" t="s">
        <v>1701</v>
      </c>
      <c r="P75" s="8" t="s">
        <v>1558</v>
      </c>
      <c r="Q75" s="8" t="s">
        <v>1559</v>
      </c>
      <c r="R75" s="8" t="s">
        <v>138</v>
      </c>
      <c r="S75" s="8" t="s">
        <v>1542</v>
      </c>
      <c r="T75" s="8" t="s">
        <v>1576</v>
      </c>
      <c r="U75" s="8" t="s">
        <v>1575</v>
      </c>
      <c r="V75">
        <v>16800</v>
      </c>
      <c r="W75">
        <v>12600</v>
      </c>
      <c r="X75">
        <v>45360</v>
      </c>
      <c r="Y75">
        <v>7560</v>
      </c>
    </row>
    <row r="76" spans="1:25" x14ac:dyDescent="0.3">
      <c r="A76" s="8" t="s">
        <v>208</v>
      </c>
      <c r="B76" s="14">
        <v>46168</v>
      </c>
      <c r="C76" s="8" t="s">
        <v>209</v>
      </c>
      <c r="D76" s="8" t="s">
        <v>77</v>
      </c>
      <c r="E76" s="8" t="s">
        <v>135</v>
      </c>
      <c r="F76">
        <v>2</v>
      </c>
      <c r="G76">
        <v>17640</v>
      </c>
      <c r="H76">
        <v>0.1</v>
      </c>
      <c r="I76" s="8" t="s">
        <v>17</v>
      </c>
      <c r="J76" s="8" t="s">
        <v>18</v>
      </c>
      <c r="K76" s="8" t="s">
        <v>55</v>
      </c>
      <c r="L76">
        <v>31752</v>
      </c>
      <c r="M76" s="8" t="s">
        <v>42</v>
      </c>
      <c r="N76">
        <v>31752</v>
      </c>
      <c r="O76" s="8" t="s">
        <v>1701</v>
      </c>
      <c r="P76" s="8" t="s">
        <v>1564</v>
      </c>
      <c r="Q76" s="8" t="s">
        <v>1563</v>
      </c>
      <c r="R76" s="8" t="s">
        <v>1565</v>
      </c>
      <c r="S76" s="8" t="s">
        <v>1542</v>
      </c>
      <c r="T76" s="8" t="s">
        <v>1576</v>
      </c>
      <c r="U76" s="8" t="s">
        <v>1575</v>
      </c>
      <c r="V76">
        <v>16800</v>
      </c>
      <c r="W76">
        <v>12600</v>
      </c>
      <c r="X76">
        <v>31752</v>
      </c>
      <c r="Y76">
        <v>6552</v>
      </c>
    </row>
    <row r="77" spans="1:25" x14ac:dyDescent="0.3">
      <c r="A77" s="8" t="s">
        <v>210</v>
      </c>
      <c r="B77" s="14">
        <v>46176</v>
      </c>
      <c r="C77" s="8" t="s">
        <v>211</v>
      </c>
      <c r="D77" s="8" t="s">
        <v>168</v>
      </c>
      <c r="E77" s="8" t="s">
        <v>161</v>
      </c>
      <c r="F77">
        <v>4</v>
      </c>
      <c r="G77">
        <v>2470</v>
      </c>
      <c r="H77">
        <v>0.15</v>
      </c>
      <c r="I77" s="8" t="s">
        <v>17</v>
      </c>
      <c r="J77" s="8" t="s">
        <v>31</v>
      </c>
      <c r="K77" s="8" t="s">
        <v>67</v>
      </c>
      <c r="L77">
        <v>8398</v>
      </c>
      <c r="M77" s="8" t="s">
        <v>48</v>
      </c>
      <c r="N77">
        <v>8398</v>
      </c>
      <c r="O77" s="8" t="s">
        <v>1701</v>
      </c>
      <c r="P77" s="8" t="s">
        <v>1540</v>
      </c>
      <c r="Q77" s="8" t="s">
        <v>1541</v>
      </c>
      <c r="R77" s="8" t="s">
        <v>20</v>
      </c>
      <c r="S77" s="8" t="s">
        <v>1542</v>
      </c>
      <c r="T77" s="8" t="s">
        <v>1578</v>
      </c>
      <c r="U77" s="8" t="s">
        <v>1571</v>
      </c>
      <c r="V77">
        <v>2600</v>
      </c>
      <c r="W77">
        <v>1750</v>
      </c>
      <c r="X77">
        <v>8398</v>
      </c>
      <c r="Y77">
        <v>1398</v>
      </c>
    </row>
    <row r="78" spans="1:25" x14ac:dyDescent="0.3">
      <c r="A78" s="8" t="s">
        <v>212</v>
      </c>
      <c r="B78" s="14">
        <v>46033</v>
      </c>
      <c r="C78" s="8" t="s">
        <v>213</v>
      </c>
      <c r="D78" s="8" t="s">
        <v>29</v>
      </c>
      <c r="E78" s="8" t="s">
        <v>30</v>
      </c>
      <c r="F78">
        <v>2</v>
      </c>
      <c r="G78">
        <v>1800</v>
      </c>
      <c r="H78">
        <v>0.2</v>
      </c>
      <c r="I78" s="8" t="s">
        <v>17</v>
      </c>
      <c r="J78" s="8" t="s">
        <v>18</v>
      </c>
      <c r="K78" s="8" t="s">
        <v>55</v>
      </c>
      <c r="L78">
        <v>2880</v>
      </c>
      <c r="M78" s="8" t="s">
        <v>42</v>
      </c>
      <c r="N78">
        <v>2880</v>
      </c>
      <c r="O78" s="8" t="s">
        <v>1701</v>
      </c>
      <c r="P78" s="8" t="s">
        <v>1560</v>
      </c>
      <c r="Q78" s="8" t="s">
        <v>1559</v>
      </c>
      <c r="R78" s="8" t="s">
        <v>1561</v>
      </c>
      <c r="S78" s="8" t="s">
        <v>1542</v>
      </c>
      <c r="T78" s="8" t="s">
        <v>1573</v>
      </c>
      <c r="U78" s="8" t="s">
        <v>1571</v>
      </c>
      <c r="V78">
        <v>1800</v>
      </c>
      <c r="W78">
        <v>1120</v>
      </c>
      <c r="X78">
        <v>2880</v>
      </c>
      <c r="Y78">
        <v>640</v>
      </c>
    </row>
    <row r="79" spans="1:25" x14ac:dyDescent="0.3">
      <c r="A79" s="8" t="s">
        <v>214</v>
      </c>
      <c r="B79" s="14">
        <v>46143</v>
      </c>
      <c r="C79" s="8" t="s">
        <v>215</v>
      </c>
      <c r="D79" s="8" t="s">
        <v>35</v>
      </c>
      <c r="E79" s="8" t="s">
        <v>161</v>
      </c>
      <c r="F79">
        <v>2</v>
      </c>
      <c r="G79">
        <v>2600</v>
      </c>
      <c r="H79">
        <v>0.2</v>
      </c>
      <c r="I79" s="8" t="s">
        <v>17</v>
      </c>
      <c r="J79" s="8" t="s">
        <v>18</v>
      </c>
      <c r="K79" s="8" t="s">
        <v>55</v>
      </c>
      <c r="L79">
        <v>4160</v>
      </c>
      <c r="M79" s="8" t="s">
        <v>1702</v>
      </c>
      <c r="N79">
        <v>4160</v>
      </c>
      <c r="O79" s="8" t="s">
        <v>1701</v>
      </c>
      <c r="P79" s="8" t="s">
        <v>1548</v>
      </c>
      <c r="Q79" s="8" t="s">
        <v>1549</v>
      </c>
      <c r="R79" s="8" t="s">
        <v>42</v>
      </c>
      <c r="S79" s="8" t="s">
        <v>1542</v>
      </c>
      <c r="T79" s="8" t="s">
        <v>1578</v>
      </c>
      <c r="U79" s="8" t="s">
        <v>1571</v>
      </c>
      <c r="V79">
        <v>2600</v>
      </c>
      <c r="W79">
        <v>1750</v>
      </c>
      <c r="X79">
        <v>4160</v>
      </c>
      <c r="Y79">
        <v>660</v>
      </c>
    </row>
    <row r="80" spans="1:25" x14ac:dyDescent="0.3">
      <c r="A80" s="8" t="s">
        <v>216</v>
      </c>
      <c r="B80" s="14">
        <v>46192</v>
      </c>
      <c r="C80" s="8" t="s">
        <v>217</v>
      </c>
      <c r="D80" s="8" t="s">
        <v>70</v>
      </c>
      <c r="E80" s="8" t="s">
        <v>51</v>
      </c>
      <c r="F80">
        <v>1</v>
      </c>
      <c r="G80">
        <v>18500</v>
      </c>
      <c r="H80">
        <v>0</v>
      </c>
      <c r="I80" s="8" t="s">
        <v>17</v>
      </c>
      <c r="J80" s="8" t="s">
        <v>18</v>
      </c>
      <c r="K80" s="8" t="s">
        <v>25</v>
      </c>
      <c r="L80">
        <v>18500</v>
      </c>
      <c r="M80" s="8" t="s">
        <v>20</v>
      </c>
      <c r="N80">
        <v>18500</v>
      </c>
      <c r="O80" s="8" t="s">
        <v>1701</v>
      </c>
      <c r="P80" s="8" t="s">
        <v>1550</v>
      </c>
      <c r="Q80" s="8" t="s">
        <v>1549</v>
      </c>
      <c r="R80" s="8" t="s">
        <v>32</v>
      </c>
      <c r="S80" s="8" t="s">
        <v>1542</v>
      </c>
      <c r="T80" s="8" t="s">
        <v>1581</v>
      </c>
      <c r="U80" s="8" t="s">
        <v>1580</v>
      </c>
      <c r="V80">
        <v>18500</v>
      </c>
      <c r="W80">
        <v>13900</v>
      </c>
      <c r="X80">
        <v>18500</v>
      </c>
      <c r="Y80">
        <v>4600</v>
      </c>
    </row>
    <row r="81" spans="1:25" x14ac:dyDescent="0.3">
      <c r="A81" s="8" t="s">
        <v>218</v>
      </c>
      <c r="B81" s="14">
        <v>46191</v>
      </c>
      <c r="C81" s="8" t="s">
        <v>219</v>
      </c>
      <c r="D81" s="8" t="s">
        <v>90</v>
      </c>
      <c r="E81" s="8" t="s">
        <v>51</v>
      </c>
      <c r="F81">
        <v>2</v>
      </c>
      <c r="G81">
        <v>18500</v>
      </c>
      <c r="H81">
        <v>0</v>
      </c>
      <c r="I81" s="8" t="s">
        <v>17</v>
      </c>
      <c r="J81" s="8" t="s">
        <v>18</v>
      </c>
      <c r="K81" s="8" t="s">
        <v>1698</v>
      </c>
      <c r="L81">
        <v>37000</v>
      </c>
      <c r="M81" s="8" t="s">
        <v>52</v>
      </c>
      <c r="N81">
        <v>37000</v>
      </c>
      <c r="O81" s="8" t="s">
        <v>1701</v>
      </c>
      <c r="P81" s="8" t="s">
        <v>1562</v>
      </c>
      <c r="Q81" s="8" t="s">
        <v>1563</v>
      </c>
      <c r="R81" s="8" t="s">
        <v>48</v>
      </c>
      <c r="S81" s="8" t="s">
        <v>1542</v>
      </c>
      <c r="T81" s="8" t="s">
        <v>1581</v>
      </c>
      <c r="U81" s="8" t="s">
        <v>1580</v>
      </c>
      <c r="V81">
        <v>18500</v>
      </c>
      <c r="W81">
        <v>13900</v>
      </c>
      <c r="X81">
        <v>37000</v>
      </c>
      <c r="Y81">
        <v>9200</v>
      </c>
    </row>
    <row r="82" spans="1:25" x14ac:dyDescent="0.3">
      <c r="A82" s="8" t="s">
        <v>220</v>
      </c>
      <c r="B82" s="14">
        <v>46091</v>
      </c>
      <c r="C82" s="8" t="s">
        <v>221</v>
      </c>
      <c r="D82" s="8" t="s">
        <v>152</v>
      </c>
      <c r="E82" s="8" t="s">
        <v>30</v>
      </c>
      <c r="F82">
        <v>8</v>
      </c>
      <c r="G82">
        <v>1890</v>
      </c>
      <c r="H82">
        <v>0.1</v>
      </c>
      <c r="I82" s="8" t="s">
        <v>66</v>
      </c>
      <c r="J82" s="8" t="s">
        <v>31</v>
      </c>
      <c r="K82" s="8" t="s">
        <v>1698</v>
      </c>
      <c r="L82">
        <v>13608</v>
      </c>
      <c r="M82" s="8" t="s">
        <v>52</v>
      </c>
      <c r="N82">
        <v>13608</v>
      </c>
      <c r="O82" s="8" t="s">
        <v>1701</v>
      </c>
      <c r="P82" s="8" t="s">
        <v>1553</v>
      </c>
      <c r="Q82" s="8" t="s">
        <v>1554</v>
      </c>
      <c r="R82" s="8" t="s">
        <v>59</v>
      </c>
      <c r="S82" s="8" t="s">
        <v>1542</v>
      </c>
      <c r="T82" s="8" t="s">
        <v>1573</v>
      </c>
      <c r="U82" s="8" t="s">
        <v>1571</v>
      </c>
      <c r="V82">
        <v>1800</v>
      </c>
      <c r="W82">
        <v>1120</v>
      </c>
      <c r="X82">
        <v>0</v>
      </c>
      <c r="Y82">
        <v>-8960</v>
      </c>
    </row>
    <row r="83" spans="1:25" x14ac:dyDescent="0.3">
      <c r="A83" s="8" t="s">
        <v>223</v>
      </c>
      <c r="B83" s="14">
        <v>46063</v>
      </c>
      <c r="C83" s="8" t="s">
        <v>224</v>
      </c>
      <c r="D83" s="8" t="s">
        <v>45</v>
      </c>
      <c r="E83" s="8" t="s">
        <v>51</v>
      </c>
      <c r="F83">
        <v>1</v>
      </c>
      <c r="G83">
        <v>17575</v>
      </c>
      <c r="H83">
        <v>0.1</v>
      </c>
      <c r="I83" s="8" t="s">
        <v>17</v>
      </c>
      <c r="J83" s="8" t="s">
        <v>31</v>
      </c>
      <c r="K83" s="8" t="s">
        <v>41</v>
      </c>
      <c r="L83">
        <v>15817.5</v>
      </c>
      <c r="M83" s="8" t="s">
        <v>56</v>
      </c>
      <c r="N83">
        <v>15817.5</v>
      </c>
      <c r="O83" s="8" t="s">
        <v>1701</v>
      </c>
      <c r="P83" s="8" t="s">
        <v>1547</v>
      </c>
      <c r="Q83" s="8" t="s">
        <v>1541</v>
      </c>
      <c r="R83" s="8" t="s">
        <v>56</v>
      </c>
      <c r="S83" s="8" t="s">
        <v>1542</v>
      </c>
      <c r="T83" s="8" t="s">
        <v>1581</v>
      </c>
      <c r="U83" s="8" t="s">
        <v>1580</v>
      </c>
      <c r="V83">
        <v>18500</v>
      </c>
      <c r="W83">
        <v>13900</v>
      </c>
      <c r="X83">
        <v>15817.5</v>
      </c>
      <c r="Y83">
        <v>1917.5</v>
      </c>
    </row>
    <row r="84" spans="1:25" x14ac:dyDescent="0.3">
      <c r="A84" s="8" t="s">
        <v>225</v>
      </c>
      <c r="B84" s="14">
        <v>46097</v>
      </c>
      <c r="C84" s="8" t="s">
        <v>148</v>
      </c>
      <c r="D84" s="8" t="s">
        <v>152</v>
      </c>
      <c r="E84" s="8" t="s">
        <v>85</v>
      </c>
      <c r="F84">
        <v>1</v>
      </c>
      <c r="G84">
        <v>48500</v>
      </c>
      <c r="H84">
        <v>0.1</v>
      </c>
      <c r="I84" s="8" t="s">
        <v>116</v>
      </c>
      <c r="J84" s="8" t="s">
        <v>71</v>
      </c>
      <c r="K84" s="8" t="s">
        <v>55</v>
      </c>
      <c r="L84">
        <v>43650</v>
      </c>
      <c r="M84" s="8" t="s">
        <v>1702</v>
      </c>
      <c r="N84">
        <v>43650</v>
      </c>
      <c r="O84" s="8" t="s">
        <v>1701</v>
      </c>
      <c r="P84" s="8" t="s">
        <v>1553</v>
      </c>
      <c r="Q84" s="8" t="s">
        <v>1554</v>
      </c>
      <c r="R84" s="8" t="s">
        <v>59</v>
      </c>
      <c r="S84" s="8" t="s">
        <v>1542</v>
      </c>
      <c r="T84" s="8" t="s">
        <v>1585</v>
      </c>
      <c r="U84" s="8" t="s">
        <v>1586</v>
      </c>
      <c r="V84">
        <v>48500</v>
      </c>
      <c r="W84">
        <v>41200</v>
      </c>
      <c r="X84">
        <v>0</v>
      </c>
      <c r="Y84">
        <v>-41200</v>
      </c>
    </row>
    <row r="85" spans="1:25" x14ac:dyDescent="0.3">
      <c r="A85" s="8" t="s">
        <v>226</v>
      </c>
      <c r="B85" s="14">
        <v>46176</v>
      </c>
      <c r="C85" s="8" t="s">
        <v>227</v>
      </c>
      <c r="D85" s="8" t="s">
        <v>152</v>
      </c>
      <c r="E85" s="8" t="s">
        <v>85</v>
      </c>
      <c r="F85">
        <v>5</v>
      </c>
      <c r="G85">
        <v>50925</v>
      </c>
      <c r="H85">
        <v>0</v>
      </c>
      <c r="I85" s="8" t="s">
        <v>17</v>
      </c>
      <c r="J85" s="8" t="s">
        <v>47</v>
      </c>
      <c r="K85" s="8" t="s">
        <v>1698</v>
      </c>
      <c r="L85">
        <v>254625</v>
      </c>
      <c r="M85" s="8" t="s">
        <v>26</v>
      </c>
      <c r="N85">
        <v>254625</v>
      </c>
      <c r="O85" s="8" t="s">
        <v>1701</v>
      </c>
      <c r="P85" s="8" t="s">
        <v>1553</v>
      </c>
      <c r="Q85" s="8" t="s">
        <v>1554</v>
      </c>
      <c r="R85" s="8" t="s">
        <v>59</v>
      </c>
      <c r="S85" s="8" t="s">
        <v>1542</v>
      </c>
      <c r="T85" s="8" t="s">
        <v>1585</v>
      </c>
      <c r="U85" s="8" t="s">
        <v>1586</v>
      </c>
      <c r="V85">
        <v>48500</v>
      </c>
      <c r="W85">
        <v>41200</v>
      </c>
      <c r="X85">
        <v>254625</v>
      </c>
      <c r="Y85">
        <v>48625</v>
      </c>
    </row>
    <row r="86" spans="1:25" x14ac:dyDescent="0.3">
      <c r="A86" s="8" t="s">
        <v>228</v>
      </c>
      <c r="B86" s="14">
        <v>46099</v>
      </c>
      <c r="C86" s="8" t="s">
        <v>154</v>
      </c>
      <c r="D86" s="8" t="s">
        <v>90</v>
      </c>
      <c r="E86" s="8" t="s">
        <v>183</v>
      </c>
      <c r="F86">
        <v>3</v>
      </c>
      <c r="G86">
        <v>3200</v>
      </c>
      <c r="H86">
        <v>0.2</v>
      </c>
      <c r="I86" s="8" t="s">
        <v>17</v>
      </c>
      <c r="J86" s="8" t="s">
        <v>18</v>
      </c>
      <c r="K86" s="8" t="s">
        <v>67</v>
      </c>
      <c r="L86">
        <v>7680</v>
      </c>
      <c r="M86" s="8" t="s">
        <v>138</v>
      </c>
      <c r="N86">
        <v>7680</v>
      </c>
      <c r="O86" s="8" t="s">
        <v>1701</v>
      </c>
      <c r="P86" s="8" t="s">
        <v>1562</v>
      </c>
      <c r="Q86" s="8" t="s">
        <v>1563</v>
      </c>
      <c r="R86" s="8" t="s">
        <v>48</v>
      </c>
      <c r="S86" s="8" t="s">
        <v>1542</v>
      </c>
      <c r="T86" s="8" t="s">
        <v>1582</v>
      </c>
      <c r="U86" s="8" t="s">
        <v>1583</v>
      </c>
      <c r="V86">
        <v>3200</v>
      </c>
      <c r="W86">
        <v>2050</v>
      </c>
      <c r="X86">
        <v>7680</v>
      </c>
      <c r="Y86">
        <v>1530</v>
      </c>
    </row>
    <row r="87" spans="1:25" x14ac:dyDescent="0.3">
      <c r="A87" s="8" t="s">
        <v>229</v>
      </c>
      <c r="B87" s="14">
        <v>46164</v>
      </c>
      <c r="C87" s="8" t="s">
        <v>230</v>
      </c>
      <c r="D87" s="8" t="s">
        <v>29</v>
      </c>
      <c r="E87" s="8" t="s">
        <v>51</v>
      </c>
      <c r="F87">
        <v>2</v>
      </c>
      <c r="G87">
        <v>18500</v>
      </c>
      <c r="H87">
        <v>0.05</v>
      </c>
      <c r="I87" s="8" t="s">
        <v>66</v>
      </c>
      <c r="J87" s="8" t="s">
        <v>71</v>
      </c>
      <c r="K87" s="8" t="s">
        <v>55</v>
      </c>
      <c r="L87">
        <v>35150</v>
      </c>
      <c r="M87" s="8" t="s">
        <v>20</v>
      </c>
      <c r="N87">
        <v>35150</v>
      </c>
      <c r="O87" s="8" t="s">
        <v>1701</v>
      </c>
      <c r="P87" s="8" t="s">
        <v>1560</v>
      </c>
      <c r="Q87" s="8" t="s">
        <v>1559</v>
      </c>
      <c r="R87" s="8" t="s">
        <v>1561</v>
      </c>
      <c r="S87" s="8" t="s">
        <v>1542</v>
      </c>
      <c r="T87" s="8" t="s">
        <v>1581</v>
      </c>
      <c r="U87" s="8" t="s">
        <v>1580</v>
      </c>
      <c r="V87">
        <v>18500</v>
      </c>
      <c r="W87">
        <v>13900</v>
      </c>
      <c r="X87">
        <v>0</v>
      </c>
      <c r="Y87">
        <v>-27800</v>
      </c>
    </row>
    <row r="88" spans="1:25" x14ac:dyDescent="0.3">
      <c r="A88" s="8" t="s">
        <v>231</v>
      </c>
      <c r="B88" s="14">
        <v>46104</v>
      </c>
      <c r="C88" s="8" t="s">
        <v>232</v>
      </c>
      <c r="D88" s="8" t="s">
        <v>123</v>
      </c>
      <c r="E88" s="8" t="s">
        <v>46</v>
      </c>
      <c r="F88">
        <v>3</v>
      </c>
      <c r="G88">
        <v>7800</v>
      </c>
      <c r="H88">
        <v>0.1</v>
      </c>
      <c r="I88" s="8" t="s">
        <v>17</v>
      </c>
      <c r="J88" s="8" t="s">
        <v>31</v>
      </c>
      <c r="K88" s="8" t="s">
        <v>41</v>
      </c>
      <c r="L88">
        <v>21060</v>
      </c>
      <c r="M88" s="8" t="s">
        <v>82</v>
      </c>
      <c r="N88">
        <v>21060</v>
      </c>
      <c r="O88" s="8" t="s">
        <v>1701</v>
      </c>
      <c r="P88" s="8" t="s">
        <v>1558</v>
      </c>
      <c r="Q88" s="8" t="s">
        <v>1559</v>
      </c>
      <c r="R88" s="8" t="s">
        <v>138</v>
      </c>
      <c r="S88" s="8" t="s">
        <v>1542</v>
      </c>
      <c r="T88" s="8" t="s">
        <v>1579</v>
      </c>
      <c r="U88" s="8" t="s">
        <v>1580</v>
      </c>
      <c r="V88">
        <v>7800</v>
      </c>
      <c r="W88">
        <v>5200</v>
      </c>
      <c r="X88">
        <v>21060</v>
      </c>
      <c r="Y88">
        <v>5460</v>
      </c>
    </row>
    <row r="89" spans="1:25" x14ac:dyDescent="0.3">
      <c r="A89" s="8" t="s">
        <v>233</v>
      </c>
      <c r="B89" s="14">
        <v>46174</v>
      </c>
      <c r="C89" s="8" t="s">
        <v>234</v>
      </c>
      <c r="D89" s="8" t="s">
        <v>35</v>
      </c>
      <c r="E89" s="8" t="s">
        <v>63</v>
      </c>
      <c r="F89">
        <v>5</v>
      </c>
      <c r="G89">
        <v>2310</v>
      </c>
      <c r="H89">
        <v>0.1</v>
      </c>
      <c r="I89" s="8" t="s">
        <v>17</v>
      </c>
      <c r="J89" s="8" t="s">
        <v>71</v>
      </c>
      <c r="K89" s="8" t="s">
        <v>55</v>
      </c>
      <c r="L89">
        <v>10395</v>
      </c>
      <c r="M89" s="8" t="s">
        <v>59</v>
      </c>
      <c r="N89">
        <v>10395</v>
      </c>
      <c r="O89" s="8" t="s">
        <v>1701</v>
      </c>
      <c r="P89" s="8" t="s">
        <v>1548</v>
      </c>
      <c r="Q89" s="8" t="s">
        <v>1549</v>
      </c>
      <c r="R89" s="8" t="s">
        <v>42</v>
      </c>
      <c r="S89" s="8" t="s">
        <v>1542</v>
      </c>
      <c r="T89" s="8" t="s">
        <v>1572</v>
      </c>
      <c r="U89" s="8" t="s">
        <v>1571</v>
      </c>
      <c r="V89">
        <v>2200</v>
      </c>
      <c r="W89">
        <v>1450</v>
      </c>
      <c r="X89">
        <v>10395</v>
      </c>
      <c r="Y89">
        <v>3145</v>
      </c>
    </row>
    <row r="90" spans="1:25" x14ac:dyDescent="0.3">
      <c r="A90" s="8" t="s">
        <v>235</v>
      </c>
      <c r="B90" s="14">
        <v>46042</v>
      </c>
      <c r="C90" s="8" t="s">
        <v>215</v>
      </c>
      <c r="D90" s="8" t="s">
        <v>62</v>
      </c>
      <c r="E90" s="8" t="s">
        <v>135</v>
      </c>
      <c r="F90">
        <v>2</v>
      </c>
      <c r="G90">
        <v>15960</v>
      </c>
      <c r="H90">
        <v>0.2</v>
      </c>
      <c r="I90" s="8" t="s">
        <v>17</v>
      </c>
      <c r="J90" s="8" t="s">
        <v>18</v>
      </c>
      <c r="K90" s="8" t="s">
        <v>67</v>
      </c>
      <c r="L90">
        <v>25536</v>
      </c>
      <c r="M90" s="8" t="s">
        <v>56</v>
      </c>
      <c r="N90">
        <v>25536</v>
      </c>
      <c r="O90" s="8" t="s">
        <v>1701</v>
      </c>
      <c r="P90" s="8" t="s">
        <v>1551</v>
      </c>
      <c r="Q90" s="8" t="s">
        <v>1549</v>
      </c>
      <c r="R90" s="8" t="s">
        <v>1552</v>
      </c>
      <c r="S90" s="8" t="s">
        <v>1542</v>
      </c>
      <c r="T90" s="8" t="s">
        <v>1576</v>
      </c>
      <c r="U90" s="8" t="s">
        <v>1575</v>
      </c>
      <c r="V90">
        <v>16800</v>
      </c>
      <c r="W90">
        <v>12600</v>
      </c>
      <c r="X90">
        <v>25536</v>
      </c>
      <c r="Y90">
        <v>336</v>
      </c>
    </row>
    <row r="91" spans="1:25" x14ac:dyDescent="0.3">
      <c r="A91" s="8" t="s">
        <v>236</v>
      </c>
      <c r="B91" s="14">
        <v>46161</v>
      </c>
      <c r="C91" s="8" t="s">
        <v>237</v>
      </c>
      <c r="D91" s="8" t="s">
        <v>168</v>
      </c>
      <c r="E91" s="8" t="s">
        <v>183</v>
      </c>
      <c r="F91">
        <v>1</v>
      </c>
      <c r="G91">
        <v>3200</v>
      </c>
      <c r="H91">
        <v>0.2</v>
      </c>
      <c r="I91" s="8" t="s">
        <v>17</v>
      </c>
      <c r="J91" s="8" t="s">
        <v>31</v>
      </c>
      <c r="K91" s="8" t="s">
        <v>55</v>
      </c>
      <c r="L91">
        <v>2560</v>
      </c>
      <c r="M91" s="8" t="s">
        <v>42</v>
      </c>
      <c r="N91">
        <v>2560</v>
      </c>
      <c r="O91" s="8" t="s">
        <v>1701</v>
      </c>
      <c r="P91" s="8" t="s">
        <v>1540</v>
      </c>
      <c r="Q91" s="8" t="s">
        <v>1541</v>
      </c>
      <c r="R91" s="8" t="s">
        <v>20</v>
      </c>
      <c r="S91" s="8" t="s">
        <v>1542</v>
      </c>
      <c r="T91" s="8" t="s">
        <v>1582</v>
      </c>
      <c r="U91" s="8" t="s">
        <v>1583</v>
      </c>
      <c r="V91">
        <v>3200</v>
      </c>
      <c r="W91">
        <v>2050</v>
      </c>
      <c r="X91">
        <v>2560</v>
      </c>
      <c r="Y91">
        <v>510</v>
      </c>
    </row>
    <row r="92" spans="1:25" x14ac:dyDescent="0.3">
      <c r="A92" s="8" t="s">
        <v>238</v>
      </c>
      <c r="B92" s="14">
        <v>46185</v>
      </c>
      <c r="C92" s="8" t="s">
        <v>239</v>
      </c>
      <c r="D92" s="8" t="s">
        <v>123</v>
      </c>
      <c r="E92" s="8" t="s">
        <v>63</v>
      </c>
      <c r="F92">
        <v>2</v>
      </c>
      <c r="G92">
        <v>2090</v>
      </c>
      <c r="H92">
        <v>0.2</v>
      </c>
      <c r="I92" s="8" t="s">
        <v>17</v>
      </c>
      <c r="J92" s="8" t="s">
        <v>47</v>
      </c>
      <c r="K92" s="8" t="s">
        <v>1698</v>
      </c>
      <c r="L92">
        <v>3344</v>
      </c>
      <c r="M92" s="8" t="s">
        <v>26</v>
      </c>
      <c r="N92">
        <v>3344</v>
      </c>
      <c r="O92" s="8" t="s">
        <v>1701</v>
      </c>
      <c r="P92" s="8" t="s">
        <v>1558</v>
      </c>
      <c r="Q92" s="8" t="s">
        <v>1559</v>
      </c>
      <c r="R92" s="8" t="s">
        <v>138</v>
      </c>
      <c r="S92" s="8" t="s">
        <v>1542</v>
      </c>
      <c r="T92" s="8" t="s">
        <v>1572</v>
      </c>
      <c r="U92" s="8" t="s">
        <v>1571</v>
      </c>
      <c r="V92">
        <v>2200</v>
      </c>
      <c r="W92">
        <v>1450</v>
      </c>
      <c r="X92">
        <v>3344</v>
      </c>
      <c r="Y92">
        <v>444</v>
      </c>
    </row>
    <row r="93" spans="1:25" x14ac:dyDescent="0.3">
      <c r="A93" s="8" t="s">
        <v>240</v>
      </c>
      <c r="B93" s="14">
        <v>46114</v>
      </c>
      <c r="C93" s="8" t="s">
        <v>241</v>
      </c>
      <c r="D93" s="8" t="s">
        <v>35</v>
      </c>
      <c r="E93" s="8" t="s">
        <v>161</v>
      </c>
      <c r="F93">
        <v>1</v>
      </c>
      <c r="G93">
        <v>2600</v>
      </c>
      <c r="H93">
        <v>0.15</v>
      </c>
      <c r="I93" s="8" t="s">
        <v>17</v>
      </c>
      <c r="J93" s="8" t="s">
        <v>71</v>
      </c>
      <c r="K93" s="8" t="s">
        <v>1698</v>
      </c>
      <c r="L93">
        <v>2210</v>
      </c>
      <c r="M93" s="8" t="s">
        <v>48</v>
      </c>
      <c r="N93">
        <v>2210</v>
      </c>
      <c r="O93" s="8" t="s">
        <v>1701</v>
      </c>
      <c r="P93" s="8" t="s">
        <v>1548</v>
      </c>
      <c r="Q93" s="8" t="s">
        <v>1549</v>
      </c>
      <c r="R93" s="8" t="s">
        <v>42</v>
      </c>
      <c r="S93" s="8" t="s">
        <v>1542</v>
      </c>
      <c r="T93" s="8" t="s">
        <v>1578</v>
      </c>
      <c r="U93" s="8" t="s">
        <v>1571</v>
      </c>
      <c r="V93">
        <v>2600</v>
      </c>
      <c r="W93">
        <v>1750</v>
      </c>
      <c r="X93">
        <v>2210</v>
      </c>
      <c r="Y93">
        <v>460</v>
      </c>
    </row>
    <row r="94" spans="1:25" x14ac:dyDescent="0.3">
      <c r="A94" s="8" t="s">
        <v>242</v>
      </c>
      <c r="B94" s="14">
        <v>46120</v>
      </c>
      <c r="C94" s="8" t="s">
        <v>243</v>
      </c>
      <c r="D94" s="8" t="s">
        <v>40</v>
      </c>
      <c r="E94" s="8" t="s">
        <v>74</v>
      </c>
      <c r="F94">
        <v>1</v>
      </c>
      <c r="G94">
        <v>2520</v>
      </c>
      <c r="H94">
        <v>0.15</v>
      </c>
      <c r="I94" s="8" t="s">
        <v>17</v>
      </c>
      <c r="J94" s="8" t="s">
        <v>18</v>
      </c>
      <c r="K94" s="8" t="s">
        <v>67</v>
      </c>
      <c r="L94">
        <v>2142</v>
      </c>
      <c r="M94" s="8" t="s">
        <v>20</v>
      </c>
      <c r="N94">
        <v>2142</v>
      </c>
      <c r="O94" s="8" t="s">
        <v>1701</v>
      </c>
      <c r="P94" s="8" t="s">
        <v>1555</v>
      </c>
      <c r="Q94" s="8" t="s">
        <v>1554</v>
      </c>
      <c r="R94" s="8" t="s">
        <v>82</v>
      </c>
      <c r="S94" s="8" t="s">
        <v>1542</v>
      </c>
      <c r="T94" s="8" t="s">
        <v>1584</v>
      </c>
      <c r="U94" s="8" t="s">
        <v>1583</v>
      </c>
      <c r="V94">
        <v>2400</v>
      </c>
      <c r="W94">
        <v>1480</v>
      </c>
      <c r="X94">
        <v>2142</v>
      </c>
      <c r="Y94">
        <v>662</v>
      </c>
    </row>
    <row r="95" spans="1:25" x14ac:dyDescent="0.3">
      <c r="A95" s="8" t="s">
        <v>244</v>
      </c>
      <c r="B95" s="14">
        <v>46142</v>
      </c>
      <c r="C95" s="8" t="s">
        <v>115</v>
      </c>
      <c r="D95" s="8" t="s">
        <v>77</v>
      </c>
      <c r="E95" s="8" t="s">
        <v>135</v>
      </c>
      <c r="F95">
        <v>3</v>
      </c>
      <c r="G95">
        <v>16800</v>
      </c>
      <c r="H95">
        <v>0</v>
      </c>
      <c r="I95" s="8" t="s">
        <v>17</v>
      </c>
      <c r="J95" s="8" t="s">
        <v>18</v>
      </c>
      <c r="K95" s="8" t="s">
        <v>67</v>
      </c>
      <c r="L95">
        <v>50400</v>
      </c>
      <c r="M95" s="8" t="s">
        <v>56</v>
      </c>
      <c r="N95">
        <v>50400</v>
      </c>
      <c r="O95" s="8" t="s">
        <v>1701</v>
      </c>
      <c r="P95" s="8" t="s">
        <v>1564</v>
      </c>
      <c r="Q95" s="8" t="s">
        <v>1563</v>
      </c>
      <c r="R95" s="8" t="s">
        <v>1565</v>
      </c>
      <c r="S95" s="8" t="s">
        <v>1542</v>
      </c>
      <c r="T95" s="8" t="s">
        <v>1576</v>
      </c>
      <c r="U95" s="8" t="s">
        <v>1575</v>
      </c>
      <c r="V95">
        <v>16800</v>
      </c>
      <c r="W95">
        <v>12600</v>
      </c>
      <c r="X95">
        <v>50400</v>
      </c>
      <c r="Y95">
        <v>12600</v>
      </c>
    </row>
    <row r="96" spans="1:25" x14ac:dyDescent="0.3">
      <c r="A96" s="8" t="s">
        <v>245</v>
      </c>
      <c r="B96" s="14">
        <v>46100</v>
      </c>
      <c r="C96" s="8" t="s">
        <v>246</v>
      </c>
      <c r="D96" s="8" t="s">
        <v>23</v>
      </c>
      <c r="E96" s="8" t="s">
        <v>161</v>
      </c>
      <c r="F96">
        <v>5</v>
      </c>
      <c r="G96">
        <v>2600</v>
      </c>
      <c r="H96">
        <v>0</v>
      </c>
      <c r="I96" s="8" t="s">
        <v>17</v>
      </c>
      <c r="J96" s="8" t="s">
        <v>47</v>
      </c>
      <c r="K96" s="8" t="s">
        <v>1698</v>
      </c>
      <c r="L96">
        <v>13000</v>
      </c>
      <c r="M96" s="8" t="s">
        <v>32</v>
      </c>
      <c r="N96">
        <v>13000</v>
      </c>
      <c r="O96" s="8" t="s">
        <v>1701</v>
      </c>
      <c r="P96" s="8" t="s">
        <v>1545</v>
      </c>
      <c r="Q96" s="8" t="s">
        <v>1541</v>
      </c>
      <c r="R96" s="8" t="s">
        <v>1546</v>
      </c>
      <c r="S96" s="8" t="s">
        <v>1542</v>
      </c>
      <c r="T96" s="8" t="s">
        <v>1578</v>
      </c>
      <c r="U96" s="8" t="s">
        <v>1571</v>
      </c>
      <c r="V96">
        <v>2600</v>
      </c>
      <c r="W96">
        <v>1750</v>
      </c>
      <c r="X96">
        <v>13000</v>
      </c>
      <c r="Y96">
        <v>4250</v>
      </c>
    </row>
    <row r="97" spans="1:25" x14ac:dyDescent="0.3">
      <c r="A97" s="8" t="s">
        <v>247</v>
      </c>
      <c r="B97" s="14">
        <v>46093</v>
      </c>
      <c r="C97" s="8" t="s">
        <v>248</v>
      </c>
      <c r="D97" s="8" t="s">
        <v>168</v>
      </c>
      <c r="E97" s="8" t="s">
        <v>183</v>
      </c>
      <c r="F97">
        <v>5</v>
      </c>
      <c r="G97">
        <v>3360</v>
      </c>
      <c r="H97">
        <v>0.2</v>
      </c>
      <c r="I97" s="8" t="s">
        <v>116</v>
      </c>
      <c r="J97" s="8" t="s">
        <v>71</v>
      </c>
      <c r="K97" s="8" t="s">
        <v>25</v>
      </c>
      <c r="L97">
        <v>13440</v>
      </c>
      <c r="M97" s="8" t="s">
        <v>138</v>
      </c>
      <c r="N97">
        <v>13440</v>
      </c>
      <c r="O97" s="8" t="s">
        <v>1701</v>
      </c>
      <c r="P97" s="8" t="s">
        <v>1540</v>
      </c>
      <c r="Q97" s="8" t="s">
        <v>1541</v>
      </c>
      <c r="R97" s="8" t="s">
        <v>20</v>
      </c>
      <c r="S97" s="8" t="s">
        <v>1542</v>
      </c>
      <c r="T97" s="8" t="s">
        <v>1582</v>
      </c>
      <c r="U97" s="8" t="s">
        <v>1583</v>
      </c>
      <c r="V97">
        <v>3200</v>
      </c>
      <c r="W97">
        <v>2050</v>
      </c>
      <c r="X97">
        <v>0</v>
      </c>
      <c r="Y97">
        <v>-10250</v>
      </c>
    </row>
    <row r="98" spans="1:25" x14ac:dyDescent="0.3">
      <c r="A98" s="8" t="s">
        <v>249</v>
      </c>
      <c r="B98" s="14">
        <v>46079</v>
      </c>
      <c r="C98" s="8" t="s">
        <v>250</v>
      </c>
      <c r="D98" s="8" t="s">
        <v>95</v>
      </c>
      <c r="E98" s="8" t="s">
        <v>24</v>
      </c>
      <c r="F98">
        <v>3</v>
      </c>
      <c r="G98">
        <v>11200</v>
      </c>
      <c r="H98">
        <v>0.2</v>
      </c>
      <c r="I98" s="8" t="s">
        <v>17</v>
      </c>
      <c r="J98" s="8" t="s">
        <v>31</v>
      </c>
      <c r="K98" s="8" t="s">
        <v>67</v>
      </c>
      <c r="L98">
        <v>26880</v>
      </c>
      <c r="M98" s="8" t="s">
        <v>56</v>
      </c>
      <c r="N98">
        <v>26880</v>
      </c>
      <c r="O98" s="8" t="s">
        <v>1701</v>
      </c>
      <c r="P98" s="8" t="s">
        <v>1556</v>
      </c>
      <c r="Q98" s="8" t="s">
        <v>1554</v>
      </c>
      <c r="R98" s="8" t="s">
        <v>1557</v>
      </c>
      <c r="S98" s="8" t="s">
        <v>1542</v>
      </c>
      <c r="T98" s="8" t="s">
        <v>1574</v>
      </c>
      <c r="U98" s="8" t="s">
        <v>1575</v>
      </c>
      <c r="V98">
        <v>11200</v>
      </c>
      <c r="W98">
        <v>8300</v>
      </c>
      <c r="X98">
        <v>26880</v>
      </c>
      <c r="Y98">
        <v>1980</v>
      </c>
    </row>
    <row r="99" spans="1:25" x14ac:dyDescent="0.3">
      <c r="A99" s="8" t="s">
        <v>251</v>
      </c>
      <c r="B99" s="14">
        <v>46031</v>
      </c>
      <c r="C99" s="8" t="s">
        <v>252</v>
      </c>
      <c r="D99" s="8" t="s">
        <v>40</v>
      </c>
      <c r="E99" s="8" t="s">
        <v>36</v>
      </c>
      <c r="F99">
        <v>4</v>
      </c>
      <c r="G99">
        <v>1400</v>
      </c>
      <c r="H99">
        <v>0</v>
      </c>
      <c r="I99" s="8" t="s">
        <v>80</v>
      </c>
      <c r="J99" s="8" t="s">
        <v>71</v>
      </c>
      <c r="K99" s="8" t="s">
        <v>41</v>
      </c>
      <c r="L99">
        <v>5600</v>
      </c>
      <c r="M99" s="8" t="s">
        <v>59</v>
      </c>
      <c r="N99">
        <v>5600</v>
      </c>
      <c r="O99" s="8" t="s">
        <v>1701</v>
      </c>
      <c r="P99" s="8" t="s">
        <v>1555</v>
      </c>
      <c r="Q99" s="8" t="s">
        <v>1554</v>
      </c>
      <c r="R99" s="8" t="s">
        <v>82</v>
      </c>
      <c r="S99" s="8" t="s">
        <v>1542</v>
      </c>
      <c r="T99" s="8" t="s">
        <v>1577</v>
      </c>
      <c r="U99" s="8" t="s">
        <v>1571</v>
      </c>
      <c r="V99">
        <v>1400</v>
      </c>
      <c r="W99">
        <v>780</v>
      </c>
      <c r="X99">
        <v>0</v>
      </c>
      <c r="Y99">
        <v>-3120</v>
      </c>
    </row>
    <row r="100" spans="1:25" x14ac:dyDescent="0.3">
      <c r="A100" s="8" t="s">
        <v>253</v>
      </c>
      <c r="B100" s="14">
        <v>46161</v>
      </c>
      <c r="C100" s="8" t="s">
        <v>254</v>
      </c>
      <c r="D100" s="8" t="s">
        <v>77</v>
      </c>
      <c r="E100" s="8" t="s">
        <v>36</v>
      </c>
      <c r="F100">
        <v>2</v>
      </c>
      <c r="G100">
        <v>1400</v>
      </c>
      <c r="H100">
        <v>0.05</v>
      </c>
      <c r="I100" s="8" t="s">
        <v>66</v>
      </c>
      <c r="J100" s="8" t="s">
        <v>47</v>
      </c>
      <c r="K100" s="8" t="s">
        <v>41</v>
      </c>
      <c r="L100">
        <v>2660</v>
      </c>
      <c r="M100" s="8" t="s">
        <v>42</v>
      </c>
      <c r="N100">
        <v>2660</v>
      </c>
      <c r="O100" s="8" t="s">
        <v>1701</v>
      </c>
      <c r="P100" s="8" t="s">
        <v>1564</v>
      </c>
      <c r="Q100" s="8" t="s">
        <v>1563</v>
      </c>
      <c r="R100" s="8" t="s">
        <v>1565</v>
      </c>
      <c r="S100" s="8" t="s">
        <v>1542</v>
      </c>
      <c r="T100" s="8" t="s">
        <v>1577</v>
      </c>
      <c r="U100" s="8" t="s">
        <v>1571</v>
      </c>
      <c r="V100">
        <v>1400</v>
      </c>
      <c r="W100">
        <v>780</v>
      </c>
      <c r="X100">
        <v>0</v>
      </c>
      <c r="Y100">
        <v>-1560</v>
      </c>
    </row>
    <row r="101" spans="1:25" x14ac:dyDescent="0.3">
      <c r="A101" s="8" t="s">
        <v>255</v>
      </c>
      <c r="B101" s="14">
        <v>46142</v>
      </c>
      <c r="C101" s="8" t="s">
        <v>256</v>
      </c>
      <c r="D101" s="8" t="s">
        <v>15</v>
      </c>
      <c r="E101" s="8" t="s">
        <v>30</v>
      </c>
      <c r="F101">
        <v>4</v>
      </c>
      <c r="G101">
        <v>1890</v>
      </c>
      <c r="H101">
        <v>0</v>
      </c>
      <c r="I101" s="8" t="s">
        <v>66</v>
      </c>
      <c r="J101" s="8" t="s">
        <v>31</v>
      </c>
      <c r="K101" s="8" t="s">
        <v>55</v>
      </c>
      <c r="L101">
        <v>7560</v>
      </c>
      <c r="M101" s="8" t="s">
        <v>20</v>
      </c>
      <c r="N101">
        <v>7560</v>
      </c>
      <c r="O101" s="8" t="s">
        <v>1701</v>
      </c>
      <c r="P101" s="8" t="s">
        <v>1543</v>
      </c>
      <c r="Q101" s="8" t="s">
        <v>1541</v>
      </c>
      <c r="R101" s="8" t="s">
        <v>52</v>
      </c>
      <c r="S101" s="8" t="s">
        <v>1542</v>
      </c>
      <c r="T101" s="8" t="s">
        <v>1573</v>
      </c>
      <c r="U101" s="8" t="s">
        <v>1571</v>
      </c>
      <c r="V101">
        <v>1800</v>
      </c>
      <c r="W101">
        <v>1120</v>
      </c>
      <c r="X101">
        <v>0</v>
      </c>
      <c r="Y101">
        <v>-4480</v>
      </c>
    </row>
    <row r="102" spans="1:25" x14ac:dyDescent="0.3">
      <c r="A102" s="8" t="s">
        <v>257</v>
      </c>
      <c r="B102" s="14">
        <v>46090</v>
      </c>
      <c r="C102" s="8" t="s">
        <v>258</v>
      </c>
      <c r="D102" s="8" t="s">
        <v>152</v>
      </c>
      <c r="E102" s="8" t="s">
        <v>63</v>
      </c>
      <c r="F102">
        <v>2</v>
      </c>
      <c r="G102">
        <v>2200</v>
      </c>
      <c r="H102">
        <v>0.2</v>
      </c>
      <c r="I102" s="8" t="s">
        <v>17</v>
      </c>
      <c r="J102" s="8" t="s">
        <v>47</v>
      </c>
      <c r="K102" s="8" t="s">
        <v>1698</v>
      </c>
      <c r="L102">
        <v>3520</v>
      </c>
      <c r="M102" s="8" t="s">
        <v>52</v>
      </c>
      <c r="N102">
        <v>3520</v>
      </c>
      <c r="O102" s="8" t="s">
        <v>1701</v>
      </c>
      <c r="P102" s="8" t="s">
        <v>1553</v>
      </c>
      <c r="Q102" s="8" t="s">
        <v>1554</v>
      </c>
      <c r="R102" s="8" t="s">
        <v>59</v>
      </c>
      <c r="S102" s="8" t="s">
        <v>1542</v>
      </c>
      <c r="T102" s="8" t="s">
        <v>1572</v>
      </c>
      <c r="U102" s="8" t="s">
        <v>1571</v>
      </c>
      <c r="V102">
        <v>2200</v>
      </c>
      <c r="W102">
        <v>1450</v>
      </c>
      <c r="X102">
        <v>3520</v>
      </c>
      <c r="Y102">
        <v>620</v>
      </c>
    </row>
    <row r="103" spans="1:25" x14ac:dyDescent="0.3">
      <c r="A103" s="8" t="s">
        <v>259</v>
      </c>
      <c r="B103" s="14">
        <v>46143</v>
      </c>
      <c r="C103" s="8" t="s">
        <v>260</v>
      </c>
      <c r="D103" s="8" t="s">
        <v>168</v>
      </c>
      <c r="E103" s="8" t="s">
        <v>183</v>
      </c>
      <c r="F103">
        <v>5</v>
      </c>
      <c r="G103">
        <v>3200</v>
      </c>
      <c r="H103">
        <v>0.15</v>
      </c>
      <c r="I103" s="8" t="s">
        <v>17</v>
      </c>
      <c r="J103" s="8" t="s">
        <v>18</v>
      </c>
      <c r="K103" s="8" t="s">
        <v>67</v>
      </c>
      <c r="L103">
        <v>13600</v>
      </c>
      <c r="M103" s="8" t="s">
        <v>32</v>
      </c>
      <c r="N103">
        <v>13600</v>
      </c>
      <c r="O103" s="8" t="s">
        <v>1701</v>
      </c>
      <c r="P103" s="8" t="s">
        <v>1540</v>
      </c>
      <c r="Q103" s="8" t="s">
        <v>1541</v>
      </c>
      <c r="R103" s="8" t="s">
        <v>20</v>
      </c>
      <c r="S103" s="8" t="s">
        <v>1542</v>
      </c>
      <c r="T103" s="8" t="s">
        <v>1582</v>
      </c>
      <c r="U103" s="8" t="s">
        <v>1583</v>
      </c>
      <c r="V103">
        <v>3200</v>
      </c>
      <c r="W103">
        <v>2050</v>
      </c>
      <c r="X103">
        <v>13600</v>
      </c>
      <c r="Y103">
        <v>3350</v>
      </c>
    </row>
    <row r="104" spans="1:25" x14ac:dyDescent="0.3">
      <c r="A104" s="8" t="s">
        <v>261</v>
      </c>
      <c r="B104" s="14">
        <v>46052</v>
      </c>
      <c r="C104" s="8" t="s">
        <v>250</v>
      </c>
      <c r="D104" s="8" t="s">
        <v>50</v>
      </c>
      <c r="E104" s="8" t="s">
        <v>16</v>
      </c>
      <c r="F104">
        <v>8</v>
      </c>
      <c r="G104">
        <v>617.5</v>
      </c>
      <c r="H104">
        <v>0.05</v>
      </c>
      <c r="I104" s="8" t="s">
        <v>116</v>
      </c>
      <c r="J104" s="8" t="s">
        <v>71</v>
      </c>
      <c r="K104" s="8" t="s">
        <v>25</v>
      </c>
      <c r="L104">
        <v>4693</v>
      </c>
      <c r="M104" s="8" t="s">
        <v>59</v>
      </c>
      <c r="N104">
        <v>4693</v>
      </c>
      <c r="O104" s="8" t="s">
        <v>1701</v>
      </c>
      <c r="P104" s="8" t="s">
        <v>1544</v>
      </c>
      <c r="Q104" s="8" t="s">
        <v>1541</v>
      </c>
      <c r="R104" s="8" t="s">
        <v>26</v>
      </c>
      <c r="S104" s="8" t="s">
        <v>1542</v>
      </c>
      <c r="T104" s="8" t="s">
        <v>1570</v>
      </c>
      <c r="U104" s="8" t="s">
        <v>1571</v>
      </c>
      <c r="V104">
        <v>650</v>
      </c>
      <c r="W104">
        <v>390</v>
      </c>
      <c r="X104">
        <v>0</v>
      </c>
      <c r="Y104">
        <v>-3120</v>
      </c>
    </row>
    <row r="105" spans="1:25" x14ac:dyDescent="0.3">
      <c r="A105" s="8" t="s">
        <v>262</v>
      </c>
      <c r="B105" s="14">
        <v>46122</v>
      </c>
      <c r="C105" s="8" t="s">
        <v>101</v>
      </c>
      <c r="D105" s="8" t="s">
        <v>62</v>
      </c>
      <c r="E105" s="8" t="s">
        <v>36</v>
      </c>
      <c r="F105">
        <v>3</v>
      </c>
      <c r="G105">
        <v>1470</v>
      </c>
      <c r="H105">
        <v>0.2</v>
      </c>
      <c r="I105" s="8" t="s">
        <v>17</v>
      </c>
      <c r="J105" s="8" t="s">
        <v>18</v>
      </c>
      <c r="K105" s="8" t="s">
        <v>1698</v>
      </c>
      <c r="L105">
        <v>3528</v>
      </c>
      <c r="M105" s="8" t="s">
        <v>56</v>
      </c>
      <c r="N105">
        <v>3528</v>
      </c>
      <c r="O105" s="8" t="s">
        <v>1701</v>
      </c>
      <c r="P105" s="8" t="s">
        <v>1551</v>
      </c>
      <c r="Q105" s="8" t="s">
        <v>1549</v>
      </c>
      <c r="R105" s="8" t="s">
        <v>1552</v>
      </c>
      <c r="S105" s="8" t="s">
        <v>1542</v>
      </c>
      <c r="T105" s="8" t="s">
        <v>1577</v>
      </c>
      <c r="U105" s="8" t="s">
        <v>1571</v>
      </c>
      <c r="V105">
        <v>1400</v>
      </c>
      <c r="W105">
        <v>780</v>
      </c>
      <c r="X105">
        <v>3528</v>
      </c>
      <c r="Y105">
        <v>1188</v>
      </c>
    </row>
    <row r="106" spans="1:25" x14ac:dyDescent="0.3">
      <c r="A106" s="8" t="s">
        <v>263</v>
      </c>
      <c r="B106" s="14">
        <v>46180</v>
      </c>
      <c r="C106" s="8" t="s">
        <v>264</v>
      </c>
      <c r="D106" s="8" t="s">
        <v>70</v>
      </c>
      <c r="E106" s="8" t="s">
        <v>135</v>
      </c>
      <c r="F106">
        <v>1</v>
      </c>
      <c r="G106">
        <v>17640</v>
      </c>
      <c r="H106">
        <v>0.05</v>
      </c>
      <c r="I106" s="8" t="s">
        <v>17</v>
      </c>
      <c r="J106" s="8" t="s">
        <v>47</v>
      </c>
      <c r="K106" s="8" t="s">
        <v>1698</v>
      </c>
      <c r="L106">
        <v>16758</v>
      </c>
      <c r="M106" s="8" t="s">
        <v>138</v>
      </c>
      <c r="N106">
        <v>16758</v>
      </c>
      <c r="O106" s="8" t="s">
        <v>1701</v>
      </c>
      <c r="P106" s="8" t="s">
        <v>1550</v>
      </c>
      <c r="Q106" s="8" t="s">
        <v>1549</v>
      </c>
      <c r="R106" s="8" t="s">
        <v>32</v>
      </c>
      <c r="S106" s="8" t="s">
        <v>1542</v>
      </c>
      <c r="T106" s="8" t="s">
        <v>1576</v>
      </c>
      <c r="U106" s="8" t="s">
        <v>1575</v>
      </c>
      <c r="V106">
        <v>16800</v>
      </c>
      <c r="W106">
        <v>12600</v>
      </c>
      <c r="X106">
        <v>16758</v>
      </c>
      <c r="Y106">
        <v>4158</v>
      </c>
    </row>
    <row r="107" spans="1:25" x14ac:dyDescent="0.3">
      <c r="A107" s="8" t="s">
        <v>265</v>
      </c>
      <c r="B107" s="14">
        <v>46162</v>
      </c>
      <c r="C107" s="8" t="s">
        <v>266</v>
      </c>
      <c r="D107" s="8" t="s">
        <v>77</v>
      </c>
      <c r="E107" s="8" t="s">
        <v>74</v>
      </c>
      <c r="F107">
        <v>2</v>
      </c>
      <c r="G107">
        <v>2280</v>
      </c>
      <c r="H107">
        <v>0.1</v>
      </c>
      <c r="I107" s="8" t="s">
        <v>17</v>
      </c>
      <c r="J107" s="8" t="s">
        <v>31</v>
      </c>
      <c r="K107" s="8" t="s">
        <v>41</v>
      </c>
      <c r="L107">
        <v>4104</v>
      </c>
      <c r="M107" s="8" t="s">
        <v>48</v>
      </c>
      <c r="N107">
        <v>4104</v>
      </c>
      <c r="O107" s="8" t="s">
        <v>1701</v>
      </c>
      <c r="P107" s="8" t="s">
        <v>1564</v>
      </c>
      <c r="Q107" s="8" t="s">
        <v>1563</v>
      </c>
      <c r="R107" s="8" t="s">
        <v>1565</v>
      </c>
      <c r="S107" s="8" t="s">
        <v>1542</v>
      </c>
      <c r="T107" s="8" t="s">
        <v>1584</v>
      </c>
      <c r="U107" s="8" t="s">
        <v>1583</v>
      </c>
      <c r="V107">
        <v>2400</v>
      </c>
      <c r="W107">
        <v>1480</v>
      </c>
      <c r="X107">
        <v>4104</v>
      </c>
      <c r="Y107">
        <v>1144</v>
      </c>
    </row>
    <row r="108" spans="1:25" x14ac:dyDescent="0.3">
      <c r="A108" s="8" t="s">
        <v>267</v>
      </c>
      <c r="B108" s="14">
        <v>46028</v>
      </c>
      <c r="C108" s="8" t="s">
        <v>113</v>
      </c>
      <c r="D108" s="8" t="s">
        <v>168</v>
      </c>
      <c r="E108" s="8" t="s">
        <v>36</v>
      </c>
      <c r="F108">
        <v>1</v>
      </c>
      <c r="G108">
        <v>1400</v>
      </c>
      <c r="H108">
        <v>0</v>
      </c>
      <c r="I108" s="8" t="s">
        <v>17</v>
      </c>
      <c r="J108" s="8" t="s">
        <v>71</v>
      </c>
      <c r="K108" s="8" t="s">
        <v>25</v>
      </c>
      <c r="L108">
        <v>1400</v>
      </c>
      <c r="M108" s="8" t="s">
        <v>52</v>
      </c>
      <c r="N108">
        <v>1400</v>
      </c>
      <c r="O108" s="8" t="s">
        <v>1701</v>
      </c>
      <c r="P108" s="8" t="s">
        <v>1540</v>
      </c>
      <c r="Q108" s="8" t="s">
        <v>1541</v>
      </c>
      <c r="R108" s="8" t="s">
        <v>20</v>
      </c>
      <c r="S108" s="8" t="s">
        <v>1542</v>
      </c>
      <c r="T108" s="8" t="s">
        <v>1577</v>
      </c>
      <c r="U108" s="8" t="s">
        <v>1571</v>
      </c>
      <c r="V108">
        <v>1400</v>
      </c>
      <c r="W108">
        <v>780</v>
      </c>
      <c r="X108">
        <v>1400</v>
      </c>
      <c r="Y108">
        <v>620</v>
      </c>
    </row>
    <row r="109" spans="1:25" x14ac:dyDescent="0.3">
      <c r="A109" s="8" t="s">
        <v>268</v>
      </c>
      <c r="B109" s="14">
        <v>46082</v>
      </c>
      <c r="C109" s="8" t="s">
        <v>269</v>
      </c>
      <c r="D109" s="8" t="s">
        <v>35</v>
      </c>
      <c r="E109" s="8" t="s">
        <v>30</v>
      </c>
      <c r="F109">
        <v>4</v>
      </c>
      <c r="G109">
        <v>1800</v>
      </c>
      <c r="H109">
        <v>0.15</v>
      </c>
      <c r="I109" s="8" t="s">
        <v>17</v>
      </c>
      <c r="J109" s="8" t="s">
        <v>47</v>
      </c>
      <c r="K109" s="8" t="s">
        <v>41</v>
      </c>
      <c r="L109">
        <v>6120</v>
      </c>
      <c r="M109" s="8" t="s">
        <v>42</v>
      </c>
      <c r="N109">
        <v>6120</v>
      </c>
      <c r="O109" s="8" t="s">
        <v>1701</v>
      </c>
      <c r="P109" s="8" t="s">
        <v>1548</v>
      </c>
      <c r="Q109" s="8" t="s">
        <v>1549</v>
      </c>
      <c r="R109" s="8" t="s">
        <v>42</v>
      </c>
      <c r="S109" s="8" t="s">
        <v>1542</v>
      </c>
      <c r="T109" s="8" t="s">
        <v>1573</v>
      </c>
      <c r="U109" s="8" t="s">
        <v>1571</v>
      </c>
      <c r="V109">
        <v>1800</v>
      </c>
      <c r="W109">
        <v>1120</v>
      </c>
      <c r="X109">
        <v>6120</v>
      </c>
      <c r="Y109">
        <v>1640</v>
      </c>
    </row>
    <row r="110" spans="1:25" x14ac:dyDescent="0.3">
      <c r="A110" s="8" t="s">
        <v>270</v>
      </c>
      <c r="B110" s="14">
        <v>46192</v>
      </c>
      <c r="C110" s="8" t="s">
        <v>271</v>
      </c>
      <c r="D110" s="8" t="s">
        <v>90</v>
      </c>
      <c r="E110" s="8" t="s">
        <v>16</v>
      </c>
      <c r="F110">
        <v>1</v>
      </c>
      <c r="G110">
        <v>650</v>
      </c>
      <c r="H110">
        <v>0.05</v>
      </c>
      <c r="I110" s="8" t="s">
        <v>17</v>
      </c>
      <c r="J110" s="8" t="s">
        <v>31</v>
      </c>
      <c r="K110" s="8" t="s">
        <v>41</v>
      </c>
      <c r="L110">
        <v>617.5</v>
      </c>
      <c r="M110" s="8" t="s">
        <v>26</v>
      </c>
      <c r="N110">
        <v>617.5</v>
      </c>
      <c r="O110" s="8" t="s">
        <v>1701</v>
      </c>
      <c r="P110" s="8" t="s">
        <v>1562</v>
      </c>
      <c r="Q110" s="8" t="s">
        <v>1563</v>
      </c>
      <c r="R110" s="8" t="s">
        <v>48</v>
      </c>
      <c r="S110" s="8" t="s">
        <v>1542</v>
      </c>
      <c r="T110" s="8" t="s">
        <v>1570</v>
      </c>
      <c r="U110" s="8" t="s">
        <v>1571</v>
      </c>
      <c r="V110">
        <v>650</v>
      </c>
      <c r="W110">
        <v>390</v>
      </c>
      <c r="X110">
        <v>617.5</v>
      </c>
      <c r="Y110">
        <v>227.5</v>
      </c>
    </row>
    <row r="111" spans="1:25" x14ac:dyDescent="0.3">
      <c r="A111" s="8" t="s">
        <v>272</v>
      </c>
      <c r="B111" s="14">
        <v>46036</v>
      </c>
      <c r="C111" s="8" t="s">
        <v>188</v>
      </c>
      <c r="D111" s="8" t="s">
        <v>50</v>
      </c>
      <c r="E111" s="8" t="s">
        <v>85</v>
      </c>
      <c r="F111">
        <v>2</v>
      </c>
      <c r="G111">
        <v>50925</v>
      </c>
      <c r="H111">
        <v>0</v>
      </c>
      <c r="I111" s="8" t="s">
        <v>17</v>
      </c>
      <c r="J111" s="8" t="s">
        <v>47</v>
      </c>
      <c r="K111" s="8" t="s">
        <v>25</v>
      </c>
      <c r="L111">
        <v>101850</v>
      </c>
      <c r="M111" s="8" t="s">
        <v>48</v>
      </c>
      <c r="N111">
        <v>101850</v>
      </c>
      <c r="O111" s="8" t="s">
        <v>1701</v>
      </c>
      <c r="P111" s="8" t="s">
        <v>1544</v>
      </c>
      <c r="Q111" s="8" t="s">
        <v>1541</v>
      </c>
      <c r="R111" s="8" t="s">
        <v>26</v>
      </c>
      <c r="S111" s="8" t="s">
        <v>1542</v>
      </c>
      <c r="T111" s="8" t="s">
        <v>1585</v>
      </c>
      <c r="U111" s="8" t="s">
        <v>1586</v>
      </c>
      <c r="V111">
        <v>48500</v>
      </c>
      <c r="W111">
        <v>41200</v>
      </c>
      <c r="X111">
        <v>101850</v>
      </c>
      <c r="Y111">
        <v>19450</v>
      </c>
    </row>
    <row r="112" spans="1:25" x14ac:dyDescent="0.3">
      <c r="A112" s="8" t="s">
        <v>273</v>
      </c>
      <c r="B112" s="14">
        <v>46050</v>
      </c>
      <c r="C112" s="8" t="s">
        <v>274</v>
      </c>
      <c r="D112" s="8" t="s">
        <v>62</v>
      </c>
      <c r="E112" s="8" t="s">
        <v>51</v>
      </c>
      <c r="F112">
        <v>1</v>
      </c>
      <c r="G112">
        <v>18500</v>
      </c>
      <c r="H112">
        <v>0.15</v>
      </c>
      <c r="I112" s="8" t="s">
        <v>17</v>
      </c>
      <c r="J112" s="8" t="s">
        <v>31</v>
      </c>
      <c r="K112" s="8" t="s">
        <v>1698</v>
      </c>
      <c r="L112">
        <v>15725</v>
      </c>
      <c r="M112" s="8" t="s">
        <v>56</v>
      </c>
      <c r="N112">
        <v>15725</v>
      </c>
      <c r="O112" s="8" t="s">
        <v>1701</v>
      </c>
      <c r="P112" s="8" t="s">
        <v>1551</v>
      </c>
      <c r="Q112" s="8" t="s">
        <v>1549</v>
      </c>
      <c r="R112" s="8" t="s">
        <v>1552</v>
      </c>
      <c r="S112" s="8" t="s">
        <v>1542</v>
      </c>
      <c r="T112" s="8" t="s">
        <v>1581</v>
      </c>
      <c r="U112" s="8" t="s">
        <v>1580</v>
      </c>
      <c r="V112">
        <v>18500</v>
      </c>
      <c r="W112">
        <v>13900</v>
      </c>
      <c r="X112">
        <v>15725</v>
      </c>
      <c r="Y112">
        <v>1825</v>
      </c>
    </row>
    <row r="113" spans="1:25" x14ac:dyDescent="0.3">
      <c r="A113" s="8" t="s">
        <v>275</v>
      </c>
      <c r="B113" s="14">
        <v>46125</v>
      </c>
      <c r="C113" s="8" t="s">
        <v>276</v>
      </c>
      <c r="D113" s="8" t="s">
        <v>70</v>
      </c>
      <c r="E113" s="8" t="s">
        <v>74</v>
      </c>
      <c r="F113">
        <v>1</v>
      </c>
      <c r="G113">
        <v>2280</v>
      </c>
      <c r="H113">
        <v>0.2</v>
      </c>
      <c r="I113" s="8" t="s">
        <v>80</v>
      </c>
      <c r="J113" s="8" t="s">
        <v>47</v>
      </c>
      <c r="K113" s="8" t="s">
        <v>25</v>
      </c>
      <c r="L113">
        <v>1824</v>
      </c>
      <c r="M113" s="8" t="s">
        <v>59</v>
      </c>
      <c r="N113">
        <v>1824</v>
      </c>
      <c r="O113" s="8" t="s">
        <v>1701</v>
      </c>
      <c r="P113" s="8" t="s">
        <v>1550</v>
      </c>
      <c r="Q113" s="8" t="s">
        <v>1549</v>
      </c>
      <c r="R113" s="8" t="s">
        <v>32</v>
      </c>
      <c r="S113" s="8" t="s">
        <v>1542</v>
      </c>
      <c r="T113" s="8" t="s">
        <v>1584</v>
      </c>
      <c r="U113" s="8" t="s">
        <v>1583</v>
      </c>
      <c r="V113">
        <v>2400</v>
      </c>
      <c r="W113">
        <v>1480</v>
      </c>
      <c r="X113">
        <v>0</v>
      </c>
      <c r="Y113">
        <v>-1480</v>
      </c>
    </row>
    <row r="114" spans="1:25" x14ac:dyDescent="0.3">
      <c r="A114" s="8" t="s">
        <v>277</v>
      </c>
      <c r="B114" s="14">
        <v>46039</v>
      </c>
      <c r="C114" s="8" t="s">
        <v>258</v>
      </c>
      <c r="D114" s="8" t="s">
        <v>50</v>
      </c>
      <c r="E114" s="8" t="s">
        <v>135</v>
      </c>
      <c r="F114">
        <v>3</v>
      </c>
      <c r="G114">
        <v>16800</v>
      </c>
      <c r="H114">
        <v>0.15</v>
      </c>
      <c r="I114" s="8" t="s">
        <v>17</v>
      </c>
      <c r="J114" s="8" t="s">
        <v>47</v>
      </c>
      <c r="K114" s="8" t="s">
        <v>55</v>
      </c>
      <c r="L114">
        <v>42840</v>
      </c>
      <c r="M114" s="8" t="s">
        <v>82</v>
      </c>
      <c r="N114">
        <v>42840</v>
      </c>
      <c r="O114" s="8" t="s">
        <v>1701</v>
      </c>
      <c r="P114" s="8" t="s">
        <v>1544</v>
      </c>
      <c r="Q114" s="8" t="s">
        <v>1541</v>
      </c>
      <c r="R114" s="8" t="s">
        <v>26</v>
      </c>
      <c r="S114" s="8" t="s">
        <v>1542</v>
      </c>
      <c r="T114" s="8" t="s">
        <v>1576</v>
      </c>
      <c r="U114" s="8" t="s">
        <v>1575</v>
      </c>
      <c r="V114">
        <v>16800</v>
      </c>
      <c r="W114">
        <v>12600</v>
      </c>
      <c r="X114">
        <v>42840</v>
      </c>
      <c r="Y114">
        <v>5040</v>
      </c>
    </row>
    <row r="115" spans="1:25" x14ac:dyDescent="0.3">
      <c r="A115" s="8" t="s">
        <v>278</v>
      </c>
      <c r="B115" s="14">
        <v>46177</v>
      </c>
      <c r="C115" s="8" t="s">
        <v>279</v>
      </c>
      <c r="D115" s="8" t="s">
        <v>70</v>
      </c>
      <c r="E115" s="8" t="s">
        <v>63</v>
      </c>
      <c r="F115">
        <v>4</v>
      </c>
      <c r="G115">
        <v>2200</v>
      </c>
      <c r="H115">
        <v>0</v>
      </c>
      <c r="I115" s="8" t="s">
        <v>66</v>
      </c>
      <c r="J115" s="8" t="s">
        <v>18</v>
      </c>
      <c r="K115" s="8" t="s">
        <v>41</v>
      </c>
      <c r="L115">
        <v>8800</v>
      </c>
      <c r="M115" s="8" t="s">
        <v>32</v>
      </c>
      <c r="N115">
        <v>8800</v>
      </c>
      <c r="O115" s="8" t="s">
        <v>1701</v>
      </c>
      <c r="P115" s="8" t="s">
        <v>1550</v>
      </c>
      <c r="Q115" s="8" t="s">
        <v>1549</v>
      </c>
      <c r="R115" s="8" t="s">
        <v>32</v>
      </c>
      <c r="S115" s="8" t="s">
        <v>1542</v>
      </c>
      <c r="T115" s="8" t="s">
        <v>1572</v>
      </c>
      <c r="U115" s="8" t="s">
        <v>1571</v>
      </c>
      <c r="V115">
        <v>2200</v>
      </c>
      <c r="W115">
        <v>1450</v>
      </c>
      <c r="X115">
        <v>0</v>
      </c>
      <c r="Y115">
        <v>-5800</v>
      </c>
    </row>
    <row r="116" spans="1:25" x14ac:dyDescent="0.3">
      <c r="A116" s="8" t="s">
        <v>280</v>
      </c>
      <c r="B116" s="14">
        <v>46109</v>
      </c>
      <c r="C116" s="8" t="s">
        <v>281</v>
      </c>
      <c r="D116" s="8" t="s">
        <v>90</v>
      </c>
      <c r="E116" s="8" t="s">
        <v>46</v>
      </c>
      <c r="F116">
        <v>2</v>
      </c>
      <c r="G116">
        <v>8190</v>
      </c>
      <c r="H116">
        <v>0.2</v>
      </c>
      <c r="I116" s="8" t="s">
        <v>17</v>
      </c>
      <c r="J116" s="8" t="s">
        <v>47</v>
      </c>
      <c r="K116" s="8" t="s">
        <v>67</v>
      </c>
      <c r="L116">
        <v>13104</v>
      </c>
      <c r="M116" s="8" t="s">
        <v>59</v>
      </c>
      <c r="N116">
        <v>13104</v>
      </c>
      <c r="O116" s="8" t="s">
        <v>1701</v>
      </c>
      <c r="P116" s="8" t="s">
        <v>1562</v>
      </c>
      <c r="Q116" s="8" t="s">
        <v>1563</v>
      </c>
      <c r="R116" s="8" t="s">
        <v>48</v>
      </c>
      <c r="S116" s="8" t="s">
        <v>1542</v>
      </c>
      <c r="T116" s="8" t="s">
        <v>1579</v>
      </c>
      <c r="U116" s="8" t="s">
        <v>1580</v>
      </c>
      <c r="V116">
        <v>7800</v>
      </c>
      <c r="W116">
        <v>5200</v>
      </c>
      <c r="X116">
        <v>13104</v>
      </c>
      <c r="Y116">
        <v>2704</v>
      </c>
    </row>
    <row r="117" spans="1:25" x14ac:dyDescent="0.3">
      <c r="A117" s="8" t="s">
        <v>282</v>
      </c>
      <c r="B117" s="14">
        <v>46198</v>
      </c>
      <c r="C117" s="8" t="s">
        <v>283</v>
      </c>
      <c r="D117" s="8" t="s">
        <v>77</v>
      </c>
      <c r="E117" s="8" t="s">
        <v>46</v>
      </c>
      <c r="F117">
        <v>1</v>
      </c>
      <c r="G117">
        <v>7410</v>
      </c>
      <c r="H117">
        <v>0</v>
      </c>
      <c r="I117" s="8" t="s">
        <v>17</v>
      </c>
      <c r="J117" s="8" t="s">
        <v>71</v>
      </c>
      <c r="K117" s="8" t="s">
        <v>25</v>
      </c>
      <c r="L117">
        <v>7410</v>
      </c>
      <c r="M117" s="8" t="s">
        <v>20</v>
      </c>
      <c r="N117">
        <v>7410</v>
      </c>
      <c r="O117" s="8" t="s">
        <v>1701</v>
      </c>
      <c r="P117" s="8" t="s">
        <v>1564</v>
      </c>
      <c r="Q117" s="8" t="s">
        <v>1563</v>
      </c>
      <c r="R117" s="8" t="s">
        <v>1565</v>
      </c>
      <c r="S117" s="8" t="s">
        <v>1542</v>
      </c>
      <c r="T117" s="8" t="s">
        <v>1579</v>
      </c>
      <c r="U117" s="8" t="s">
        <v>1580</v>
      </c>
      <c r="V117">
        <v>7800</v>
      </c>
      <c r="W117">
        <v>5200</v>
      </c>
      <c r="X117">
        <v>7410</v>
      </c>
      <c r="Y117">
        <v>2210</v>
      </c>
    </row>
    <row r="118" spans="1:25" x14ac:dyDescent="0.3">
      <c r="A118" s="8" t="s">
        <v>284</v>
      </c>
      <c r="B118" s="14">
        <v>46173</v>
      </c>
      <c r="C118" s="8" t="s">
        <v>285</v>
      </c>
      <c r="D118" s="8" t="s">
        <v>152</v>
      </c>
      <c r="E118" s="8" t="s">
        <v>51</v>
      </c>
      <c r="F118">
        <v>2</v>
      </c>
      <c r="G118">
        <v>19425</v>
      </c>
      <c r="H118">
        <v>0</v>
      </c>
      <c r="I118" s="8" t="s">
        <v>17</v>
      </c>
      <c r="J118" s="8" t="s">
        <v>47</v>
      </c>
      <c r="K118" s="8" t="s">
        <v>25</v>
      </c>
      <c r="L118">
        <v>38850</v>
      </c>
      <c r="M118" s="8" t="s">
        <v>26</v>
      </c>
      <c r="N118">
        <v>38850</v>
      </c>
      <c r="O118" s="8" t="s">
        <v>1701</v>
      </c>
      <c r="P118" s="8" t="s">
        <v>1553</v>
      </c>
      <c r="Q118" s="8" t="s">
        <v>1554</v>
      </c>
      <c r="R118" s="8" t="s">
        <v>59</v>
      </c>
      <c r="S118" s="8" t="s">
        <v>1542</v>
      </c>
      <c r="T118" s="8" t="s">
        <v>1581</v>
      </c>
      <c r="U118" s="8" t="s">
        <v>1580</v>
      </c>
      <c r="V118">
        <v>18500</v>
      </c>
      <c r="W118">
        <v>13900</v>
      </c>
      <c r="X118">
        <v>38850</v>
      </c>
      <c r="Y118">
        <v>11050</v>
      </c>
    </row>
    <row r="119" spans="1:25" x14ac:dyDescent="0.3">
      <c r="A119" s="8" t="s">
        <v>286</v>
      </c>
      <c r="B119" s="14">
        <v>46113</v>
      </c>
      <c r="C119" s="8" t="s">
        <v>94</v>
      </c>
      <c r="D119" s="8" t="s">
        <v>15</v>
      </c>
      <c r="E119" s="8" t="s">
        <v>183</v>
      </c>
      <c r="F119">
        <v>2</v>
      </c>
      <c r="G119">
        <v>3200</v>
      </c>
      <c r="H119">
        <v>0</v>
      </c>
      <c r="I119" s="8" t="s">
        <v>17</v>
      </c>
      <c r="J119" s="8" t="s">
        <v>47</v>
      </c>
      <c r="K119" s="8" t="s">
        <v>25</v>
      </c>
      <c r="L119">
        <v>6400</v>
      </c>
      <c r="M119" s="8" t="s">
        <v>138</v>
      </c>
      <c r="N119">
        <v>6400</v>
      </c>
      <c r="O119" s="8" t="s">
        <v>1701</v>
      </c>
      <c r="P119" s="8" t="s">
        <v>1543</v>
      </c>
      <c r="Q119" s="8" t="s">
        <v>1541</v>
      </c>
      <c r="R119" s="8" t="s">
        <v>52</v>
      </c>
      <c r="S119" s="8" t="s">
        <v>1542</v>
      </c>
      <c r="T119" s="8" t="s">
        <v>1582</v>
      </c>
      <c r="U119" s="8" t="s">
        <v>1583</v>
      </c>
      <c r="V119">
        <v>3200</v>
      </c>
      <c r="W119">
        <v>2050</v>
      </c>
      <c r="X119">
        <v>6400</v>
      </c>
      <c r="Y119">
        <v>2300</v>
      </c>
    </row>
    <row r="120" spans="1:25" x14ac:dyDescent="0.3">
      <c r="A120" s="8" t="s">
        <v>287</v>
      </c>
      <c r="B120" s="14">
        <v>46052</v>
      </c>
      <c r="C120" s="8" t="s">
        <v>129</v>
      </c>
      <c r="D120" s="8" t="s">
        <v>29</v>
      </c>
      <c r="E120" s="8" t="s">
        <v>135</v>
      </c>
      <c r="F120">
        <v>3</v>
      </c>
      <c r="G120">
        <v>15960</v>
      </c>
      <c r="H120">
        <v>0.1</v>
      </c>
      <c r="I120" s="8" t="s">
        <v>66</v>
      </c>
      <c r="J120" s="8" t="s">
        <v>31</v>
      </c>
      <c r="K120" s="8" t="s">
        <v>41</v>
      </c>
      <c r="L120">
        <v>43092</v>
      </c>
      <c r="M120" s="8" t="s">
        <v>26</v>
      </c>
      <c r="N120">
        <v>43092</v>
      </c>
      <c r="O120" s="8" t="s">
        <v>1701</v>
      </c>
      <c r="P120" s="8" t="s">
        <v>1560</v>
      </c>
      <c r="Q120" s="8" t="s">
        <v>1559</v>
      </c>
      <c r="R120" s="8" t="s">
        <v>1561</v>
      </c>
      <c r="S120" s="8" t="s">
        <v>1542</v>
      </c>
      <c r="T120" s="8" t="s">
        <v>1576</v>
      </c>
      <c r="U120" s="8" t="s">
        <v>1575</v>
      </c>
      <c r="V120">
        <v>16800</v>
      </c>
      <c r="W120">
        <v>12600</v>
      </c>
      <c r="X120">
        <v>0</v>
      </c>
      <c r="Y120">
        <v>-37800</v>
      </c>
    </row>
    <row r="121" spans="1:25" x14ac:dyDescent="0.3">
      <c r="A121" s="8" t="s">
        <v>288</v>
      </c>
      <c r="B121" s="14">
        <v>46202</v>
      </c>
      <c r="C121" s="8" t="s">
        <v>289</v>
      </c>
      <c r="D121" s="8" t="s">
        <v>29</v>
      </c>
      <c r="E121" s="8" t="s">
        <v>135</v>
      </c>
      <c r="F121">
        <v>8</v>
      </c>
      <c r="G121">
        <v>16800</v>
      </c>
      <c r="H121">
        <v>0.05</v>
      </c>
      <c r="I121" s="8" t="s">
        <v>17</v>
      </c>
      <c r="J121" s="8" t="s">
        <v>31</v>
      </c>
      <c r="K121" s="8" t="s">
        <v>41</v>
      </c>
      <c r="L121">
        <v>127680</v>
      </c>
      <c r="M121" s="8" t="s">
        <v>20</v>
      </c>
      <c r="N121">
        <v>127680</v>
      </c>
      <c r="O121" s="8" t="s">
        <v>1701</v>
      </c>
      <c r="P121" s="8" t="s">
        <v>1560</v>
      </c>
      <c r="Q121" s="8" t="s">
        <v>1559</v>
      </c>
      <c r="R121" s="8" t="s">
        <v>1561</v>
      </c>
      <c r="S121" s="8" t="s">
        <v>1542</v>
      </c>
      <c r="T121" s="8" t="s">
        <v>1576</v>
      </c>
      <c r="U121" s="8" t="s">
        <v>1575</v>
      </c>
      <c r="V121">
        <v>16800</v>
      </c>
      <c r="W121">
        <v>12600</v>
      </c>
      <c r="X121">
        <v>127680</v>
      </c>
      <c r="Y121">
        <v>26880</v>
      </c>
    </row>
    <row r="122" spans="1:25" x14ac:dyDescent="0.3">
      <c r="A122" s="8" t="s">
        <v>290</v>
      </c>
      <c r="B122" s="14">
        <v>46046</v>
      </c>
      <c r="C122" s="8" t="s">
        <v>291</v>
      </c>
      <c r="D122" s="8" t="s">
        <v>123</v>
      </c>
      <c r="E122" s="8" t="s">
        <v>51</v>
      </c>
      <c r="F122">
        <v>1</v>
      </c>
      <c r="G122">
        <v>18500</v>
      </c>
      <c r="H122">
        <v>0.1</v>
      </c>
      <c r="I122" s="8" t="s">
        <v>17</v>
      </c>
      <c r="J122" s="8" t="s">
        <v>47</v>
      </c>
      <c r="K122" s="8" t="s">
        <v>67</v>
      </c>
      <c r="L122">
        <v>16650</v>
      </c>
      <c r="M122" s="8" t="s">
        <v>48</v>
      </c>
      <c r="N122">
        <v>16650</v>
      </c>
      <c r="O122" s="8" t="s">
        <v>1701</v>
      </c>
      <c r="P122" s="8" t="s">
        <v>1558</v>
      </c>
      <c r="Q122" s="8" t="s">
        <v>1559</v>
      </c>
      <c r="R122" s="8" t="s">
        <v>138</v>
      </c>
      <c r="S122" s="8" t="s">
        <v>1542</v>
      </c>
      <c r="T122" s="8" t="s">
        <v>1581</v>
      </c>
      <c r="U122" s="8" t="s">
        <v>1580</v>
      </c>
      <c r="V122">
        <v>18500</v>
      </c>
      <c r="W122">
        <v>13900</v>
      </c>
      <c r="X122">
        <v>16650</v>
      </c>
      <c r="Y122">
        <v>2750</v>
      </c>
    </row>
    <row r="123" spans="1:25" x14ac:dyDescent="0.3">
      <c r="A123" s="8" t="s">
        <v>292</v>
      </c>
      <c r="B123" s="14">
        <v>46175</v>
      </c>
      <c r="C123" s="8" t="s">
        <v>209</v>
      </c>
      <c r="D123" s="8" t="s">
        <v>15</v>
      </c>
      <c r="E123" s="8" t="s">
        <v>16</v>
      </c>
      <c r="F123">
        <v>1</v>
      </c>
      <c r="G123">
        <v>617.5</v>
      </c>
      <c r="H123">
        <v>0.15</v>
      </c>
      <c r="I123" s="8" t="s">
        <v>17</v>
      </c>
      <c r="J123" s="8" t="s">
        <v>18</v>
      </c>
      <c r="K123" s="8" t="s">
        <v>55</v>
      </c>
      <c r="L123">
        <v>524.88</v>
      </c>
      <c r="M123" s="8" t="s">
        <v>56</v>
      </c>
      <c r="N123">
        <v>524.875</v>
      </c>
      <c r="O123" s="8" t="s">
        <v>1701</v>
      </c>
      <c r="P123" s="8" t="s">
        <v>1543</v>
      </c>
      <c r="Q123" s="8" t="s">
        <v>1541</v>
      </c>
      <c r="R123" s="8" t="s">
        <v>52</v>
      </c>
      <c r="S123" s="8" t="s">
        <v>1542</v>
      </c>
      <c r="T123" s="8" t="s">
        <v>1570</v>
      </c>
      <c r="U123" s="8" t="s">
        <v>1571</v>
      </c>
      <c r="V123">
        <v>650</v>
      </c>
      <c r="W123">
        <v>390</v>
      </c>
      <c r="X123">
        <v>524.875</v>
      </c>
      <c r="Y123">
        <v>134.875</v>
      </c>
    </row>
    <row r="124" spans="1:25" x14ac:dyDescent="0.3">
      <c r="A124" s="8" t="s">
        <v>293</v>
      </c>
      <c r="B124" s="14">
        <v>46178</v>
      </c>
      <c r="C124" s="8" t="s">
        <v>294</v>
      </c>
      <c r="D124" s="8" t="s">
        <v>62</v>
      </c>
      <c r="E124" s="8" t="s">
        <v>161</v>
      </c>
      <c r="F124">
        <v>1</v>
      </c>
      <c r="G124">
        <v>2730</v>
      </c>
      <c r="H124">
        <v>0.15</v>
      </c>
      <c r="I124" s="8" t="s">
        <v>17</v>
      </c>
      <c r="J124" s="8" t="s">
        <v>47</v>
      </c>
      <c r="K124" s="8" t="s">
        <v>25</v>
      </c>
      <c r="L124">
        <v>2320.5</v>
      </c>
      <c r="M124" s="8" t="s">
        <v>56</v>
      </c>
      <c r="N124">
        <v>2320.5</v>
      </c>
      <c r="O124" s="8" t="s">
        <v>1701</v>
      </c>
      <c r="P124" s="8" t="s">
        <v>1551</v>
      </c>
      <c r="Q124" s="8" t="s">
        <v>1549</v>
      </c>
      <c r="R124" s="8" t="s">
        <v>1552</v>
      </c>
      <c r="S124" s="8" t="s">
        <v>1542</v>
      </c>
      <c r="T124" s="8" t="s">
        <v>1578</v>
      </c>
      <c r="U124" s="8" t="s">
        <v>1571</v>
      </c>
      <c r="V124">
        <v>2600</v>
      </c>
      <c r="W124">
        <v>1750</v>
      </c>
      <c r="X124">
        <v>2320.5</v>
      </c>
      <c r="Y124">
        <v>570.5</v>
      </c>
    </row>
    <row r="125" spans="1:25" x14ac:dyDescent="0.3">
      <c r="A125" s="8" t="s">
        <v>295</v>
      </c>
      <c r="B125" s="14">
        <v>46157</v>
      </c>
      <c r="C125" s="8" t="s">
        <v>296</v>
      </c>
      <c r="D125" s="8" t="s">
        <v>95</v>
      </c>
      <c r="E125" s="8" t="s">
        <v>135</v>
      </c>
      <c r="F125">
        <v>1</v>
      </c>
      <c r="G125">
        <v>15960</v>
      </c>
      <c r="H125">
        <v>0.1</v>
      </c>
      <c r="I125" s="8" t="s">
        <v>116</v>
      </c>
      <c r="J125" s="8" t="s">
        <v>71</v>
      </c>
      <c r="K125" s="8" t="s">
        <v>67</v>
      </c>
      <c r="L125">
        <v>14364</v>
      </c>
      <c r="M125" s="8" t="s">
        <v>52</v>
      </c>
      <c r="N125">
        <v>14364</v>
      </c>
      <c r="O125" s="8" t="s">
        <v>1701</v>
      </c>
      <c r="P125" s="8" t="s">
        <v>1556</v>
      </c>
      <c r="Q125" s="8" t="s">
        <v>1554</v>
      </c>
      <c r="R125" s="8" t="s">
        <v>1557</v>
      </c>
      <c r="S125" s="8" t="s">
        <v>1542</v>
      </c>
      <c r="T125" s="8" t="s">
        <v>1576</v>
      </c>
      <c r="U125" s="8" t="s">
        <v>1575</v>
      </c>
      <c r="V125">
        <v>16800</v>
      </c>
      <c r="W125">
        <v>12600</v>
      </c>
      <c r="X125">
        <v>0</v>
      </c>
      <c r="Y125">
        <v>-12600</v>
      </c>
    </row>
    <row r="126" spans="1:25" x14ac:dyDescent="0.3">
      <c r="A126" s="8" t="s">
        <v>297</v>
      </c>
      <c r="B126" s="14">
        <v>46058</v>
      </c>
      <c r="C126" s="8" t="s">
        <v>298</v>
      </c>
      <c r="D126" s="8" t="s">
        <v>29</v>
      </c>
      <c r="E126" s="8" t="s">
        <v>135</v>
      </c>
      <c r="F126">
        <v>1</v>
      </c>
      <c r="G126">
        <v>17640</v>
      </c>
      <c r="H126">
        <v>0</v>
      </c>
      <c r="I126" s="8" t="s">
        <v>17</v>
      </c>
      <c r="J126" s="8" t="s">
        <v>71</v>
      </c>
      <c r="K126" s="8" t="s">
        <v>55</v>
      </c>
      <c r="L126">
        <v>17640</v>
      </c>
      <c r="M126" s="8" t="s">
        <v>82</v>
      </c>
      <c r="N126">
        <v>17640</v>
      </c>
      <c r="O126" s="8" t="s">
        <v>1701</v>
      </c>
      <c r="P126" s="8" t="s">
        <v>1560</v>
      </c>
      <c r="Q126" s="8" t="s">
        <v>1559</v>
      </c>
      <c r="R126" s="8" t="s">
        <v>1561</v>
      </c>
      <c r="S126" s="8" t="s">
        <v>1542</v>
      </c>
      <c r="T126" s="8" t="s">
        <v>1576</v>
      </c>
      <c r="U126" s="8" t="s">
        <v>1575</v>
      </c>
      <c r="V126">
        <v>16800</v>
      </c>
      <c r="W126">
        <v>12600</v>
      </c>
      <c r="X126">
        <v>17640</v>
      </c>
      <c r="Y126">
        <v>5040</v>
      </c>
    </row>
    <row r="127" spans="1:25" x14ac:dyDescent="0.3">
      <c r="A127" s="8" t="s">
        <v>299</v>
      </c>
      <c r="B127" s="14">
        <v>46203</v>
      </c>
      <c r="C127" s="8" t="s">
        <v>300</v>
      </c>
      <c r="D127" s="8" t="s">
        <v>23</v>
      </c>
      <c r="E127" s="8" t="s">
        <v>51</v>
      </c>
      <c r="F127">
        <v>3</v>
      </c>
      <c r="G127">
        <v>17575</v>
      </c>
      <c r="H127">
        <v>0.2</v>
      </c>
      <c r="I127" s="8" t="s">
        <v>17</v>
      </c>
      <c r="J127" s="8" t="s">
        <v>31</v>
      </c>
      <c r="K127" s="8" t="s">
        <v>55</v>
      </c>
      <c r="L127">
        <v>42180</v>
      </c>
      <c r="M127" s="8" t="s">
        <v>20</v>
      </c>
      <c r="N127">
        <v>42180</v>
      </c>
      <c r="O127" s="8" t="s">
        <v>1701</v>
      </c>
      <c r="P127" s="8" t="s">
        <v>1545</v>
      </c>
      <c r="Q127" s="8" t="s">
        <v>1541</v>
      </c>
      <c r="R127" s="8" t="s">
        <v>1546</v>
      </c>
      <c r="S127" s="8" t="s">
        <v>1542</v>
      </c>
      <c r="T127" s="8" t="s">
        <v>1581</v>
      </c>
      <c r="U127" s="8" t="s">
        <v>1580</v>
      </c>
      <c r="V127">
        <v>18500</v>
      </c>
      <c r="W127">
        <v>13900</v>
      </c>
      <c r="X127">
        <v>42180</v>
      </c>
      <c r="Y127">
        <v>480</v>
      </c>
    </row>
    <row r="128" spans="1:25" x14ac:dyDescent="0.3">
      <c r="A128" s="8" t="s">
        <v>301</v>
      </c>
      <c r="B128" s="14">
        <v>46140</v>
      </c>
      <c r="C128" s="8" t="s">
        <v>302</v>
      </c>
      <c r="D128" s="8" t="s">
        <v>77</v>
      </c>
      <c r="E128" s="8" t="s">
        <v>63</v>
      </c>
      <c r="F128">
        <v>5</v>
      </c>
      <c r="G128">
        <v>2310</v>
      </c>
      <c r="H128">
        <v>0.15</v>
      </c>
      <c r="I128" s="8" t="s">
        <v>17</v>
      </c>
      <c r="J128" s="8" t="s">
        <v>47</v>
      </c>
      <c r="K128" s="8" t="s">
        <v>1698</v>
      </c>
      <c r="L128">
        <v>9817.5</v>
      </c>
      <c r="M128" s="8" t="s">
        <v>32</v>
      </c>
      <c r="N128">
        <v>9817.5</v>
      </c>
      <c r="O128" s="8" t="s">
        <v>1701</v>
      </c>
      <c r="P128" s="8" t="s">
        <v>1564</v>
      </c>
      <c r="Q128" s="8" t="s">
        <v>1563</v>
      </c>
      <c r="R128" s="8" t="s">
        <v>1565</v>
      </c>
      <c r="S128" s="8" t="s">
        <v>1542</v>
      </c>
      <c r="T128" s="8" t="s">
        <v>1572</v>
      </c>
      <c r="U128" s="8" t="s">
        <v>1571</v>
      </c>
      <c r="V128">
        <v>2200</v>
      </c>
      <c r="W128">
        <v>1450</v>
      </c>
      <c r="X128">
        <v>9817.5</v>
      </c>
      <c r="Y128">
        <v>2567.5</v>
      </c>
    </row>
    <row r="129" spans="1:25" x14ac:dyDescent="0.3">
      <c r="A129" s="8" t="s">
        <v>303</v>
      </c>
      <c r="B129" s="14">
        <v>46028</v>
      </c>
      <c r="C129" s="8" t="s">
        <v>304</v>
      </c>
      <c r="D129" s="8" t="s">
        <v>35</v>
      </c>
      <c r="E129" s="8" t="s">
        <v>30</v>
      </c>
      <c r="F129">
        <v>4</v>
      </c>
      <c r="G129">
        <v>1800</v>
      </c>
      <c r="H129">
        <v>0.15</v>
      </c>
      <c r="I129" s="8" t="s">
        <v>17</v>
      </c>
      <c r="J129" s="8" t="s">
        <v>18</v>
      </c>
      <c r="K129" s="8" t="s">
        <v>1698</v>
      </c>
      <c r="L129">
        <v>6120</v>
      </c>
      <c r="M129" s="8" t="s">
        <v>52</v>
      </c>
      <c r="N129">
        <v>6120</v>
      </c>
      <c r="O129" s="8" t="s">
        <v>1701</v>
      </c>
      <c r="P129" s="8" t="s">
        <v>1548</v>
      </c>
      <c r="Q129" s="8" t="s">
        <v>1549</v>
      </c>
      <c r="R129" s="8" t="s">
        <v>42</v>
      </c>
      <c r="S129" s="8" t="s">
        <v>1542</v>
      </c>
      <c r="T129" s="8" t="s">
        <v>1573</v>
      </c>
      <c r="U129" s="8" t="s">
        <v>1571</v>
      </c>
      <c r="V129">
        <v>1800</v>
      </c>
      <c r="W129">
        <v>1120</v>
      </c>
      <c r="X129">
        <v>6120</v>
      </c>
      <c r="Y129">
        <v>1640</v>
      </c>
    </row>
    <row r="130" spans="1:25" x14ac:dyDescent="0.3">
      <c r="A130" s="8" t="s">
        <v>305</v>
      </c>
      <c r="B130" s="14">
        <v>46134</v>
      </c>
      <c r="C130" s="8" t="s">
        <v>306</v>
      </c>
      <c r="D130" s="8" t="s">
        <v>40</v>
      </c>
      <c r="E130" s="8" t="s">
        <v>161</v>
      </c>
      <c r="F130">
        <v>2</v>
      </c>
      <c r="G130">
        <v>2600</v>
      </c>
      <c r="H130">
        <v>0.1</v>
      </c>
      <c r="I130" s="8" t="s">
        <v>66</v>
      </c>
      <c r="J130" s="8" t="s">
        <v>47</v>
      </c>
      <c r="K130" s="8" t="s">
        <v>41</v>
      </c>
      <c r="L130">
        <v>4680</v>
      </c>
      <c r="M130" s="8" t="s">
        <v>42</v>
      </c>
      <c r="N130">
        <v>4680</v>
      </c>
      <c r="O130" s="8" t="s">
        <v>1701</v>
      </c>
      <c r="P130" s="8" t="s">
        <v>1555</v>
      </c>
      <c r="Q130" s="8" t="s">
        <v>1554</v>
      </c>
      <c r="R130" s="8" t="s">
        <v>82</v>
      </c>
      <c r="S130" s="8" t="s">
        <v>1542</v>
      </c>
      <c r="T130" s="8" t="s">
        <v>1578</v>
      </c>
      <c r="U130" s="8" t="s">
        <v>1571</v>
      </c>
      <c r="V130">
        <v>2600</v>
      </c>
      <c r="W130">
        <v>1750</v>
      </c>
      <c r="X130">
        <v>0</v>
      </c>
      <c r="Y130">
        <v>-3500</v>
      </c>
    </row>
    <row r="131" spans="1:25" x14ac:dyDescent="0.3">
      <c r="A131" s="8" t="s">
        <v>307</v>
      </c>
      <c r="B131" s="14">
        <v>46153</v>
      </c>
      <c r="C131" s="8" t="s">
        <v>308</v>
      </c>
      <c r="D131" s="8" t="s">
        <v>95</v>
      </c>
      <c r="E131" s="8" t="s">
        <v>63</v>
      </c>
      <c r="F131">
        <v>2</v>
      </c>
      <c r="G131">
        <v>2200</v>
      </c>
      <c r="H131">
        <v>0</v>
      </c>
      <c r="I131" s="8" t="s">
        <v>80</v>
      </c>
      <c r="J131" s="8" t="s">
        <v>71</v>
      </c>
      <c r="K131" s="8" t="s">
        <v>41</v>
      </c>
      <c r="L131">
        <v>4400</v>
      </c>
      <c r="M131" s="8" t="s">
        <v>42</v>
      </c>
      <c r="N131">
        <v>4400</v>
      </c>
      <c r="O131" s="8" t="s">
        <v>1701</v>
      </c>
      <c r="P131" s="8" t="s">
        <v>1556</v>
      </c>
      <c r="Q131" s="8" t="s">
        <v>1554</v>
      </c>
      <c r="R131" s="8" t="s">
        <v>1557</v>
      </c>
      <c r="S131" s="8" t="s">
        <v>1542</v>
      </c>
      <c r="T131" s="8" t="s">
        <v>1572</v>
      </c>
      <c r="U131" s="8" t="s">
        <v>1571</v>
      </c>
      <c r="V131">
        <v>2200</v>
      </c>
      <c r="W131">
        <v>1450</v>
      </c>
      <c r="X131">
        <v>0</v>
      </c>
      <c r="Y131">
        <v>-2900</v>
      </c>
    </row>
    <row r="132" spans="1:25" x14ac:dyDescent="0.3">
      <c r="A132" s="8" t="s">
        <v>309</v>
      </c>
      <c r="B132" s="14">
        <v>46060</v>
      </c>
      <c r="C132" s="8" t="s">
        <v>310</v>
      </c>
      <c r="D132" s="8" t="s">
        <v>45</v>
      </c>
      <c r="E132" s="8" t="s">
        <v>24</v>
      </c>
      <c r="F132">
        <v>1</v>
      </c>
      <c r="G132">
        <v>10640</v>
      </c>
      <c r="H132">
        <v>0</v>
      </c>
      <c r="I132" s="8" t="s">
        <v>17</v>
      </c>
      <c r="J132" s="8" t="s">
        <v>18</v>
      </c>
      <c r="K132" s="8" t="s">
        <v>55</v>
      </c>
      <c r="L132">
        <v>10640</v>
      </c>
      <c r="M132" s="8" t="s">
        <v>48</v>
      </c>
      <c r="N132">
        <v>10640</v>
      </c>
      <c r="O132" s="8" t="s">
        <v>1701</v>
      </c>
      <c r="P132" s="8" t="s">
        <v>1547</v>
      </c>
      <c r="Q132" s="8" t="s">
        <v>1541</v>
      </c>
      <c r="R132" s="8" t="s">
        <v>56</v>
      </c>
      <c r="S132" s="8" t="s">
        <v>1542</v>
      </c>
      <c r="T132" s="8" t="s">
        <v>1574</v>
      </c>
      <c r="U132" s="8" t="s">
        <v>1575</v>
      </c>
      <c r="V132">
        <v>11200</v>
      </c>
      <c r="W132">
        <v>8300</v>
      </c>
      <c r="X132">
        <v>10640</v>
      </c>
      <c r="Y132">
        <v>2340</v>
      </c>
    </row>
    <row r="133" spans="1:25" x14ac:dyDescent="0.3">
      <c r="A133" s="8" t="s">
        <v>311</v>
      </c>
      <c r="B133" s="14">
        <v>46171</v>
      </c>
      <c r="C133" s="8" t="s">
        <v>192</v>
      </c>
      <c r="D133" s="8" t="s">
        <v>62</v>
      </c>
      <c r="E133" s="8" t="s">
        <v>74</v>
      </c>
      <c r="F133">
        <v>8</v>
      </c>
      <c r="G133">
        <v>2400</v>
      </c>
      <c r="H133">
        <v>0.15</v>
      </c>
      <c r="I133" s="8" t="s">
        <v>17</v>
      </c>
      <c r="J133" s="8" t="s">
        <v>71</v>
      </c>
      <c r="K133" s="8" t="s">
        <v>55</v>
      </c>
      <c r="L133">
        <v>16320</v>
      </c>
      <c r="M133" s="8" t="s">
        <v>42</v>
      </c>
      <c r="N133">
        <v>16320</v>
      </c>
      <c r="O133" s="8" t="s">
        <v>1701</v>
      </c>
      <c r="P133" s="8" t="s">
        <v>1551</v>
      </c>
      <c r="Q133" s="8" t="s">
        <v>1549</v>
      </c>
      <c r="R133" s="8" t="s">
        <v>1552</v>
      </c>
      <c r="S133" s="8" t="s">
        <v>1542</v>
      </c>
      <c r="T133" s="8" t="s">
        <v>1584</v>
      </c>
      <c r="U133" s="8" t="s">
        <v>1583</v>
      </c>
      <c r="V133">
        <v>2400</v>
      </c>
      <c r="W133">
        <v>1480</v>
      </c>
      <c r="X133">
        <v>16320</v>
      </c>
      <c r="Y133">
        <v>4480</v>
      </c>
    </row>
    <row r="134" spans="1:25" x14ac:dyDescent="0.3">
      <c r="A134" s="8" t="s">
        <v>312</v>
      </c>
      <c r="B134" s="14">
        <v>46143</v>
      </c>
      <c r="C134" s="8" t="s">
        <v>179</v>
      </c>
      <c r="D134" s="8" t="s">
        <v>62</v>
      </c>
      <c r="E134" s="8" t="s">
        <v>74</v>
      </c>
      <c r="F134">
        <v>2</v>
      </c>
      <c r="G134">
        <v>2400</v>
      </c>
      <c r="H134">
        <v>0.05</v>
      </c>
      <c r="I134" s="8" t="s">
        <v>17</v>
      </c>
      <c r="J134" s="8" t="s">
        <v>31</v>
      </c>
      <c r="K134" s="8" t="s">
        <v>67</v>
      </c>
      <c r="L134">
        <v>4560</v>
      </c>
      <c r="M134" s="8" t="s">
        <v>56</v>
      </c>
      <c r="N134">
        <v>4560</v>
      </c>
      <c r="O134" s="8" t="s">
        <v>1701</v>
      </c>
      <c r="P134" s="8" t="s">
        <v>1551</v>
      </c>
      <c r="Q134" s="8" t="s">
        <v>1549</v>
      </c>
      <c r="R134" s="8" t="s">
        <v>1552</v>
      </c>
      <c r="S134" s="8" t="s">
        <v>1542</v>
      </c>
      <c r="T134" s="8" t="s">
        <v>1584</v>
      </c>
      <c r="U134" s="8" t="s">
        <v>1583</v>
      </c>
      <c r="V134">
        <v>2400</v>
      </c>
      <c r="W134">
        <v>1480</v>
      </c>
      <c r="X134">
        <v>4560</v>
      </c>
      <c r="Y134">
        <v>1600</v>
      </c>
    </row>
    <row r="135" spans="1:25" x14ac:dyDescent="0.3">
      <c r="A135" s="8" t="s">
        <v>313</v>
      </c>
      <c r="B135" s="14">
        <v>46138</v>
      </c>
      <c r="C135" s="8" t="s">
        <v>179</v>
      </c>
      <c r="D135" s="8" t="s">
        <v>168</v>
      </c>
      <c r="E135" s="8" t="s">
        <v>16</v>
      </c>
      <c r="F135">
        <v>2</v>
      </c>
      <c r="G135">
        <v>617.5</v>
      </c>
      <c r="H135">
        <v>0.05</v>
      </c>
      <c r="I135" s="8" t="s">
        <v>17</v>
      </c>
      <c r="J135" s="8" t="s">
        <v>18</v>
      </c>
      <c r="K135" s="8" t="s">
        <v>55</v>
      </c>
      <c r="L135">
        <v>1173.25</v>
      </c>
      <c r="M135" s="8" t="s">
        <v>48</v>
      </c>
      <c r="N135">
        <v>1173.25</v>
      </c>
      <c r="O135" s="8" t="s">
        <v>1701</v>
      </c>
      <c r="P135" s="8" t="s">
        <v>1540</v>
      </c>
      <c r="Q135" s="8" t="s">
        <v>1541</v>
      </c>
      <c r="R135" s="8" t="s">
        <v>20</v>
      </c>
      <c r="S135" s="8" t="s">
        <v>1542</v>
      </c>
      <c r="T135" s="8" t="s">
        <v>1570</v>
      </c>
      <c r="U135" s="8" t="s">
        <v>1571</v>
      </c>
      <c r="V135">
        <v>650</v>
      </c>
      <c r="W135">
        <v>390</v>
      </c>
      <c r="X135">
        <v>1173.25</v>
      </c>
      <c r="Y135">
        <v>393.25</v>
      </c>
    </row>
    <row r="136" spans="1:25" x14ac:dyDescent="0.3">
      <c r="A136" s="8" t="s">
        <v>314</v>
      </c>
      <c r="B136" s="14">
        <v>46164</v>
      </c>
      <c r="C136" s="8" t="s">
        <v>315</v>
      </c>
      <c r="D136" s="8" t="s">
        <v>29</v>
      </c>
      <c r="E136" s="8" t="s">
        <v>85</v>
      </c>
      <c r="F136">
        <v>5</v>
      </c>
      <c r="G136">
        <v>48500</v>
      </c>
      <c r="H136">
        <v>0.1</v>
      </c>
      <c r="I136" s="8" t="s">
        <v>80</v>
      </c>
      <c r="J136" s="8" t="s">
        <v>18</v>
      </c>
      <c r="K136" s="8" t="s">
        <v>25</v>
      </c>
      <c r="L136">
        <v>218250</v>
      </c>
      <c r="M136" s="8" t="s">
        <v>59</v>
      </c>
      <c r="N136">
        <v>218250</v>
      </c>
      <c r="O136" s="8" t="s">
        <v>1701</v>
      </c>
      <c r="P136" s="8" t="s">
        <v>1560</v>
      </c>
      <c r="Q136" s="8" t="s">
        <v>1559</v>
      </c>
      <c r="R136" s="8" t="s">
        <v>1561</v>
      </c>
      <c r="S136" s="8" t="s">
        <v>1542</v>
      </c>
      <c r="T136" s="8" t="s">
        <v>1585</v>
      </c>
      <c r="U136" s="8" t="s">
        <v>1586</v>
      </c>
      <c r="V136">
        <v>48500</v>
      </c>
      <c r="W136">
        <v>41200</v>
      </c>
      <c r="X136">
        <v>0</v>
      </c>
      <c r="Y136">
        <v>-206000</v>
      </c>
    </row>
    <row r="137" spans="1:25" x14ac:dyDescent="0.3">
      <c r="A137" s="8" t="s">
        <v>316</v>
      </c>
      <c r="B137" s="14">
        <v>46038</v>
      </c>
      <c r="C137" s="8" t="s">
        <v>317</v>
      </c>
      <c r="D137" s="8" t="s">
        <v>62</v>
      </c>
      <c r="E137" s="8" t="s">
        <v>63</v>
      </c>
      <c r="F137">
        <v>4</v>
      </c>
      <c r="G137">
        <v>2090</v>
      </c>
      <c r="H137">
        <v>0.05</v>
      </c>
      <c r="I137" s="8" t="s">
        <v>116</v>
      </c>
      <c r="J137" s="8" t="s">
        <v>71</v>
      </c>
      <c r="K137" s="8" t="s">
        <v>1698</v>
      </c>
      <c r="L137">
        <v>7942</v>
      </c>
      <c r="M137" s="8" t="s">
        <v>52</v>
      </c>
      <c r="N137">
        <v>7942</v>
      </c>
      <c r="O137" s="8" t="s">
        <v>1701</v>
      </c>
      <c r="P137" s="8" t="s">
        <v>1551</v>
      </c>
      <c r="Q137" s="8" t="s">
        <v>1549</v>
      </c>
      <c r="R137" s="8" t="s">
        <v>1552</v>
      </c>
      <c r="S137" s="8" t="s">
        <v>1542</v>
      </c>
      <c r="T137" s="8" t="s">
        <v>1572</v>
      </c>
      <c r="U137" s="8" t="s">
        <v>1571</v>
      </c>
      <c r="V137">
        <v>2200</v>
      </c>
      <c r="W137">
        <v>1450</v>
      </c>
      <c r="X137">
        <v>0</v>
      </c>
      <c r="Y137">
        <v>-5800</v>
      </c>
    </row>
    <row r="138" spans="1:25" x14ac:dyDescent="0.3">
      <c r="A138" s="8" t="s">
        <v>318</v>
      </c>
      <c r="B138" s="14">
        <v>46135</v>
      </c>
      <c r="C138" s="8" t="s">
        <v>319</v>
      </c>
      <c r="D138" s="8" t="s">
        <v>62</v>
      </c>
      <c r="E138" s="8" t="s">
        <v>51</v>
      </c>
      <c r="F138">
        <v>2</v>
      </c>
      <c r="G138">
        <v>18500</v>
      </c>
      <c r="H138">
        <v>0</v>
      </c>
      <c r="I138" s="8" t="s">
        <v>17</v>
      </c>
      <c r="J138" s="8" t="s">
        <v>18</v>
      </c>
      <c r="K138" s="8" t="s">
        <v>67</v>
      </c>
      <c r="L138">
        <v>37000</v>
      </c>
      <c r="M138" s="8" t="s">
        <v>48</v>
      </c>
      <c r="N138">
        <v>37000</v>
      </c>
      <c r="O138" s="8" t="s">
        <v>1701</v>
      </c>
      <c r="P138" s="8" t="s">
        <v>1551</v>
      </c>
      <c r="Q138" s="8" t="s">
        <v>1549</v>
      </c>
      <c r="R138" s="8" t="s">
        <v>1552</v>
      </c>
      <c r="S138" s="8" t="s">
        <v>1542</v>
      </c>
      <c r="T138" s="8" t="s">
        <v>1581</v>
      </c>
      <c r="U138" s="8" t="s">
        <v>1580</v>
      </c>
      <c r="V138">
        <v>18500</v>
      </c>
      <c r="W138">
        <v>13900</v>
      </c>
      <c r="X138">
        <v>37000</v>
      </c>
      <c r="Y138">
        <v>9200</v>
      </c>
    </row>
    <row r="139" spans="1:25" x14ac:dyDescent="0.3">
      <c r="A139" s="8" t="s">
        <v>320</v>
      </c>
      <c r="B139" s="14">
        <v>46036</v>
      </c>
      <c r="C139" s="8" t="s">
        <v>321</v>
      </c>
      <c r="D139" s="8" t="s">
        <v>29</v>
      </c>
      <c r="E139" s="8" t="s">
        <v>74</v>
      </c>
      <c r="F139">
        <v>3</v>
      </c>
      <c r="G139">
        <v>2520</v>
      </c>
      <c r="H139">
        <v>0</v>
      </c>
      <c r="I139" s="8" t="s">
        <v>17</v>
      </c>
      <c r="J139" s="8" t="s">
        <v>47</v>
      </c>
      <c r="K139" s="8" t="s">
        <v>25</v>
      </c>
      <c r="L139">
        <v>7560</v>
      </c>
      <c r="M139" s="8" t="s">
        <v>59</v>
      </c>
      <c r="N139">
        <v>7560</v>
      </c>
      <c r="O139" s="8" t="s">
        <v>1701</v>
      </c>
      <c r="P139" s="8" t="s">
        <v>1560</v>
      </c>
      <c r="Q139" s="8" t="s">
        <v>1559</v>
      </c>
      <c r="R139" s="8" t="s">
        <v>1561</v>
      </c>
      <c r="S139" s="8" t="s">
        <v>1542</v>
      </c>
      <c r="T139" s="8" t="s">
        <v>1584</v>
      </c>
      <c r="U139" s="8" t="s">
        <v>1583</v>
      </c>
      <c r="V139">
        <v>2400</v>
      </c>
      <c r="W139">
        <v>1480</v>
      </c>
      <c r="X139">
        <v>7560</v>
      </c>
      <c r="Y139">
        <v>3120</v>
      </c>
    </row>
    <row r="140" spans="1:25" x14ac:dyDescent="0.3">
      <c r="A140" s="8" t="s">
        <v>322</v>
      </c>
      <c r="B140" s="14">
        <v>46108</v>
      </c>
      <c r="C140" s="8" t="s">
        <v>269</v>
      </c>
      <c r="D140" s="8" t="s">
        <v>15</v>
      </c>
      <c r="E140" s="8" t="s">
        <v>183</v>
      </c>
      <c r="F140">
        <v>3</v>
      </c>
      <c r="G140">
        <v>3360</v>
      </c>
      <c r="H140">
        <v>0.05</v>
      </c>
      <c r="I140" s="8" t="s">
        <v>17</v>
      </c>
      <c r="J140" s="8" t="s">
        <v>31</v>
      </c>
      <c r="K140" s="8" t="s">
        <v>67</v>
      </c>
      <c r="L140">
        <v>9576</v>
      </c>
      <c r="M140" s="8" t="s">
        <v>82</v>
      </c>
      <c r="N140">
        <v>9576</v>
      </c>
      <c r="O140" s="8" t="s">
        <v>1701</v>
      </c>
      <c r="P140" s="8" t="s">
        <v>1543</v>
      </c>
      <c r="Q140" s="8" t="s">
        <v>1541</v>
      </c>
      <c r="R140" s="8" t="s">
        <v>52</v>
      </c>
      <c r="S140" s="8" t="s">
        <v>1542</v>
      </c>
      <c r="T140" s="8" t="s">
        <v>1582</v>
      </c>
      <c r="U140" s="8" t="s">
        <v>1583</v>
      </c>
      <c r="V140">
        <v>3200</v>
      </c>
      <c r="W140">
        <v>2050</v>
      </c>
      <c r="X140">
        <v>9576</v>
      </c>
      <c r="Y140">
        <v>3426</v>
      </c>
    </row>
    <row r="141" spans="1:25" x14ac:dyDescent="0.3">
      <c r="A141" s="8" t="s">
        <v>323</v>
      </c>
      <c r="B141" s="14">
        <v>46119</v>
      </c>
      <c r="C141" s="8" t="s">
        <v>61</v>
      </c>
      <c r="D141" s="8" t="s">
        <v>95</v>
      </c>
      <c r="E141" s="8" t="s">
        <v>36</v>
      </c>
      <c r="F141">
        <v>4</v>
      </c>
      <c r="G141">
        <v>1330</v>
      </c>
      <c r="H141">
        <v>0.2</v>
      </c>
      <c r="I141" s="8" t="s">
        <v>17</v>
      </c>
      <c r="J141" s="8" t="s">
        <v>47</v>
      </c>
      <c r="K141" s="8" t="s">
        <v>1698</v>
      </c>
      <c r="L141">
        <v>4256</v>
      </c>
      <c r="M141" s="8" t="s">
        <v>138</v>
      </c>
      <c r="N141">
        <v>4256</v>
      </c>
      <c r="O141" s="8" t="s">
        <v>1701</v>
      </c>
      <c r="P141" s="8" t="s">
        <v>1556</v>
      </c>
      <c r="Q141" s="8" t="s">
        <v>1554</v>
      </c>
      <c r="R141" s="8" t="s">
        <v>1557</v>
      </c>
      <c r="S141" s="8" t="s">
        <v>1542</v>
      </c>
      <c r="T141" s="8" t="s">
        <v>1577</v>
      </c>
      <c r="U141" s="8" t="s">
        <v>1571</v>
      </c>
      <c r="V141">
        <v>1400</v>
      </c>
      <c r="W141">
        <v>780</v>
      </c>
      <c r="X141">
        <v>4256</v>
      </c>
      <c r="Y141">
        <v>1136</v>
      </c>
    </row>
    <row r="142" spans="1:25" x14ac:dyDescent="0.3">
      <c r="A142" s="8" t="s">
        <v>324</v>
      </c>
      <c r="B142" s="14">
        <v>46102</v>
      </c>
      <c r="C142" s="8" t="s">
        <v>101</v>
      </c>
      <c r="D142" s="8" t="s">
        <v>50</v>
      </c>
      <c r="E142" s="8" t="s">
        <v>24</v>
      </c>
      <c r="F142">
        <v>2</v>
      </c>
      <c r="G142">
        <v>11200</v>
      </c>
      <c r="H142">
        <v>0.1</v>
      </c>
      <c r="I142" s="8" t="s">
        <v>17</v>
      </c>
      <c r="J142" s="8" t="s">
        <v>31</v>
      </c>
      <c r="K142" s="8" t="s">
        <v>67</v>
      </c>
      <c r="L142">
        <v>20160</v>
      </c>
      <c r="M142" s="8" t="s">
        <v>42</v>
      </c>
      <c r="N142">
        <v>20160</v>
      </c>
      <c r="O142" s="8" t="s">
        <v>1701</v>
      </c>
      <c r="P142" s="8" t="s">
        <v>1544</v>
      </c>
      <c r="Q142" s="8" t="s">
        <v>1541</v>
      </c>
      <c r="R142" s="8" t="s">
        <v>26</v>
      </c>
      <c r="S142" s="8" t="s">
        <v>1542</v>
      </c>
      <c r="T142" s="8" t="s">
        <v>1574</v>
      </c>
      <c r="U142" s="8" t="s">
        <v>1575</v>
      </c>
      <c r="V142">
        <v>11200</v>
      </c>
      <c r="W142">
        <v>8300</v>
      </c>
      <c r="X142">
        <v>20160</v>
      </c>
      <c r="Y142">
        <v>3560</v>
      </c>
    </row>
    <row r="143" spans="1:25" x14ac:dyDescent="0.3">
      <c r="A143" s="8" t="s">
        <v>325</v>
      </c>
      <c r="B143" s="14">
        <v>46152</v>
      </c>
      <c r="C143" s="8" t="s">
        <v>326</v>
      </c>
      <c r="D143" s="8" t="s">
        <v>29</v>
      </c>
      <c r="E143" s="8" t="s">
        <v>51</v>
      </c>
      <c r="F143">
        <v>4</v>
      </c>
      <c r="G143">
        <v>18500</v>
      </c>
      <c r="H143">
        <v>0.15</v>
      </c>
      <c r="I143" s="8" t="s">
        <v>17</v>
      </c>
      <c r="J143" s="8" t="s">
        <v>18</v>
      </c>
      <c r="K143" s="8" t="s">
        <v>41</v>
      </c>
      <c r="L143">
        <v>62900</v>
      </c>
      <c r="M143" s="8" t="s">
        <v>59</v>
      </c>
      <c r="N143">
        <v>62900</v>
      </c>
      <c r="O143" s="8" t="s">
        <v>1701</v>
      </c>
      <c r="P143" s="8" t="s">
        <v>1560</v>
      </c>
      <c r="Q143" s="8" t="s">
        <v>1559</v>
      </c>
      <c r="R143" s="8" t="s">
        <v>1561</v>
      </c>
      <c r="S143" s="8" t="s">
        <v>1542</v>
      </c>
      <c r="T143" s="8" t="s">
        <v>1581</v>
      </c>
      <c r="U143" s="8" t="s">
        <v>1580</v>
      </c>
      <c r="V143">
        <v>18500</v>
      </c>
      <c r="W143">
        <v>13900</v>
      </c>
      <c r="X143">
        <v>62900</v>
      </c>
      <c r="Y143">
        <v>7300</v>
      </c>
    </row>
    <row r="144" spans="1:25" x14ac:dyDescent="0.3">
      <c r="A144" s="8" t="s">
        <v>327</v>
      </c>
      <c r="B144" s="14">
        <v>46069</v>
      </c>
      <c r="C144" s="8" t="s">
        <v>328</v>
      </c>
      <c r="D144" s="8" t="s">
        <v>90</v>
      </c>
      <c r="E144" s="8" t="s">
        <v>85</v>
      </c>
      <c r="F144">
        <v>4</v>
      </c>
      <c r="G144">
        <v>46075</v>
      </c>
      <c r="H144">
        <v>0</v>
      </c>
      <c r="I144" s="8" t="s">
        <v>17</v>
      </c>
      <c r="J144" s="8" t="s">
        <v>47</v>
      </c>
      <c r="K144" s="8" t="s">
        <v>41</v>
      </c>
      <c r="L144">
        <v>184300</v>
      </c>
      <c r="M144" s="8" t="s">
        <v>56</v>
      </c>
      <c r="N144">
        <v>184300</v>
      </c>
      <c r="O144" s="8" t="s">
        <v>1701</v>
      </c>
      <c r="P144" s="8" t="s">
        <v>1562</v>
      </c>
      <c r="Q144" s="8" t="s">
        <v>1563</v>
      </c>
      <c r="R144" s="8" t="s">
        <v>48</v>
      </c>
      <c r="S144" s="8" t="s">
        <v>1542</v>
      </c>
      <c r="T144" s="8" t="s">
        <v>1585</v>
      </c>
      <c r="U144" s="8" t="s">
        <v>1586</v>
      </c>
      <c r="V144">
        <v>48500</v>
      </c>
      <c r="W144">
        <v>41200</v>
      </c>
      <c r="X144">
        <v>184300</v>
      </c>
      <c r="Y144">
        <v>19500</v>
      </c>
    </row>
    <row r="145" spans="1:25" x14ac:dyDescent="0.3">
      <c r="A145" s="8" t="s">
        <v>329</v>
      </c>
      <c r="B145" s="14">
        <v>46179</v>
      </c>
      <c r="C145" s="8" t="s">
        <v>330</v>
      </c>
      <c r="D145" s="8" t="s">
        <v>45</v>
      </c>
      <c r="E145" s="8" t="s">
        <v>85</v>
      </c>
      <c r="F145">
        <v>4</v>
      </c>
      <c r="G145">
        <v>48500</v>
      </c>
      <c r="H145">
        <v>0</v>
      </c>
      <c r="I145" s="8" t="s">
        <v>17</v>
      </c>
      <c r="J145" s="8" t="s">
        <v>71</v>
      </c>
      <c r="K145" s="8" t="s">
        <v>67</v>
      </c>
      <c r="L145">
        <v>194000</v>
      </c>
      <c r="M145" s="8" t="s">
        <v>48</v>
      </c>
      <c r="N145">
        <v>194000</v>
      </c>
      <c r="O145" s="8" t="s">
        <v>1701</v>
      </c>
      <c r="P145" s="8" t="s">
        <v>1547</v>
      </c>
      <c r="Q145" s="8" t="s">
        <v>1541</v>
      </c>
      <c r="R145" s="8" t="s">
        <v>56</v>
      </c>
      <c r="S145" s="8" t="s">
        <v>1542</v>
      </c>
      <c r="T145" s="8" t="s">
        <v>1585</v>
      </c>
      <c r="U145" s="8" t="s">
        <v>1586</v>
      </c>
      <c r="V145">
        <v>48500</v>
      </c>
      <c r="W145">
        <v>41200</v>
      </c>
      <c r="X145">
        <v>194000</v>
      </c>
      <c r="Y145">
        <v>29200</v>
      </c>
    </row>
    <row r="146" spans="1:25" x14ac:dyDescent="0.3">
      <c r="A146" s="8" t="s">
        <v>331</v>
      </c>
      <c r="B146" s="14">
        <v>46135</v>
      </c>
      <c r="C146" s="8" t="s">
        <v>332</v>
      </c>
      <c r="D146" s="8" t="s">
        <v>62</v>
      </c>
      <c r="E146" s="8" t="s">
        <v>135</v>
      </c>
      <c r="F146">
        <v>4</v>
      </c>
      <c r="G146">
        <v>16800</v>
      </c>
      <c r="H146">
        <v>0.15</v>
      </c>
      <c r="I146" s="8" t="s">
        <v>17</v>
      </c>
      <c r="J146" s="8" t="s">
        <v>71</v>
      </c>
      <c r="K146" s="8" t="s">
        <v>67</v>
      </c>
      <c r="L146">
        <v>57120</v>
      </c>
      <c r="M146" s="8" t="s">
        <v>20</v>
      </c>
      <c r="N146">
        <v>57120</v>
      </c>
      <c r="O146" s="8" t="s">
        <v>1701</v>
      </c>
      <c r="P146" s="8" t="s">
        <v>1551</v>
      </c>
      <c r="Q146" s="8" t="s">
        <v>1549</v>
      </c>
      <c r="R146" s="8" t="s">
        <v>1552</v>
      </c>
      <c r="S146" s="8" t="s">
        <v>1542</v>
      </c>
      <c r="T146" s="8" t="s">
        <v>1576</v>
      </c>
      <c r="U146" s="8" t="s">
        <v>1575</v>
      </c>
      <c r="V146">
        <v>16800</v>
      </c>
      <c r="W146">
        <v>12600</v>
      </c>
      <c r="X146">
        <v>57120</v>
      </c>
      <c r="Y146">
        <v>6720</v>
      </c>
    </row>
    <row r="147" spans="1:25" x14ac:dyDescent="0.3">
      <c r="A147" s="8" t="s">
        <v>333</v>
      </c>
      <c r="B147" s="14">
        <v>46187</v>
      </c>
      <c r="C147" s="8" t="s">
        <v>321</v>
      </c>
      <c r="D147" s="8" t="s">
        <v>62</v>
      </c>
      <c r="E147" s="8" t="s">
        <v>36</v>
      </c>
      <c r="F147">
        <v>3</v>
      </c>
      <c r="G147">
        <v>1330</v>
      </c>
      <c r="H147">
        <v>0</v>
      </c>
      <c r="I147" s="8" t="s">
        <v>17</v>
      </c>
      <c r="J147" s="8" t="s">
        <v>31</v>
      </c>
      <c r="K147" s="8" t="s">
        <v>41</v>
      </c>
      <c r="L147">
        <v>3990</v>
      </c>
      <c r="M147" s="8" t="s">
        <v>26</v>
      </c>
      <c r="N147">
        <v>3990</v>
      </c>
      <c r="O147" s="8" t="s">
        <v>1701</v>
      </c>
      <c r="P147" s="8" t="s">
        <v>1551</v>
      </c>
      <c r="Q147" s="8" t="s">
        <v>1549</v>
      </c>
      <c r="R147" s="8" t="s">
        <v>1552</v>
      </c>
      <c r="S147" s="8" t="s">
        <v>1542</v>
      </c>
      <c r="T147" s="8" t="s">
        <v>1577</v>
      </c>
      <c r="U147" s="8" t="s">
        <v>1571</v>
      </c>
      <c r="V147">
        <v>1400</v>
      </c>
      <c r="W147">
        <v>780</v>
      </c>
      <c r="X147">
        <v>3990</v>
      </c>
      <c r="Y147">
        <v>1650</v>
      </c>
    </row>
    <row r="148" spans="1:25" x14ac:dyDescent="0.3">
      <c r="A148" s="8" t="s">
        <v>335</v>
      </c>
      <c r="B148" s="14">
        <v>46138</v>
      </c>
      <c r="C148" s="8" t="s">
        <v>336</v>
      </c>
      <c r="D148" s="8" t="s">
        <v>77</v>
      </c>
      <c r="E148" s="8" t="s">
        <v>51</v>
      </c>
      <c r="F148">
        <v>1</v>
      </c>
      <c r="G148">
        <v>18500</v>
      </c>
      <c r="H148">
        <v>0.1</v>
      </c>
      <c r="I148" s="8" t="s">
        <v>17</v>
      </c>
      <c r="J148" s="8" t="s">
        <v>47</v>
      </c>
      <c r="K148" s="8" t="s">
        <v>1698</v>
      </c>
      <c r="L148">
        <v>16650</v>
      </c>
      <c r="M148" s="8" t="s">
        <v>32</v>
      </c>
      <c r="N148">
        <v>16650</v>
      </c>
      <c r="O148" s="8" t="s">
        <v>1701</v>
      </c>
      <c r="P148" s="8" t="s">
        <v>1564</v>
      </c>
      <c r="Q148" s="8" t="s">
        <v>1563</v>
      </c>
      <c r="R148" s="8" t="s">
        <v>1565</v>
      </c>
      <c r="S148" s="8" t="s">
        <v>1542</v>
      </c>
      <c r="T148" s="8" t="s">
        <v>1581</v>
      </c>
      <c r="U148" s="8" t="s">
        <v>1580</v>
      </c>
      <c r="V148">
        <v>18500</v>
      </c>
      <c r="W148">
        <v>13900</v>
      </c>
      <c r="X148">
        <v>16650</v>
      </c>
      <c r="Y148">
        <v>2750</v>
      </c>
    </row>
    <row r="149" spans="1:25" x14ac:dyDescent="0.3">
      <c r="A149" s="8" t="s">
        <v>337</v>
      </c>
      <c r="B149" s="14">
        <v>46036</v>
      </c>
      <c r="C149" s="8" t="s">
        <v>338</v>
      </c>
      <c r="D149" s="8" t="s">
        <v>70</v>
      </c>
      <c r="E149" s="8" t="s">
        <v>51</v>
      </c>
      <c r="F149">
        <v>2</v>
      </c>
      <c r="G149">
        <v>18500</v>
      </c>
      <c r="H149">
        <v>0.1</v>
      </c>
      <c r="I149" s="8" t="s">
        <v>116</v>
      </c>
      <c r="J149" s="8" t="s">
        <v>31</v>
      </c>
      <c r="K149" s="8" t="s">
        <v>67</v>
      </c>
      <c r="L149">
        <v>33300</v>
      </c>
      <c r="M149" s="8" t="s">
        <v>42</v>
      </c>
      <c r="N149">
        <v>33300</v>
      </c>
      <c r="O149" s="8" t="s">
        <v>1701</v>
      </c>
      <c r="P149" s="8" t="s">
        <v>1550</v>
      </c>
      <c r="Q149" s="8" t="s">
        <v>1549</v>
      </c>
      <c r="R149" s="8" t="s">
        <v>32</v>
      </c>
      <c r="S149" s="8" t="s">
        <v>1542</v>
      </c>
      <c r="T149" s="8" t="s">
        <v>1581</v>
      </c>
      <c r="U149" s="8" t="s">
        <v>1580</v>
      </c>
      <c r="V149">
        <v>18500</v>
      </c>
      <c r="W149">
        <v>13900</v>
      </c>
      <c r="X149">
        <v>0</v>
      </c>
      <c r="Y149">
        <v>-27800</v>
      </c>
    </row>
    <row r="150" spans="1:25" x14ac:dyDescent="0.3">
      <c r="A150" s="8" t="s">
        <v>339</v>
      </c>
      <c r="B150" s="14">
        <v>46189</v>
      </c>
      <c r="C150" s="8" t="s">
        <v>340</v>
      </c>
      <c r="D150" s="8" t="s">
        <v>35</v>
      </c>
      <c r="E150" s="8" t="s">
        <v>30</v>
      </c>
      <c r="F150">
        <v>1</v>
      </c>
      <c r="G150">
        <v>1890</v>
      </c>
      <c r="H150">
        <v>0.05</v>
      </c>
      <c r="I150" s="8" t="s">
        <v>80</v>
      </c>
      <c r="J150" s="8" t="s">
        <v>18</v>
      </c>
      <c r="K150" s="8" t="s">
        <v>55</v>
      </c>
      <c r="L150">
        <v>1795.5</v>
      </c>
      <c r="M150" s="8" t="s">
        <v>48</v>
      </c>
      <c r="N150">
        <v>1795.5</v>
      </c>
      <c r="O150" s="8" t="s">
        <v>1701</v>
      </c>
      <c r="P150" s="8" t="s">
        <v>1548</v>
      </c>
      <c r="Q150" s="8" t="s">
        <v>1549</v>
      </c>
      <c r="R150" s="8" t="s">
        <v>42</v>
      </c>
      <c r="S150" s="8" t="s">
        <v>1542</v>
      </c>
      <c r="T150" s="8" t="s">
        <v>1573</v>
      </c>
      <c r="U150" s="8" t="s">
        <v>1571</v>
      </c>
      <c r="V150">
        <v>1800</v>
      </c>
      <c r="W150">
        <v>1120</v>
      </c>
      <c r="X150">
        <v>0</v>
      </c>
      <c r="Y150">
        <v>-1120</v>
      </c>
    </row>
    <row r="151" spans="1:25" x14ac:dyDescent="0.3">
      <c r="A151" s="8" t="s">
        <v>341</v>
      </c>
      <c r="B151" s="14">
        <v>46024</v>
      </c>
      <c r="C151" s="8" t="s">
        <v>294</v>
      </c>
      <c r="D151" s="8" t="s">
        <v>77</v>
      </c>
      <c r="E151" s="8" t="s">
        <v>63</v>
      </c>
      <c r="F151">
        <v>1</v>
      </c>
      <c r="G151">
        <v>2310</v>
      </c>
      <c r="H151">
        <v>0</v>
      </c>
      <c r="I151" s="8" t="s">
        <v>66</v>
      </c>
      <c r="J151" s="8" t="s">
        <v>47</v>
      </c>
      <c r="K151" s="8" t="s">
        <v>41</v>
      </c>
      <c r="L151">
        <v>2310</v>
      </c>
      <c r="M151" s="8" t="s">
        <v>26</v>
      </c>
      <c r="N151">
        <v>2310</v>
      </c>
      <c r="O151" s="8" t="s">
        <v>1701</v>
      </c>
      <c r="P151" s="8" t="s">
        <v>1564</v>
      </c>
      <c r="Q151" s="8" t="s">
        <v>1563</v>
      </c>
      <c r="R151" s="8" t="s">
        <v>1565</v>
      </c>
      <c r="S151" s="8" t="s">
        <v>1542</v>
      </c>
      <c r="T151" s="8" t="s">
        <v>1572</v>
      </c>
      <c r="U151" s="8" t="s">
        <v>1571</v>
      </c>
      <c r="V151">
        <v>2200</v>
      </c>
      <c r="W151">
        <v>1450</v>
      </c>
      <c r="X151">
        <v>0</v>
      </c>
      <c r="Y151">
        <v>-1450</v>
      </c>
    </row>
    <row r="152" spans="1:25" x14ac:dyDescent="0.3">
      <c r="A152" s="8" t="s">
        <v>342</v>
      </c>
      <c r="B152" s="14">
        <v>46054</v>
      </c>
      <c r="C152" s="8" t="s">
        <v>219</v>
      </c>
      <c r="D152" s="8" t="s">
        <v>168</v>
      </c>
      <c r="E152" s="8" t="s">
        <v>24</v>
      </c>
      <c r="F152">
        <v>2</v>
      </c>
      <c r="G152">
        <v>10640</v>
      </c>
      <c r="H152">
        <v>0.15</v>
      </c>
      <c r="I152" s="8" t="s">
        <v>17</v>
      </c>
      <c r="J152" s="8" t="s">
        <v>31</v>
      </c>
      <c r="K152" s="8" t="s">
        <v>25</v>
      </c>
      <c r="L152">
        <v>18088</v>
      </c>
      <c r="M152" s="8" t="s">
        <v>48</v>
      </c>
      <c r="N152">
        <v>18088</v>
      </c>
      <c r="O152" s="8" t="s">
        <v>1701</v>
      </c>
      <c r="P152" s="8" t="s">
        <v>1540</v>
      </c>
      <c r="Q152" s="8" t="s">
        <v>1541</v>
      </c>
      <c r="R152" s="8" t="s">
        <v>20</v>
      </c>
      <c r="S152" s="8" t="s">
        <v>1542</v>
      </c>
      <c r="T152" s="8" t="s">
        <v>1574</v>
      </c>
      <c r="U152" s="8" t="s">
        <v>1575</v>
      </c>
      <c r="V152">
        <v>11200</v>
      </c>
      <c r="W152">
        <v>8300</v>
      </c>
      <c r="X152">
        <v>18088</v>
      </c>
      <c r="Y152">
        <v>1488</v>
      </c>
    </row>
    <row r="153" spans="1:25" x14ac:dyDescent="0.3">
      <c r="A153" s="8" t="s">
        <v>343</v>
      </c>
      <c r="B153" s="14">
        <v>46084</v>
      </c>
      <c r="C153" s="8" t="s">
        <v>302</v>
      </c>
      <c r="D153" s="8" t="s">
        <v>123</v>
      </c>
      <c r="E153" s="8" t="s">
        <v>30</v>
      </c>
      <c r="F153">
        <v>1</v>
      </c>
      <c r="G153">
        <v>1800</v>
      </c>
      <c r="H153">
        <v>0</v>
      </c>
      <c r="I153" s="8" t="s">
        <v>17</v>
      </c>
      <c r="J153" s="8" t="s">
        <v>71</v>
      </c>
      <c r="K153" s="8" t="s">
        <v>1698</v>
      </c>
      <c r="L153">
        <v>1800</v>
      </c>
      <c r="M153" s="8" t="s">
        <v>82</v>
      </c>
      <c r="N153">
        <v>1800</v>
      </c>
      <c r="O153" s="8" t="s">
        <v>1701</v>
      </c>
      <c r="P153" s="8" t="s">
        <v>1558</v>
      </c>
      <c r="Q153" s="8" t="s">
        <v>1559</v>
      </c>
      <c r="R153" s="8" t="s">
        <v>138</v>
      </c>
      <c r="S153" s="8" t="s">
        <v>1542</v>
      </c>
      <c r="T153" s="8" t="s">
        <v>1573</v>
      </c>
      <c r="U153" s="8" t="s">
        <v>1571</v>
      </c>
      <c r="V153">
        <v>1800</v>
      </c>
      <c r="W153">
        <v>1120</v>
      </c>
      <c r="X153">
        <v>1800</v>
      </c>
      <c r="Y153">
        <v>680</v>
      </c>
    </row>
    <row r="154" spans="1:25" x14ac:dyDescent="0.3">
      <c r="A154" s="8" t="s">
        <v>344</v>
      </c>
      <c r="B154" s="14">
        <v>46115</v>
      </c>
      <c r="C154" s="8" t="s">
        <v>330</v>
      </c>
      <c r="D154" s="8" t="s">
        <v>15</v>
      </c>
      <c r="E154" s="8" t="s">
        <v>51</v>
      </c>
      <c r="F154">
        <v>2</v>
      </c>
      <c r="G154">
        <v>19425</v>
      </c>
      <c r="H154">
        <v>0.15</v>
      </c>
      <c r="I154" s="8" t="s">
        <v>17</v>
      </c>
      <c r="J154" s="8" t="s">
        <v>31</v>
      </c>
      <c r="K154" s="8" t="s">
        <v>55</v>
      </c>
      <c r="L154">
        <v>33022.5</v>
      </c>
      <c r="M154" s="8" t="s">
        <v>138</v>
      </c>
      <c r="N154">
        <v>33022.5</v>
      </c>
      <c r="O154" s="8" t="s">
        <v>1701</v>
      </c>
      <c r="P154" s="8" t="s">
        <v>1543</v>
      </c>
      <c r="Q154" s="8" t="s">
        <v>1541</v>
      </c>
      <c r="R154" s="8" t="s">
        <v>52</v>
      </c>
      <c r="S154" s="8" t="s">
        <v>1542</v>
      </c>
      <c r="T154" s="8" t="s">
        <v>1581</v>
      </c>
      <c r="U154" s="8" t="s">
        <v>1580</v>
      </c>
      <c r="V154">
        <v>18500</v>
      </c>
      <c r="W154">
        <v>13900</v>
      </c>
      <c r="X154">
        <v>33022.5</v>
      </c>
      <c r="Y154">
        <v>5222.5</v>
      </c>
    </row>
    <row r="155" spans="1:25" x14ac:dyDescent="0.3">
      <c r="A155" s="8" t="s">
        <v>345</v>
      </c>
      <c r="B155" s="14">
        <v>46087</v>
      </c>
      <c r="C155" s="8" t="s">
        <v>346</v>
      </c>
      <c r="D155" s="8" t="s">
        <v>123</v>
      </c>
      <c r="E155" s="8" t="s">
        <v>16</v>
      </c>
      <c r="F155">
        <v>2</v>
      </c>
      <c r="G155">
        <v>617.5</v>
      </c>
      <c r="H155">
        <v>0</v>
      </c>
      <c r="I155" s="8" t="s">
        <v>17</v>
      </c>
      <c r="J155" s="8" t="s">
        <v>71</v>
      </c>
      <c r="K155" s="8" t="s">
        <v>1698</v>
      </c>
      <c r="L155">
        <v>1235</v>
      </c>
      <c r="M155" s="8" t="s">
        <v>138</v>
      </c>
      <c r="N155">
        <v>1235</v>
      </c>
      <c r="O155" s="8" t="s">
        <v>1701</v>
      </c>
      <c r="P155" s="8" t="s">
        <v>1558</v>
      </c>
      <c r="Q155" s="8" t="s">
        <v>1559</v>
      </c>
      <c r="R155" s="8" t="s">
        <v>138</v>
      </c>
      <c r="S155" s="8" t="s">
        <v>1542</v>
      </c>
      <c r="T155" s="8" t="s">
        <v>1570</v>
      </c>
      <c r="U155" s="8" t="s">
        <v>1571</v>
      </c>
      <c r="V155">
        <v>650</v>
      </c>
      <c r="W155">
        <v>390</v>
      </c>
      <c r="X155">
        <v>1235</v>
      </c>
      <c r="Y155">
        <v>455</v>
      </c>
    </row>
    <row r="156" spans="1:25" x14ac:dyDescent="0.3">
      <c r="A156" s="8" t="s">
        <v>347</v>
      </c>
      <c r="B156" s="14">
        <v>46162</v>
      </c>
      <c r="C156" s="8" t="s">
        <v>348</v>
      </c>
      <c r="D156" s="8" t="s">
        <v>35</v>
      </c>
      <c r="E156" s="8" t="s">
        <v>74</v>
      </c>
      <c r="F156">
        <v>1</v>
      </c>
      <c r="G156">
        <v>2520</v>
      </c>
      <c r="H156">
        <v>0.2</v>
      </c>
      <c r="I156" s="8" t="s">
        <v>17</v>
      </c>
      <c r="J156" s="8" t="s">
        <v>71</v>
      </c>
      <c r="K156" s="8" t="s">
        <v>1698</v>
      </c>
      <c r="L156">
        <v>2016</v>
      </c>
      <c r="M156" s="8" t="s">
        <v>56</v>
      </c>
      <c r="N156">
        <v>2016</v>
      </c>
      <c r="O156" s="8" t="s">
        <v>1701</v>
      </c>
      <c r="P156" s="8" t="s">
        <v>1548</v>
      </c>
      <c r="Q156" s="8" t="s">
        <v>1549</v>
      </c>
      <c r="R156" s="8" t="s">
        <v>42</v>
      </c>
      <c r="S156" s="8" t="s">
        <v>1542</v>
      </c>
      <c r="T156" s="8" t="s">
        <v>1584</v>
      </c>
      <c r="U156" s="8" t="s">
        <v>1583</v>
      </c>
      <c r="V156">
        <v>2400</v>
      </c>
      <c r="W156">
        <v>1480</v>
      </c>
      <c r="X156">
        <v>2016</v>
      </c>
      <c r="Y156">
        <v>536</v>
      </c>
    </row>
    <row r="157" spans="1:25" x14ac:dyDescent="0.3">
      <c r="A157" s="8" t="s">
        <v>349</v>
      </c>
      <c r="B157" s="14">
        <v>46032</v>
      </c>
      <c r="C157" s="8" t="s">
        <v>350</v>
      </c>
      <c r="D157" s="8" t="s">
        <v>45</v>
      </c>
      <c r="E157" s="8" t="s">
        <v>24</v>
      </c>
      <c r="F157">
        <v>1</v>
      </c>
      <c r="G157">
        <v>11200</v>
      </c>
      <c r="H157">
        <v>0</v>
      </c>
      <c r="I157" s="8" t="s">
        <v>66</v>
      </c>
      <c r="J157" s="8" t="s">
        <v>18</v>
      </c>
      <c r="K157" s="8" t="s">
        <v>25</v>
      </c>
      <c r="L157">
        <v>11200</v>
      </c>
      <c r="M157" s="8" t="s">
        <v>1702</v>
      </c>
      <c r="N157">
        <v>11200</v>
      </c>
      <c r="O157" s="8" t="s">
        <v>1701</v>
      </c>
      <c r="P157" s="8" t="s">
        <v>1547</v>
      </c>
      <c r="Q157" s="8" t="s">
        <v>1541</v>
      </c>
      <c r="R157" s="8" t="s">
        <v>56</v>
      </c>
      <c r="S157" s="8" t="s">
        <v>1542</v>
      </c>
      <c r="T157" s="8" t="s">
        <v>1574</v>
      </c>
      <c r="U157" s="8" t="s">
        <v>1575</v>
      </c>
      <c r="V157">
        <v>11200</v>
      </c>
      <c r="W157">
        <v>8300</v>
      </c>
      <c r="X157">
        <v>0</v>
      </c>
      <c r="Y157">
        <v>-8300</v>
      </c>
    </row>
    <row r="158" spans="1:25" x14ac:dyDescent="0.3">
      <c r="A158" s="8" t="s">
        <v>351</v>
      </c>
      <c r="B158" s="14">
        <v>46087</v>
      </c>
      <c r="C158" s="8" t="s">
        <v>132</v>
      </c>
      <c r="D158" s="8" t="s">
        <v>168</v>
      </c>
      <c r="E158" s="8" t="s">
        <v>74</v>
      </c>
      <c r="F158">
        <v>1</v>
      </c>
      <c r="G158">
        <v>2280</v>
      </c>
      <c r="H158">
        <v>0.05</v>
      </c>
      <c r="I158" s="8" t="s">
        <v>66</v>
      </c>
      <c r="J158" s="8" t="s">
        <v>47</v>
      </c>
      <c r="K158" s="8" t="s">
        <v>1698</v>
      </c>
      <c r="L158">
        <v>2166</v>
      </c>
      <c r="M158" s="8" t="s">
        <v>138</v>
      </c>
      <c r="N158">
        <v>2166</v>
      </c>
      <c r="O158" s="8" t="s">
        <v>1701</v>
      </c>
      <c r="P158" s="8" t="s">
        <v>1540</v>
      </c>
      <c r="Q158" s="8" t="s">
        <v>1541</v>
      </c>
      <c r="R158" s="8" t="s">
        <v>20</v>
      </c>
      <c r="S158" s="8" t="s">
        <v>1542</v>
      </c>
      <c r="T158" s="8" t="s">
        <v>1584</v>
      </c>
      <c r="U158" s="8" t="s">
        <v>1583</v>
      </c>
      <c r="V158">
        <v>2400</v>
      </c>
      <c r="W158">
        <v>1480</v>
      </c>
      <c r="X158">
        <v>0</v>
      </c>
      <c r="Y158">
        <v>-1480</v>
      </c>
    </row>
    <row r="159" spans="1:25" x14ac:dyDescent="0.3">
      <c r="A159" s="8" t="s">
        <v>352</v>
      </c>
      <c r="B159" s="14">
        <v>46134</v>
      </c>
      <c r="C159" s="8" t="s">
        <v>353</v>
      </c>
      <c r="D159" s="8" t="s">
        <v>77</v>
      </c>
      <c r="E159" s="8" t="s">
        <v>161</v>
      </c>
      <c r="F159">
        <v>4</v>
      </c>
      <c r="G159">
        <v>2600</v>
      </c>
      <c r="H159">
        <v>0.1</v>
      </c>
      <c r="I159" s="8" t="s">
        <v>17</v>
      </c>
      <c r="J159" s="8" t="s">
        <v>18</v>
      </c>
      <c r="K159" s="8" t="s">
        <v>67</v>
      </c>
      <c r="L159">
        <v>9360</v>
      </c>
      <c r="M159" s="8" t="s">
        <v>82</v>
      </c>
      <c r="N159">
        <v>9360</v>
      </c>
      <c r="O159" s="8" t="s">
        <v>1701</v>
      </c>
      <c r="P159" s="8" t="s">
        <v>1564</v>
      </c>
      <c r="Q159" s="8" t="s">
        <v>1563</v>
      </c>
      <c r="R159" s="8" t="s">
        <v>1565</v>
      </c>
      <c r="S159" s="8" t="s">
        <v>1542</v>
      </c>
      <c r="T159" s="8" t="s">
        <v>1578</v>
      </c>
      <c r="U159" s="8" t="s">
        <v>1571</v>
      </c>
      <c r="V159">
        <v>2600</v>
      </c>
      <c r="W159">
        <v>1750</v>
      </c>
      <c r="X159">
        <v>9360</v>
      </c>
      <c r="Y159">
        <v>2360</v>
      </c>
    </row>
    <row r="160" spans="1:25" x14ac:dyDescent="0.3">
      <c r="A160" s="8" t="s">
        <v>354</v>
      </c>
      <c r="B160" s="14">
        <v>46091</v>
      </c>
      <c r="C160" s="8" t="s">
        <v>355</v>
      </c>
      <c r="D160" s="8" t="s">
        <v>29</v>
      </c>
      <c r="E160" s="8" t="s">
        <v>63</v>
      </c>
      <c r="F160">
        <v>3</v>
      </c>
      <c r="G160">
        <v>2200</v>
      </c>
      <c r="H160">
        <v>0</v>
      </c>
      <c r="I160" s="8" t="s">
        <v>17</v>
      </c>
      <c r="J160" s="8" t="s">
        <v>47</v>
      </c>
      <c r="K160" s="8" t="s">
        <v>1698</v>
      </c>
      <c r="L160">
        <v>6600</v>
      </c>
      <c r="M160" s="8" t="s">
        <v>42</v>
      </c>
      <c r="N160">
        <v>6600</v>
      </c>
      <c r="O160" s="8" t="s">
        <v>1701</v>
      </c>
      <c r="P160" s="8" t="s">
        <v>1560</v>
      </c>
      <c r="Q160" s="8" t="s">
        <v>1559</v>
      </c>
      <c r="R160" s="8" t="s">
        <v>1561</v>
      </c>
      <c r="S160" s="8" t="s">
        <v>1542</v>
      </c>
      <c r="T160" s="8" t="s">
        <v>1572</v>
      </c>
      <c r="U160" s="8" t="s">
        <v>1571</v>
      </c>
      <c r="V160">
        <v>2200</v>
      </c>
      <c r="W160">
        <v>1450</v>
      </c>
      <c r="X160">
        <v>6600</v>
      </c>
      <c r="Y160">
        <v>2250</v>
      </c>
    </row>
    <row r="161" spans="1:25" x14ac:dyDescent="0.3">
      <c r="A161" s="8" t="s">
        <v>356</v>
      </c>
      <c r="B161" s="14">
        <v>46106</v>
      </c>
      <c r="C161" s="8" t="s">
        <v>357</v>
      </c>
      <c r="D161" s="8" t="s">
        <v>95</v>
      </c>
      <c r="E161" s="8" t="s">
        <v>135</v>
      </c>
      <c r="F161">
        <v>2</v>
      </c>
      <c r="G161">
        <v>16800</v>
      </c>
      <c r="H161">
        <v>0.15</v>
      </c>
      <c r="I161" s="8" t="s">
        <v>17</v>
      </c>
      <c r="J161" s="8" t="s">
        <v>47</v>
      </c>
      <c r="K161" s="8" t="s">
        <v>55</v>
      </c>
      <c r="L161">
        <v>28560</v>
      </c>
      <c r="M161" s="8" t="s">
        <v>20</v>
      </c>
      <c r="N161">
        <v>28560</v>
      </c>
      <c r="O161" s="8" t="s">
        <v>1701</v>
      </c>
      <c r="P161" s="8" t="s">
        <v>1556</v>
      </c>
      <c r="Q161" s="8" t="s">
        <v>1554</v>
      </c>
      <c r="R161" s="8" t="s">
        <v>1557</v>
      </c>
      <c r="S161" s="8" t="s">
        <v>1542</v>
      </c>
      <c r="T161" s="8" t="s">
        <v>1576</v>
      </c>
      <c r="U161" s="8" t="s">
        <v>1575</v>
      </c>
      <c r="V161">
        <v>16800</v>
      </c>
      <c r="W161">
        <v>12600</v>
      </c>
      <c r="X161">
        <v>28560</v>
      </c>
      <c r="Y161">
        <v>3360</v>
      </c>
    </row>
    <row r="162" spans="1:25" x14ac:dyDescent="0.3">
      <c r="A162" s="8" t="s">
        <v>358</v>
      </c>
      <c r="B162" s="14">
        <v>46113</v>
      </c>
      <c r="C162" s="8" t="s">
        <v>137</v>
      </c>
      <c r="D162" s="8" t="s">
        <v>40</v>
      </c>
      <c r="E162" s="8" t="s">
        <v>161</v>
      </c>
      <c r="F162">
        <v>1</v>
      </c>
      <c r="G162">
        <v>2730</v>
      </c>
      <c r="H162">
        <v>0</v>
      </c>
      <c r="I162" s="8" t="s">
        <v>17</v>
      </c>
      <c r="J162" s="8" t="s">
        <v>71</v>
      </c>
      <c r="K162" s="8" t="s">
        <v>1698</v>
      </c>
      <c r="L162">
        <v>2730</v>
      </c>
      <c r="M162" s="8" t="s">
        <v>1702</v>
      </c>
      <c r="N162">
        <v>2730</v>
      </c>
      <c r="O162" s="8" t="s">
        <v>1701</v>
      </c>
      <c r="P162" s="8" t="s">
        <v>1555</v>
      </c>
      <c r="Q162" s="8" t="s">
        <v>1554</v>
      </c>
      <c r="R162" s="8" t="s">
        <v>82</v>
      </c>
      <c r="S162" s="8" t="s">
        <v>1542</v>
      </c>
      <c r="T162" s="8" t="s">
        <v>1578</v>
      </c>
      <c r="U162" s="8" t="s">
        <v>1571</v>
      </c>
      <c r="V162">
        <v>2600</v>
      </c>
      <c r="W162">
        <v>1750</v>
      </c>
      <c r="X162">
        <v>2730</v>
      </c>
      <c r="Y162">
        <v>980</v>
      </c>
    </row>
    <row r="163" spans="1:25" x14ac:dyDescent="0.3">
      <c r="A163" s="8" t="s">
        <v>359</v>
      </c>
      <c r="B163" s="14"/>
      <c r="C163" s="8" t="s">
        <v>361</v>
      </c>
      <c r="D163" s="8" t="s">
        <v>95</v>
      </c>
      <c r="E163" s="8" t="s">
        <v>46</v>
      </c>
      <c r="F163">
        <v>1</v>
      </c>
      <c r="G163">
        <v>7800</v>
      </c>
      <c r="H163">
        <v>0</v>
      </c>
      <c r="I163" s="8" t="s">
        <v>17</v>
      </c>
      <c r="J163" s="8" t="s">
        <v>18</v>
      </c>
      <c r="K163" s="8" t="s">
        <v>25</v>
      </c>
      <c r="L163">
        <v>7800</v>
      </c>
      <c r="M163" s="8" t="s">
        <v>20</v>
      </c>
      <c r="N163">
        <v>7800</v>
      </c>
      <c r="O163" s="8" t="s">
        <v>1701</v>
      </c>
      <c r="P163" s="8" t="s">
        <v>1556</v>
      </c>
      <c r="Q163" s="8" t="s">
        <v>1554</v>
      </c>
      <c r="R163" s="8" t="s">
        <v>1557</v>
      </c>
      <c r="S163" s="8" t="s">
        <v>1542</v>
      </c>
      <c r="T163" s="8" t="s">
        <v>1579</v>
      </c>
      <c r="U163" s="8" t="s">
        <v>1580</v>
      </c>
      <c r="V163">
        <v>7800</v>
      </c>
      <c r="W163">
        <v>5200</v>
      </c>
      <c r="X163">
        <v>7800</v>
      </c>
      <c r="Y163">
        <v>2600</v>
      </c>
    </row>
    <row r="164" spans="1:25" x14ac:dyDescent="0.3">
      <c r="A164" s="8" t="s">
        <v>362</v>
      </c>
      <c r="B164" s="14">
        <v>46177</v>
      </c>
      <c r="C164" s="8" t="s">
        <v>363</v>
      </c>
      <c r="D164" s="8" t="s">
        <v>50</v>
      </c>
      <c r="E164" s="8" t="s">
        <v>74</v>
      </c>
      <c r="F164">
        <v>2</v>
      </c>
      <c r="G164">
        <v>2280</v>
      </c>
      <c r="H164">
        <v>0.05</v>
      </c>
      <c r="I164" s="8" t="s">
        <v>17</v>
      </c>
      <c r="J164" s="8" t="s">
        <v>47</v>
      </c>
      <c r="K164" s="8" t="s">
        <v>55</v>
      </c>
      <c r="L164">
        <v>4332</v>
      </c>
      <c r="M164" s="8" t="s">
        <v>138</v>
      </c>
      <c r="N164">
        <v>4332</v>
      </c>
      <c r="O164" s="8" t="s">
        <v>1701</v>
      </c>
      <c r="P164" s="8" t="s">
        <v>1544</v>
      </c>
      <c r="Q164" s="8" t="s">
        <v>1541</v>
      </c>
      <c r="R164" s="8" t="s">
        <v>26</v>
      </c>
      <c r="S164" s="8" t="s">
        <v>1542</v>
      </c>
      <c r="T164" s="8" t="s">
        <v>1584</v>
      </c>
      <c r="U164" s="8" t="s">
        <v>1583</v>
      </c>
      <c r="V164">
        <v>2400</v>
      </c>
      <c r="W164">
        <v>1480</v>
      </c>
      <c r="X164">
        <v>4332</v>
      </c>
      <c r="Y164">
        <v>1372</v>
      </c>
    </row>
    <row r="165" spans="1:25" x14ac:dyDescent="0.3">
      <c r="A165" s="8" t="s">
        <v>364</v>
      </c>
      <c r="B165" s="14">
        <v>46189</v>
      </c>
      <c r="C165" s="8" t="s">
        <v>319</v>
      </c>
      <c r="D165" s="8" t="s">
        <v>45</v>
      </c>
      <c r="E165" s="8" t="s">
        <v>24</v>
      </c>
      <c r="F165">
        <v>8</v>
      </c>
      <c r="G165">
        <v>11760</v>
      </c>
      <c r="H165">
        <v>0</v>
      </c>
      <c r="I165" s="8" t="s">
        <v>17</v>
      </c>
      <c r="J165" s="8" t="s">
        <v>31</v>
      </c>
      <c r="K165" s="8" t="s">
        <v>67</v>
      </c>
      <c r="L165">
        <v>94080</v>
      </c>
      <c r="M165" s="8" t="s">
        <v>26</v>
      </c>
      <c r="N165">
        <v>94080</v>
      </c>
      <c r="O165" s="8" t="s">
        <v>1701</v>
      </c>
      <c r="P165" s="8" t="s">
        <v>1547</v>
      </c>
      <c r="Q165" s="8" t="s">
        <v>1541</v>
      </c>
      <c r="R165" s="8" t="s">
        <v>56</v>
      </c>
      <c r="S165" s="8" t="s">
        <v>1542</v>
      </c>
      <c r="T165" s="8" t="s">
        <v>1574</v>
      </c>
      <c r="U165" s="8" t="s">
        <v>1575</v>
      </c>
      <c r="V165">
        <v>11200</v>
      </c>
      <c r="W165">
        <v>8300</v>
      </c>
      <c r="X165">
        <v>94080</v>
      </c>
      <c r="Y165">
        <v>27680</v>
      </c>
    </row>
    <row r="166" spans="1:25" x14ac:dyDescent="0.3">
      <c r="A166" s="8" t="s">
        <v>365</v>
      </c>
      <c r="B166" s="14">
        <v>46203</v>
      </c>
      <c r="C166" s="8" t="s">
        <v>332</v>
      </c>
      <c r="D166" s="8" t="s">
        <v>62</v>
      </c>
      <c r="E166" s="8" t="s">
        <v>24</v>
      </c>
      <c r="F166">
        <v>10</v>
      </c>
      <c r="G166">
        <v>11760</v>
      </c>
      <c r="H166">
        <v>0.05</v>
      </c>
      <c r="I166" s="8" t="s">
        <v>17</v>
      </c>
      <c r="J166" s="8" t="s">
        <v>31</v>
      </c>
      <c r="K166" s="8" t="s">
        <v>41</v>
      </c>
      <c r="L166">
        <v>111720</v>
      </c>
      <c r="M166" s="8" t="s">
        <v>42</v>
      </c>
      <c r="N166">
        <v>111720</v>
      </c>
      <c r="O166" s="8" t="s">
        <v>1701</v>
      </c>
      <c r="P166" s="8" t="s">
        <v>1551</v>
      </c>
      <c r="Q166" s="8" t="s">
        <v>1549</v>
      </c>
      <c r="R166" s="8" t="s">
        <v>1552</v>
      </c>
      <c r="S166" s="8" t="s">
        <v>1542</v>
      </c>
      <c r="T166" s="8" t="s">
        <v>1574</v>
      </c>
      <c r="U166" s="8" t="s">
        <v>1575</v>
      </c>
      <c r="V166">
        <v>11200</v>
      </c>
      <c r="W166">
        <v>8300</v>
      </c>
      <c r="X166">
        <v>111720</v>
      </c>
      <c r="Y166">
        <v>28720</v>
      </c>
    </row>
    <row r="167" spans="1:25" x14ac:dyDescent="0.3">
      <c r="A167" s="8" t="s">
        <v>366</v>
      </c>
      <c r="B167" s="14">
        <v>46138</v>
      </c>
      <c r="C167" s="8" t="s">
        <v>367</v>
      </c>
      <c r="D167" s="8" t="s">
        <v>50</v>
      </c>
      <c r="E167" s="8" t="s">
        <v>85</v>
      </c>
      <c r="F167">
        <v>2</v>
      </c>
      <c r="G167">
        <v>48500</v>
      </c>
      <c r="H167">
        <v>0</v>
      </c>
      <c r="I167" s="8" t="s">
        <v>17</v>
      </c>
      <c r="J167" s="8" t="s">
        <v>31</v>
      </c>
      <c r="K167" s="8" t="s">
        <v>25</v>
      </c>
      <c r="L167">
        <v>97000</v>
      </c>
      <c r="M167" s="8" t="s">
        <v>82</v>
      </c>
      <c r="N167">
        <v>97000</v>
      </c>
      <c r="O167" s="8" t="s">
        <v>1701</v>
      </c>
      <c r="P167" s="8" t="s">
        <v>1544</v>
      </c>
      <c r="Q167" s="8" t="s">
        <v>1541</v>
      </c>
      <c r="R167" s="8" t="s">
        <v>26</v>
      </c>
      <c r="S167" s="8" t="s">
        <v>1542</v>
      </c>
      <c r="T167" s="8" t="s">
        <v>1585</v>
      </c>
      <c r="U167" s="8" t="s">
        <v>1586</v>
      </c>
      <c r="V167">
        <v>48500</v>
      </c>
      <c r="W167">
        <v>41200</v>
      </c>
      <c r="X167">
        <v>97000</v>
      </c>
      <c r="Y167">
        <v>14600</v>
      </c>
    </row>
    <row r="168" spans="1:25" x14ac:dyDescent="0.3">
      <c r="A168" s="8" t="s">
        <v>368</v>
      </c>
      <c r="B168" s="14">
        <v>46097</v>
      </c>
      <c r="C168" s="8" t="s">
        <v>361</v>
      </c>
      <c r="D168" s="8" t="s">
        <v>77</v>
      </c>
      <c r="E168" s="8" t="s">
        <v>135</v>
      </c>
      <c r="F168">
        <v>5</v>
      </c>
      <c r="G168">
        <v>16800</v>
      </c>
      <c r="H168">
        <v>0.2</v>
      </c>
      <c r="I168" s="8" t="s">
        <v>17</v>
      </c>
      <c r="J168" s="8" t="s">
        <v>71</v>
      </c>
      <c r="K168" s="8" t="s">
        <v>1698</v>
      </c>
      <c r="L168">
        <v>67200</v>
      </c>
      <c r="M168" s="8" t="s">
        <v>52</v>
      </c>
      <c r="N168">
        <v>67200</v>
      </c>
      <c r="O168" s="8" t="s">
        <v>1701</v>
      </c>
      <c r="P168" s="8" t="s">
        <v>1564</v>
      </c>
      <c r="Q168" s="8" t="s">
        <v>1563</v>
      </c>
      <c r="R168" s="8" t="s">
        <v>1565</v>
      </c>
      <c r="S168" s="8" t="s">
        <v>1542</v>
      </c>
      <c r="T168" s="8" t="s">
        <v>1576</v>
      </c>
      <c r="U168" s="8" t="s">
        <v>1575</v>
      </c>
      <c r="V168">
        <v>16800</v>
      </c>
      <c r="W168">
        <v>12600</v>
      </c>
      <c r="X168">
        <v>67200</v>
      </c>
      <c r="Y168">
        <v>4200</v>
      </c>
    </row>
    <row r="169" spans="1:25" x14ac:dyDescent="0.3">
      <c r="A169" s="8" t="s">
        <v>369</v>
      </c>
      <c r="B169" s="14">
        <v>46058</v>
      </c>
      <c r="C169" s="8" t="s">
        <v>269</v>
      </c>
      <c r="D169" s="8" t="s">
        <v>23</v>
      </c>
      <c r="E169" s="8" t="s">
        <v>46</v>
      </c>
      <c r="F169">
        <v>1</v>
      </c>
      <c r="G169">
        <v>8190</v>
      </c>
      <c r="H169">
        <v>0.15</v>
      </c>
      <c r="I169" s="8" t="s">
        <v>17</v>
      </c>
      <c r="J169" s="8" t="s">
        <v>31</v>
      </c>
      <c r="K169" s="8" t="s">
        <v>1698</v>
      </c>
      <c r="L169">
        <v>6961.5</v>
      </c>
      <c r="M169" s="8" t="s">
        <v>26</v>
      </c>
      <c r="N169">
        <v>6961.5</v>
      </c>
      <c r="O169" s="8" t="s">
        <v>1701</v>
      </c>
      <c r="P169" s="8" t="s">
        <v>1545</v>
      </c>
      <c r="Q169" s="8" t="s">
        <v>1541</v>
      </c>
      <c r="R169" s="8" t="s">
        <v>1546</v>
      </c>
      <c r="S169" s="8" t="s">
        <v>1542</v>
      </c>
      <c r="T169" s="8" t="s">
        <v>1579</v>
      </c>
      <c r="U169" s="8" t="s">
        <v>1580</v>
      </c>
      <c r="V169">
        <v>7800</v>
      </c>
      <c r="W169">
        <v>5200</v>
      </c>
      <c r="X169">
        <v>6961.5</v>
      </c>
      <c r="Y169">
        <v>1761.5</v>
      </c>
    </row>
    <row r="170" spans="1:25" x14ac:dyDescent="0.3">
      <c r="A170" s="8" t="s">
        <v>370</v>
      </c>
      <c r="B170" s="14">
        <v>46124</v>
      </c>
      <c r="C170" s="8" t="s">
        <v>371</v>
      </c>
      <c r="D170" s="8" t="s">
        <v>123</v>
      </c>
      <c r="E170" s="8" t="s">
        <v>85</v>
      </c>
      <c r="F170">
        <v>2</v>
      </c>
      <c r="G170">
        <v>46075</v>
      </c>
      <c r="H170">
        <v>0.1</v>
      </c>
      <c r="I170" s="8" t="s">
        <v>17</v>
      </c>
      <c r="J170" s="8" t="s">
        <v>31</v>
      </c>
      <c r="K170" s="8" t="s">
        <v>1698</v>
      </c>
      <c r="L170">
        <v>82935</v>
      </c>
      <c r="M170" s="8" t="s">
        <v>56</v>
      </c>
      <c r="N170">
        <v>82935</v>
      </c>
      <c r="O170" s="8" t="s">
        <v>1701</v>
      </c>
      <c r="P170" s="8" t="s">
        <v>1558</v>
      </c>
      <c r="Q170" s="8" t="s">
        <v>1559</v>
      </c>
      <c r="R170" s="8" t="s">
        <v>138</v>
      </c>
      <c r="S170" s="8" t="s">
        <v>1542</v>
      </c>
      <c r="T170" s="8" t="s">
        <v>1585</v>
      </c>
      <c r="U170" s="8" t="s">
        <v>1586</v>
      </c>
      <c r="V170">
        <v>48500</v>
      </c>
      <c r="W170">
        <v>41200</v>
      </c>
      <c r="X170">
        <v>82935</v>
      </c>
      <c r="Y170">
        <v>535</v>
      </c>
    </row>
    <row r="171" spans="1:25" x14ac:dyDescent="0.3">
      <c r="A171" s="8" t="s">
        <v>373</v>
      </c>
      <c r="B171" s="14">
        <v>46142</v>
      </c>
      <c r="C171" s="8" t="s">
        <v>269</v>
      </c>
      <c r="D171" s="8" t="s">
        <v>95</v>
      </c>
      <c r="E171" s="8" t="s">
        <v>51</v>
      </c>
      <c r="F171">
        <v>2</v>
      </c>
      <c r="G171">
        <v>18500</v>
      </c>
      <c r="H171">
        <v>0.15</v>
      </c>
      <c r="I171" s="8" t="s">
        <v>17</v>
      </c>
      <c r="J171" s="8" t="s">
        <v>18</v>
      </c>
      <c r="K171" s="8" t="s">
        <v>25</v>
      </c>
      <c r="L171">
        <v>31450</v>
      </c>
      <c r="M171" s="8" t="s">
        <v>20</v>
      </c>
      <c r="N171">
        <v>31450</v>
      </c>
      <c r="O171" s="8" t="s">
        <v>1701</v>
      </c>
      <c r="P171" s="8" t="s">
        <v>1556</v>
      </c>
      <c r="Q171" s="8" t="s">
        <v>1554</v>
      </c>
      <c r="R171" s="8" t="s">
        <v>1557</v>
      </c>
      <c r="S171" s="8" t="s">
        <v>1542</v>
      </c>
      <c r="T171" s="8" t="s">
        <v>1581</v>
      </c>
      <c r="U171" s="8" t="s">
        <v>1580</v>
      </c>
      <c r="V171">
        <v>18500</v>
      </c>
      <c r="W171">
        <v>13900</v>
      </c>
      <c r="X171">
        <v>31450</v>
      </c>
      <c r="Y171">
        <v>3650</v>
      </c>
    </row>
    <row r="172" spans="1:25" x14ac:dyDescent="0.3">
      <c r="A172" s="8" t="s">
        <v>374</v>
      </c>
      <c r="B172" s="14">
        <v>46054</v>
      </c>
      <c r="C172" s="8" t="s">
        <v>367</v>
      </c>
      <c r="D172" s="8" t="s">
        <v>152</v>
      </c>
      <c r="E172" s="8" t="s">
        <v>30</v>
      </c>
      <c r="F172">
        <v>2</v>
      </c>
      <c r="G172">
        <v>1800</v>
      </c>
      <c r="H172">
        <v>0</v>
      </c>
      <c r="I172" s="8" t="s">
        <v>17</v>
      </c>
      <c r="J172" s="8" t="s">
        <v>47</v>
      </c>
      <c r="K172" s="8" t="s">
        <v>1698</v>
      </c>
      <c r="L172">
        <v>3600</v>
      </c>
      <c r="M172" s="8" t="s">
        <v>26</v>
      </c>
      <c r="N172">
        <v>3600</v>
      </c>
      <c r="O172" s="8" t="s">
        <v>1701</v>
      </c>
      <c r="P172" s="8" t="s">
        <v>1553</v>
      </c>
      <c r="Q172" s="8" t="s">
        <v>1554</v>
      </c>
      <c r="R172" s="8" t="s">
        <v>59</v>
      </c>
      <c r="S172" s="8" t="s">
        <v>1542</v>
      </c>
      <c r="T172" s="8" t="s">
        <v>1573</v>
      </c>
      <c r="U172" s="8" t="s">
        <v>1571</v>
      </c>
      <c r="V172">
        <v>1800</v>
      </c>
      <c r="W172">
        <v>1120</v>
      </c>
      <c r="X172">
        <v>3600</v>
      </c>
      <c r="Y172">
        <v>1360</v>
      </c>
    </row>
    <row r="173" spans="1:25" x14ac:dyDescent="0.3">
      <c r="A173" s="8" t="s">
        <v>377</v>
      </c>
      <c r="B173" s="14">
        <v>46062</v>
      </c>
      <c r="C173" s="8" t="s">
        <v>378</v>
      </c>
      <c r="D173" s="8" t="s">
        <v>50</v>
      </c>
      <c r="E173" s="8" t="s">
        <v>74</v>
      </c>
      <c r="F173">
        <v>3</v>
      </c>
      <c r="G173">
        <v>2280</v>
      </c>
      <c r="H173">
        <v>0.15</v>
      </c>
      <c r="I173" s="8" t="s">
        <v>17</v>
      </c>
      <c r="J173" s="8" t="s">
        <v>31</v>
      </c>
      <c r="K173" s="8" t="s">
        <v>1698</v>
      </c>
      <c r="L173">
        <v>5814</v>
      </c>
      <c r="M173" s="8" t="s">
        <v>48</v>
      </c>
      <c r="N173">
        <v>5814</v>
      </c>
      <c r="O173" s="8" t="s">
        <v>1701</v>
      </c>
      <c r="P173" s="8" t="s">
        <v>1544</v>
      </c>
      <c r="Q173" s="8" t="s">
        <v>1541</v>
      </c>
      <c r="R173" s="8" t="s">
        <v>26</v>
      </c>
      <c r="S173" s="8" t="s">
        <v>1542</v>
      </c>
      <c r="T173" s="8" t="s">
        <v>1584</v>
      </c>
      <c r="U173" s="8" t="s">
        <v>1583</v>
      </c>
      <c r="V173">
        <v>2400</v>
      </c>
      <c r="W173">
        <v>1480</v>
      </c>
      <c r="X173">
        <v>5814</v>
      </c>
      <c r="Y173">
        <v>1374</v>
      </c>
    </row>
    <row r="174" spans="1:25" x14ac:dyDescent="0.3">
      <c r="A174" s="8" t="s">
        <v>379</v>
      </c>
      <c r="B174" s="14">
        <v>46090</v>
      </c>
      <c r="C174" s="8" t="s">
        <v>353</v>
      </c>
      <c r="D174" s="8" t="s">
        <v>95</v>
      </c>
      <c r="E174" s="8" t="s">
        <v>24</v>
      </c>
      <c r="F174">
        <v>4</v>
      </c>
      <c r="G174">
        <v>10640</v>
      </c>
      <c r="H174">
        <v>0.1</v>
      </c>
      <c r="I174" s="8" t="s">
        <v>17</v>
      </c>
      <c r="J174" s="8" t="s">
        <v>47</v>
      </c>
      <c r="K174" s="8" t="s">
        <v>67</v>
      </c>
      <c r="L174">
        <v>38304</v>
      </c>
      <c r="M174" s="8" t="s">
        <v>56</v>
      </c>
      <c r="N174">
        <v>38304</v>
      </c>
      <c r="O174" s="8" t="s">
        <v>1701</v>
      </c>
      <c r="P174" s="8" t="s">
        <v>1556</v>
      </c>
      <c r="Q174" s="8" t="s">
        <v>1554</v>
      </c>
      <c r="R174" s="8" t="s">
        <v>1557</v>
      </c>
      <c r="S174" s="8" t="s">
        <v>1542</v>
      </c>
      <c r="T174" s="8" t="s">
        <v>1574</v>
      </c>
      <c r="U174" s="8" t="s">
        <v>1575</v>
      </c>
      <c r="V174">
        <v>11200</v>
      </c>
      <c r="W174">
        <v>8300</v>
      </c>
      <c r="X174">
        <v>38304</v>
      </c>
      <c r="Y174">
        <v>5104</v>
      </c>
    </row>
    <row r="175" spans="1:25" x14ac:dyDescent="0.3">
      <c r="A175" s="8" t="s">
        <v>380</v>
      </c>
      <c r="B175" s="14">
        <v>46085</v>
      </c>
      <c r="C175" s="8" t="s">
        <v>381</v>
      </c>
      <c r="D175" s="8" t="s">
        <v>29</v>
      </c>
      <c r="E175" s="8" t="s">
        <v>74</v>
      </c>
      <c r="F175">
        <v>2</v>
      </c>
      <c r="G175">
        <v>2280</v>
      </c>
      <c r="H175">
        <v>0.1</v>
      </c>
      <c r="I175" s="8" t="s">
        <v>17</v>
      </c>
      <c r="J175" s="8" t="s">
        <v>18</v>
      </c>
      <c r="K175" s="8" t="s">
        <v>55</v>
      </c>
      <c r="L175">
        <v>4104</v>
      </c>
      <c r="M175" s="8" t="s">
        <v>56</v>
      </c>
      <c r="N175">
        <v>4104</v>
      </c>
      <c r="O175" s="8" t="s">
        <v>1701</v>
      </c>
      <c r="P175" s="8" t="s">
        <v>1560</v>
      </c>
      <c r="Q175" s="8" t="s">
        <v>1559</v>
      </c>
      <c r="R175" s="8" t="s">
        <v>1561</v>
      </c>
      <c r="S175" s="8" t="s">
        <v>1542</v>
      </c>
      <c r="T175" s="8" t="s">
        <v>1584</v>
      </c>
      <c r="U175" s="8" t="s">
        <v>1583</v>
      </c>
      <c r="V175">
        <v>2400</v>
      </c>
      <c r="W175">
        <v>1480</v>
      </c>
      <c r="X175">
        <v>4104</v>
      </c>
      <c r="Y175">
        <v>1144</v>
      </c>
    </row>
    <row r="176" spans="1:25" x14ac:dyDescent="0.3">
      <c r="A176" s="8" t="s">
        <v>382</v>
      </c>
      <c r="B176" s="14">
        <v>46141</v>
      </c>
      <c r="C176" s="8" t="s">
        <v>190</v>
      </c>
      <c r="D176" s="8" t="s">
        <v>23</v>
      </c>
      <c r="E176" s="8" t="s">
        <v>36</v>
      </c>
      <c r="F176">
        <v>3</v>
      </c>
      <c r="G176">
        <v>1400</v>
      </c>
      <c r="H176">
        <v>0.05</v>
      </c>
      <c r="I176" s="8" t="s">
        <v>66</v>
      </c>
      <c r="J176" s="8" t="s">
        <v>18</v>
      </c>
      <c r="K176" s="8" t="s">
        <v>41</v>
      </c>
      <c r="L176">
        <v>3990</v>
      </c>
      <c r="M176" s="8" t="s">
        <v>138</v>
      </c>
      <c r="N176">
        <v>3990</v>
      </c>
      <c r="O176" s="8" t="s">
        <v>1701</v>
      </c>
      <c r="P176" s="8" t="s">
        <v>1545</v>
      </c>
      <c r="Q176" s="8" t="s">
        <v>1541</v>
      </c>
      <c r="R176" s="8" t="s">
        <v>1546</v>
      </c>
      <c r="S176" s="8" t="s">
        <v>1542</v>
      </c>
      <c r="T176" s="8" t="s">
        <v>1577</v>
      </c>
      <c r="U176" s="8" t="s">
        <v>1571</v>
      </c>
      <c r="V176">
        <v>1400</v>
      </c>
      <c r="W176">
        <v>780</v>
      </c>
      <c r="X176">
        <v>0</v>
      </c>
      <c r="Y176">
        <v>-2340</v>
      </c>
    </row>
    <row r="177" spans="1:25" x14ac:dyDescent="0.3">
      <c r="A177" s="8" t="s">
        <v>383</v>
      </c>
      <c r="B177" s="14">
        <v>46154</v>
      </c>
      <c r="C177" s="8" t="s">
        <v>384</v>
      </c>
      <c r="D177" s="8" t="s">
        <v>152</v>
      </c>
      <c r="E177" s="8" t="s">
        <v>63</v>
      </c>
      <c r="F177">
        <v>2</v>
      </c>
      <c r="G177">
        <v>2310</v>
      </c>
      <c r="H177">
        <v>0.1</v>
      </c>
      <c r="I177" s="8" t="s">
        <v>17</v>
      </c>
      <c r="J177" s="8" t="s">
        <v>71</v>
      </c>
      <c r="K177" s="8" t="s">
        <v>1698</v>
      </c>
      <c r="L177">
        <v>4158</v>
      </c>
      <c r="M177" s="8" t="s">
        <v>20</v>
      </c>
      <c r="N177">
        <v>4158</v>
      </c>
      <c r="O177" s="8" t="s">
        <v>1701</v>
      </c>
      <c r="P177" s="8" t="s">
        <v>1553</v>
      </c>
      <c r="Q177" s="8" t="s">
        <v>1554</v>
      </c>
      <c r="R177" s="8" t="s">
        <v>59</v>
      </c>
      <c r="S177" s="8" t="s">
        <v>1542</v>
      </c>
      <c r="T177" s="8" t="s">
        <v>1572</v>
      </c>
      <c r="U177" s="8" t="s">
        <v>1571</v>
      </c>
      <c r="V177">
        <v>2200</v>
      </c>
      <c r="W177">
        <v>1450</v>
      </c>
      <c r="X177">
        <v>4158</v>
      </c>
      <c r="Y177">
        <v>1258</v>
      </c>
    </row>
    <row r="178" spans="1:25" x14ac:dyDescent="0.3">
      <c r="A178" s="8" t="s">
        <v>385</v>
      </c>
      <c r="B178" s="14">
        <v>46097</v>
      </c>
      <c r="C178" s="8" t="s">
        <v>386</v>
      </c>
      <c r="D178" s="8" t="s">
        <v>70</v>
      </c>
      <c r="E178" s="8" t="s">
        <v>183</v>
      </c>
      <c r="F178">
        <v>2</v>
      </c>
      <c r="G178">
        <v>3200</v>
      </c>
      <c r="H178">
        <v>0</v>
      </c>
      <c r="I178" s="8" t="s">
        <v>17</v>
      </c>
      <c r="J178" s="8" t="s">
        <v>71</v>
      </c>
      <c r="K178" s="8" t="s">
        <v>55</v>
      </c>
      <c r="L178">
        <v>6400</v>
      </c>
      <c r="M178" s="8" t="s">
        <v>82</v>
      </c>
      <c r="N178">
        <v>6400</v>
      </c>
      <c r="O178" s="8" t="s">
        <v>1701</v>
      </c>
      <c r="P178" s="8" t="s">
        <v>1550</v>
      </c>
      <c r="Q178" s="8" t="s">
        <v>1549</v>
      </c>
      <c r="R178" s="8" t="s">
        <v>32</v>
      </c>
      <c r="S178" s="8" t="s">
        <v>1542</v>
      </c>
      <c r="T178" s="8" t="s">
        <v>1582</v>
      </c>
      <c r="U178" s="8" t="s">
        <v>1583</v>
      </c>
      <c r="V178">
        <v>3200</v>
      </c>
      <c r="W178">
        <v>2050</v>
      </c>
      <c r="X178">
        <v>6400</v>
      </c>
      <c r="Y178">
        <v>2300</v>
      </c>
    </row>
    <row r="179" spans="1:25" x14ac:dyDescent="0.3">
      <c r="A179" s="8" t="s">
        <v>387</v>
      </c>
      <c r="B179" s="14">
        <v>46142</v>
      </c>
      <c r="C179" s="8" t="s">
        <v>388</v>
      </c>
      <c r="D179" s="8" t="s">
        <v>62</v>
      </c>
      <c r="E179" s="8" t="s">
        <v>135</v>
      </c>
      <c r="F179">
        <v>2</v>
      </c>
      <c r="G179">
        <v>17640</v>
      </c>
      <c r="H179">
        <v>0</v>
      </c>
      <c r="I179" s="8" t="s">
        <v>80</v>
      </c>
      <c r="J179" s="8" t="s">
        <v>71</v>
      </c>
      <c r="K179" s="8" t="s">
        <v>25</v>
      </c>
      <c r="L179">
        <v>35280</v>
      </c>
      <c r="M179" s="8" t="s">
        <v>138</v>
      </c>
      <c r="N179">
        <v>35280</v>
      </c>
      <c r="O179" s="8" t="s">
        <v>1701</v>
      </c>
      <c r="P179" s="8" t="s">
        <v>1551</v>
      </c>
      <c r="Q179" s="8" t="s">
        <v>1549</v>
      </c>
      <c r="R179" s="8" t="s">
        <v>1552</v>
      </c>
      <c r="S179" s="8" t="s">
        <v>1542</v>
      </c>
      <c r="T179" s="8" t="s">
        <v>1576</v>
      </c>
      <c r="U179" s="8" t="s">
        <v>1575</v>
      </c>
      <c r="V179">
        <v>16800</v>
      </c>
      <c r="W179">
        <v>12600</v>
      </c>
      <c r="X179">
        <v>0</v>
      </c>
      <c r="Y179">
        <v>-25200</v>
      </c>
    </row>
    <row r="180" spans="1:25" x14ac:dyDescent="0.3">
      <c r="A180" s="8" t="s">
        <v>389</v>
      </c>
      <c r="B180" s="14">
        <v>46035</v>
      </c>
      <c r="C180" s="8" t="s">
        <v>111</v>
      </c>
      <c r="D180" s="8" t="s">
        <v>168</v>
      </c>
      <c r="E180" s="8" t="s">
        <v>135</v>
      </c>
      <c r="F180">
        <v>2</v>
      </c>
      <c r="G180">
        <v>16800</v>
      </c>
      <c r="H180">
        <v>0.2</v>
      </c>
      <c r="I180" s="8" t="s">
        <v>17</v>
      </c>
      <c r="J180" s="8" t="s">
        <v>31</v>
      </c>
      <c r="K180" s="8" t="s">
        <v>55</v>
      </c>
      <c r="L180">
        <v>26880</v>
      </c>
      <c r="M180" s="8" t="s">
        <v>59</v>
      </c>
      <c r="N180">
        <v>26880</v>
      </c>
      <c r="O180" s="8" t="s">
        <v>1701</v>
      </c>
      <c r="P180" s="8" t="s">
        <v>1540</v>
      </c>
      <c r="Q180" s="8" t="s">
        <v>1541</v>
      </c>
      <c r="R180" s="8" t="s">
        <v>20</v>
      </c>
      <c r="S180" s="8" t="s">
        <v>1542</v>
      </c>
      <c r="T180" s="8" t="s">
        <v>1576</v>
      </c>
      <c r="U180" s="8" t="s">
        <v>1575</v>
      </c>
      <c r="V180">
        <v>16800</v>
      </c>
      <c r="W180">
        <v>12600</v>
      </c>
      <c r="X180">
        <v>26880</v>
      </c>
      <c r="Y180">
        <v>1680</v>
      </c>
    </row>
    <row r="181" spans="1:25" x14ac:dyDescent="0.3">
      <c r="A181" s="8" t="s">
        <v>390</v>
      </c>
      <c r="B181" s="14">
        <v>46090</v>
      </c>
      <c r="C181" s="8" t="s">
        <v>391</v>
      </c>
      <c r="D181" s="8" t="s">
        <v>123</v>
      </c>
      <c r="E181" s="8" t="s">
        <v>36</v>
      </c>
      <c r="F181">
        <v>4</v>
      </c>
      <c r="G181">
        <v>1330</v>
      </c>
      <c r="H181">
        <v>0.05</v>
      </c>
      <c r="I181" s="8" t="s">
        <v>17</v>
      </c>
      <c r="J181" s="8" t="s">
        <v>47</v>
      </c>
      <c r="K181" s="8" t="s">
        <v>25</v>
      </c>
      <c r="L181">
        <v>5054</v>
      </c>
      <c r="M181" s="8" t="s">
        <v>26</v>
      </c>
      <c r="N181">
        <v>5054</v>
      </c>
      <c r="O181" s="8" t="s">
        <v>1701</v>
      </c>
      <c r="P181" s="8" t="s">
        <v>1558</v>
      </c>
      <c r="Q181" s="8" t="s">
        <v>1559</v>
      </c>
      <c r="R181" s="8" t="s">
        <v>138</v>
      </c>
      <c r="S181" s="8" t="s">
        <v>1542</v>
      </c>
      <c r="T181" s="8" t="s">
        <v>1577</v>
      </c>
      <c r="U181" s="8" t="s">
        <v>1571</v>
      </c>
      <c r="V181">
        <v>1400</v>
      </c>
      <c r="W181">
        <v>780</v>
      </c>
      <c r="X181">
        <v>5054</v>
      </c>
      <c r="Y181">
        <v>1934</v>
      </c>
    </row>
    <row r="182" spans="1:25" x14ac:dyDescent="0.3">
      <c r="A182" s="8" t="s">
        <v>392</v>
      </c>
      <c r="B182" s="14">
        <v>46041</v>
      </c>
      <c r="C182" s="8" t="s">
        <v>393</v>
      </c>
      <c r="D182" s="8" t="s">
        <v>70</v>
      </c>
      <c r="E182" s="8" t="s">
        <v>51</v>
      </c>
      <c r="F182">
        <v>2</v>
      </c>
      <c r="G182">
        <v>17575</v>
      </c>
      <c r="H182">
        <v>0.15</v>
      </c>
      <c r="I182" s="8" t="s">
        <v>17</v>
      </c>
      <c r="J182" s="8" t="s">
        <v>31</v>
      </c>
      <c r="K182" s="8" t="s">
        <v>55</v>
      </c>
      <c r="L182">
        <v>29877.5</v>
      </c>
      <c r="M182" s="8" t="s">
        <v>138</v>
      </c>
      <c r="N182">
        <v>29877.5</v>
      </c>
      <c r="O182" s="8" t="s">
        <v>1701</v>
      </c>
      <c r="P182" s="8" t="s">
        <v>1550</v>
      </c>
      <c r="Q182" s="8" t="s">
        <v>1549</v>
      </c>
      <c r="R182" s="8" t="s">
        <v>32</v>
      </c>
      <c r="S182" s="8" t="s">
        <v>1542</v>
      </c>
      <c r="T182" s="8" t="s">
        <v>1581</v>
      </c>
      <c r="U182" s="8" t="s">
        <v>1580</v>
      </c>
      <c r="V182">
        <v>18500</v>
      </c>
      <c r="W182">
        <v>13900</v>
      </c>
      <c r="X182">
        <v>29877.5</v>
      </c>
      <c r="Y182">
        <v>2077.5</v>
      </c>
    </row>
    <row r="183" spans="1:25" x14ac:dyDescent="0.3">
      <c r="A183" s="8" t="s">
        <v>394</v>
      </c>
      <c r="B183" s="14">
        <v>46109</v>
      </c>
      <c r="C183" s="8" t="s">
        <v>69</v>
      </c>
      <c r="D183" s="8" t="s">
        <v>152</v>
      </c>
      <c r="E183" s="8" t="s">
        <v>36</v>
      </c>
      <c r="F183">
        <v>4</v>
      </c>
      <c r="G183">
        <v>1470</v>
      </c>
      <c r="H183">
        <v>0</v>
      </c>
      <c r="I183" s="8" t="s">
        <v>17</v>
      </c>
      <c r="J183" s="8" t="s">
        <v>31</v>
      </c>
      <c r="K183" s="8" t="s">
        <v>1698</v>
      </c>
      <c r="L183">
        <v>5880</v>
      </c>
      <c r="M183" s="8" t="s">
        <v>20</v>
      </c>
      <c r="N183">
        <v>5880</v>
      </c>
      <c r="O183" s="8" t="s">
        <v>1701</v>
      </c>
      <c r="P183" s="8" t="s">
        <v>1553</v>
      </c>
      <c r="Q183" s="8" t="s">
        <v>1554</v>
      </c>
      <c r="R183" s="8" t="s">
        <v>59</v>
      </c>
      <c r="S183" s="8" t="s">
        <v>1542</v>
      </c>
      <c r="T183" s="8" t="s">
        <v>1577</v>
      </c>
      <c r="U183" s="8" t="s">
        <v>1571</v>
      </c>
      <c r="V183">
        <v>1400</v>
      </c>
      <c r="W183">
        <v>780</v>
      </c>
      <c r="X183">
        <v>5880</v>
      </c>
      <c r="Y183">
        <v>2760</v>
      </c>
    </row>
    <row r="184" spans="1:25" x14ac:dyDescent="0.3">
      <c r="A184" s="8" t="s">
        <v>395</v>
      </c>
      <c r="B184" s="14">
        <v>46058</v>
      </c>
      <c r="C184" s="8" t="s">
        <v>396</v>
      </c>
      <c r="D184" s="8" t="s">
        <v>123</v>
      </c>
      <c r="E184" s="8" t="s">
        <v>36</v>
      </c>
      <c r="F184">
        <v>4</v>
      </c>
      <c r="G184">
        <v>1400</v>
      </c>
      <c r="H184">
        <v>0.15</v>
      </c>
      <c r="I184" s="8" t="s">
        <v>17</v>
      </c>
      <c r="J184" s="8" t="s">
        <v>47</v>
      </c>
      <c r="K184" s="8" t="s">
        <v>41</v>
      </c>
      <c r="L184">
        <v>4760</v>
      </c>
      <c r="M184" s="8" t="s">
        <v>32</v>
      </c>
      <c r="N184">
        <v>4760</v>
      </c>
      <c r="O184" s="8" t="s">
        <v>1701</v>
      </c>
      <c r="P184" s="8" t="s">
        <v>1558</v>
      </c>
      <c r="Q184" s="8" t="s">
        <v>1559</v>
      </c>
      <c r="R184" s="8" t="s">
        <v>138</v>
      </c>
      <c r="S184" s="8" t="s">
        <v>1542</v>
      </c>
      <c r="T184" s="8" t="s">
        <v>1577</v>
      </c>
      <c r="U184" s="8" t="s">
        <v>1571</v>
      </c>
      <c r="V184">
        <v>1400</v>
      </c>
      <c r="W184">
        <v>780</v>
      </c>
      <c r="X184">
        <v>4760</v>
      </c>
      <c r="Y184">
        <v>1640</v>
      </c>
    </row>
    <row r="185" spans="1:25" x14ac:dyDescent="0.3">
      <c r="A185" s="8" t="s">
        <v>397</v>
      </c>
      <c r="B185" s="14">
        <v>46180</v>
      </c>
      <c r="C185" s="8" t="s">
        <v>115</v>
      </c>
      <c r="D185" s="8" t="s">
        <v>123</v>
      </c>
      <c r="E185" s="8" t="s">
        <v>135</v>
      </c>
      <c r="F185">
        <v>3</v>
      </c>
      <c r="G185">
        <v>17640</v>
      </c>
      <c r="H185">
        <v>0.15</v>
      </c>
      <c r="I185" s="8" t="s">
        <v>17</v>
      </c>
      <c r="J185" s="8" t="s">
        <v>18</v>
      </c>
      <c r="K185" s="8" t="s">
        <v>1698</v>
      </c>
      <c r="L185">
        <v>44982</v>
      </c>
      <c r="M185" s="8" t="s">
        <v>138</v>
      </c>
      <c r="N185">
        <v>44982</v>
      </c>
      <c r="O185" s="8" t="s">
        <v>1701</v>
      </c>
      <c r="P185" s="8" t="s">
        <v>1558</v>
      </c>
      <c r="Q185" s="8" t="s">
        <v>1559</v>
      </c>
      <c r="R185" s="8" t="s">
        <v>138</v>
      </c>
      <c r="S185" s="8" t="s">
        <v>1542</v>
      </c>
      <c r="T185" s="8" t="s">
        <v>1576</v>
      </c>
      <c r="U185" s="8" t="s">
        <v>1575</v>
      </c>
      <c r="V185">
        <v>16800</v>
      </c>
      <c r="W185">
        <v>12600</v>
      </c>
      <c r="X185">
        <v>44982</v>
      </c>
      <c r="Y185">
        <v>7182</v>
      </c>
    </row>
    <row r="186" spans="1:25" x14ac:dyDescent="0.3">
      <c r="A186" s="8" t="s">
        <v>398</v>
      </c>
      <c r="B186" s="14">
        <v>46107</v>
      </c>
      <c r="C186" s="8" t="s">
        <v>399</v>
      </c>
      <c r="D186" s="8" t="s">
        <v>95</v>
      </c>
      <c r="E186" s="8" t="s">
        <v>63</v>
      </c>
      <c r="F186">
        <v>10</v>
      </c>
      <c r="G186">
        <v>2090</v>
      </c>
      <c r="H186">
        <v>0.15</v>
      </c>
      <c r="I186" s="8" t="s">
        <v>17</v>
      </c>
      <c r="J186" s="8" t="s">
        <v>47</v>
      </c>
      <c r="K186" s="8" t="s">
        <v>25</v>
      </c>
      <c r="L186">
        <v>17765</v>
      </c>
      <c r="M186" s="8" t="s">
        <v>48</v>
      </c>
      <c r="N186">
        <v>17765</v>
      </c>
      <c r="O186" s="8" t="s">
        <v>1701</v>
      </c>
      <c r="P186" s="8" t="s">
        <v>1556</v>
      </c>
      <c r="Q186" s="8" t="s">
        <v>1554</v>
      </c>
      <c r="R186" s="8" t="s">
        <v>1557</v>
      </c>
      <c r="S186" s="8" t="s">
        <v>1542</v>
      </c>
      <c r="T186" s="8" t="s">
        <v>1572</v>
      </c>
      <c r="U186" s="8" t="s">
        <v>1571</v>
      </c>
      <c r="V186">
        <v>2200</v>
      </c>
      <c r="W186">
        <v>1450</v>
      </c>
      <c r="X186">
        <v>17765</v>
      </c>
      <c r="Y186">
        <v>3265</v>
      </c>
    </row>
    <row r="187" spans="1:25" x14ac:dyDescent="0.3">
      <c r="A187" s="8" t="s">
        <v>400</v>
      </c>
      <c r="B187" s="14">
        <v>46081</v>
      </c>
      <c r="C187" s="8" t="s">
        <v>401</v>
      </c>
      <c r="D187" s="8" t="s">
        <v>123</v>
      </c>
      <c r="E187" s="8" t="s">
        <v>16</v>
      </c>
      <c r="F187">
        <v>3</v>
      </c>
      <c r="G187">
        <v>682.5</v>
      </c>
      <c r="H187">
        <v>0</v>
      </c>
      <c r="I187" s="8" t="s">
        <v>17</v>
      </c>
      <c r="J187" s="8" t="s">
        <v>71</v>
      </c>
      <c r="K187" s="8" t="s">
        <v>1698</v>
      </c>
      <c r="L187">
        <v>2047.5</v>
      </c>
      <c r="M187" s="8" t="s">
        <v>48</v>
      </c>
      <c r="N187">
        <v>2047.5</v>
      </c>
      <c r="O187" s="8" t="s">
        <v>1701</v>
      </c>
      <c r="P187" s="8" t="s">
        <v>1558</v>
      </c>
      <c r="Q187" s="8" t="s">
        <v>1559</v>
      </c>
      <c r="R187" s="8" t="s">
        <v>138</v>
      </c>
      <c r="S187" s="8" t="s">
        <v>1542</v>
      </c>
      <c r="T187" s="8" t="s">
        <v>1570</v>
      </c>
      <c r="U187" s="8" t="s">
        <v>1571</v>
      </c>
      <c r="V187">
        <v>650</v>
      </c>
      <c r="W187">
        <v>390</v>
      </c>
      <c r="X187">
        <v>2047.5</v>
      </c>
      <c r="Y187">
        <v>877.5</v>
      </c>
    </row>
    <row r="188" spans="1:25" x14ac:dyDescent="0.3">
      <c r="A188" s="8" t="s">
        <v>402</v>
      </c>
      <c r="B188" s="14">
        <v>46202</v>
      </c>
      <c r="C188" s="8" t="s">
        <v>403</v>
      </c>
      <c r="D188" s="8" t="s">
        <v>15</v>
      </c>
      <c r="E188" s="8" t="s">
        <v>24</v>
      </c>
      <c r="F188">
        <v>1</v>
      </c>
      <c r="G188">
        <v>11760</v>
      </c>
      <c r="H188">
        <v>0.05</v>
      </c>
      <c r="I188" s="8" t="s">
        <v>17</v>
      </c>
      <c r="J188" s="8" t="s">
        <v>18</v>
      </c>
      <c r="K188" s="8" t="s">
        <v>25</v>
      </c>
      <c r="L188">
        <v>11172</v>
      </c>
      <c r="M188" s="8" t="s">
        <v>48</v>
      </c>
      <c r="N188">
        <v>11172</v>
      </c>
      <c r="O188" s="8" t="s">
        <v>1701</v>
      </c>
      <c r="P188" s="8" t="s">
        <v>1543</v>
      </c>
      <c r="Q188" s="8" t="s">
        <v>1541</v>
      </c>
      <c r="R188" s="8" t="s">
        <v>52</v>
      </c>
      <c r="S188" s="8" t="s">
        <v>1542</v>
      </c>
      <c r="T188" s="8" t="s">
        <v>1574</v>
      </c>
      <c r="U188" s="8" t="s">
        <v>1575</v>
      </c>
      <c r="V188">
        <v>11200</v>
      </c>
      <c r="W188">
        <v>8300</v>
      </c>
      <c r="X188">
        <v>11172</v>
      </c>
      <c r="Y188">
        <v>2872</v>
      </c>
    </row>
    <row r="189" spans="1:25" x14ac:dyDescent="0.3">
      <c r="A189" s="8" t="s">
        <v>404</v>
      </c>
      <c r="B189" s="14">
        <v>46143</v>
      </c>
      <c r="C189" s="8" t="s">
        <v>405</v>
      </c>
      <c r="D189" s="8" t="s">
        <v>90</v>
      </c>
      <c r="E189" s="8" t="s">
        <v>85</v>
      </c>
      <c r="F189">
        <v>3</v>
      </c>
      <c r="G189">
        <v>48500</v>
      </c>
      <c r="H189">
        <v>0.2</v>
      </c>
      <c r="I189" s="8" t="s">
        <v>17</v>
      </c>
      <c r="J189" s="8" t="s">
        <v>18</v>
      </c>
      <c r="K189" s="8" t="s">
        <v>25</v>
      </c>
      <c r="L189">
        <v>116400</v>
      </c>
      <c r="M189" s="8" t="s">
        <v>32</v>
      </c>
      <c r="N189">
        <v>116400</v>
      </c>
      <c r="O189" s="8" t="s">
        <v>1701</v>
      </c>
      <c r="P189" s="8" t="s">
        <v>1562</v>
      </c>
      <c r="Q189" s="8" t="s">
        <v>1563</v>
      </c>
      <c r="R189" s="8" t="s">
        <v>48</v>
      </c>
      <c r="S189" s="8" t="s">
        <v>1542</v>
      </c>
      <c r="T189" s="8" t="s">
        <v>1585</v>
      </c>
      <c r="U189" s="8" t="s">
        <v>1586</v>
      </c>
      <c r="V189">
        <v>48500</v>
      </c>
      <c r="W189">
        <v>41200</v>
      </c>
      <c r="X189">
        <v>116400</v>
      </c>
      <c r="Y189">
        <v>-7200</v>
      </c>
    </row>
    <row r="190" spans="1:25" x14ac:dyDescent="0.3">
      <c r="A190" s="8" t="s">
        <v>406</v>
      </c>
      <c r="B190" s="14">
        <v>46103</v>
      </c>
      <c r="C190" s="8" t="s">
        <v>407</v>
      </c>
      <c r="D190" s="8" t="s">
        <v>50</v>
      </c>
      <c r="E190" s="8" t="s">
        <v>46</v>
      </c>
      <c r="F190">
        <v>5</v>
      </c>
      <c r="G190">
        <v>7800</v>
      </c>
      <c r="H190">
        <v>0.05</v>
      </c>
      <c r="I190" s="8" t="s">
        <v>17</v>
      </c>
      <c r="J190" s="8" t="s">
        <v>71</v>
      </c>
      <c r="K190" s="8" t="s">
        <v>41</v>
      </c>
      <c r="L190">
        <v>37050</v>
      </c>
      <c r="M190" s="8" t="s">
        <v>26</v>
      </c>
      <c r="N190">
        <v>37050</v>
      </c>
      <c r="O190" s="8" t="s">
        <v>1701</v>
      </c>
      <c r="P190" s="8" t="s">
        <v>1544</v>
      </c>
      <c r="Q190" s="8" t="s">
        <v>1541</v>
      </c>
      <c r="R190" s="8" t="s">
        <v>26</v>
      </c>
      <c r="S190" s="8" t="s">
        <v>1542</v>
      </c>
      <c r="T190" s="8" t="s">
        <v>1579</v>
      </c>
      <c r="U190" s="8" t="s">
        <v>1580</v>
      </c>
      <c r="V190">
        <v>7800</v>
      </c>
      <c r="W190">
        <v>5200</v>
      </c>
      <c r="X190">
        <v>37050</v>
      </c>
      <c r="Y190">
        <v>11050</v>
      </c>
    </row>
    <row r="191" spans="1:25" x14ac:dyDescent="0.3">
      <c r="A191" s="8" t="s">
        <v>408</v>
      </c>
      <c r="B191" s="14">
        <v>46165</v>
      </c>
      <c r="C191" s="8" t="s">
        <v>409</v>
      </c>
      <c r="D191" s="8" t="s">
        <v>45</v>
      </c>
      <c r="E191" s="8" t="s">
        <v>24</v>
      </c>
      <c r="F191">
        <v>8</v>
      </c>
      <c r="G191">
        <v>11200</v>
      </c>
      <c r="H191">
        <v>0.05</v>
      </c>
      <c r="I191" s="8" t="s">
        <v>17</v>
      </c>
      <c r="J191" s="8" t="s">
        <v>47</v>
      </c>
      <c r="K191" s="8" t="s">
        <v>55</v>
      </c>
      <c r="L191">
        <v>85120</v>
      </c>
      <c r="M191" s="8" t="s">
        <v>138</v>
      </c>
      <c r="N191">
        <v>85120</v>
      </c>
      <c r="O191" s="8" t="s">
        <v>1701</v>
      </c>
      <c r="P191" s="8" t="s">
        <v>1547</v>
      </c>
      <c r="Q191" s="8" t="s">
        <v>1541</v>
      </c>
      <c r="R191" s="8" t="s">
        <v>56</v>
      </c>
      <c r="S191" s="8" t="s">
        <v>1542</v>
      </c>
      <c r="T191" s="8" t="s">
        <v>1574</v>
      </c>
      <c r="U191" s="8" t="s">
        <v>1575</v>
      </c>
      <c r="V191">
        <v>11200</v>
      </c>
      <c r="W191">
        <v>8300</v>
      </c>
      <c r="X191">
        <v>85120</v>
      </c>
      <c r="Y191">
        <v>18720</v>
      </c>
    </row>
    <row r="192" spans="1:25" x14ac:dyDescent="0.3">
      <c r="A192" s="8" t="s">
        <v>410</v>
      </c>
      <c r="B192" s="14">
        <v>46166</v>
      </c>
      <c r="C192" s="8" t="s">
        <v>411</v>
      </c>
      <c r="D192" s="8" t="s">
        <v>77</v>
      </c>
      <c r="E192" s="8" t="s">
        <v>85</v>
      </c>
      <c r="F192">
        <v>1</v>
      </c>
      <c r="G192">
        <v>50925</v>
      </c>
      <c r="H192">
        <v>0</v>
      </c>
      <c r="I192" s="8" t="s">
        <v>17</v>
      </c>
      <c r="J192" s="8" t="s">
        <v>47</v>
      </c>
      <c r="K192" s="8" t="s">
        <v>41</v>
      </c>
      <c r="L192">
        <v>50925</v>
      </c>
      <c r="M192" s="8" t="s">
        <v>26</v>
      </c>
      <c r="N192">
        <v>50925</v>
      </c>
      <c r="O192" s="8" t="s">
        <v>1701</v>
      </c>
      <c r="P192" s="8" t="s">
        <v>1564</v>
      </c>
      <c r="Q192" s="8" t="s">
        <v>1563</v>
      </c>
      <c r="R192" s="8" t="s">
        <v>1565</v>
      </c>
      <c r="S192" s="8" t="s">
        <v>1542</v>
      </c>
      <c r="T192" s="8" t="s">
        <v>1585</v>
      </c>
      <c r="U192" s="8" t="s">
        <v>1586</v>
      </c>
      <c r="V192">
        <v>48500</v>
      </c>
      <c r="W192">
        <v>41200</v>
      </c>
      <c r="X192">
        <v>50925</v>
      </c>
      <c r="Y192">
        <v>9725</v>
      </c>
    </row>
    <row r="193" spans="1:25" x14ac:dyDescent="0.3">
      <c r="A193" s="8" t="s">
        <v>413</v>
      </c>
      <c r="B193" s="14">
        <v>46166</v>
      </c>
      <c r="C193" s="8" t="s">
        <v>414</v>
      </c>
      <c r="D193" s="8" t="s">
        <v>123</v>
      </c>
      <c r="E193" s="8" t="s">
        <v>135</v>
      </c>
      <c r="F193">
        <v>1</v>
      </c>
      <c r="G193">
        <v>16800</v>
      </c>
      <c r="H193">
        <v>0.15</v>
      </c>
      <c r="I193" s="8" t="s">
        <v>17</v>
      </c>
      <c r="J193" s="8" t="s">
        <v>31</v>
      </c>
      <c r="K193" s="8" t="s">
        <v>25</v>
      </c>
      <c r="L193">
        <v>14280</v>
      </c>
      <c r="M193" s="8" t="s">
        <v>52</v>
      </c>
      <c r="N193">
        <v>14280</v>
      </c>
      <c r="O193" s="8" t="s">
        <v>1701</v>
      </c>
      <c r="P193" s="8" t="s">
        <v>1558</v>
      </c>
      <c r="Q193" s="8" t="s">
        <v>1559</v>
      </c>
      <c r="R193" s="8" t="s">
        <v>138</v>
      </c>
      <c r="S193" s="8" t="s">
        <v>1542</v>
      </c>
      <c r="T193" s="8" t="s">
        <v>1576</v>
      </c>
      <c r="U193" s="8" t="s">
        <v>1575</v>
      </c>
      <c r="V193">
        <v>16800</v>
      </c>
      <c r="W193">
        <v>12600</v>
      </c>
      <c r="X193">
        <v>14280</v>
      </c>
      <c r="Y193">
        <v>1680</v>
      </c>
    </row>
    <row r="194" spans="1:25" x14ac:dyDescent="0.3">
      <c r="A194" s="8" t="s">
        <v>415</v>
      </c>
      <c r="B194" s="14">
        <v>46186</v>
      </c>
      <c r="C194" s="8" t="s">
        <v>363</v>
      </c>
      <c r="D194" s="8" t="s">
        <v>23</v>
      </c>
      <c r="E194" s="8" t="s">
        <v>16</v>
      </c>
      <c r="F194">
        <v>1</v>
      </c>
      <c r="G194">
        <v>617.5</v>
      </c>
      <c r="H194">
        <v>0.05</v>
      </c>
      <c r="I194" s="8" t="s">
        <v>17</v>
      </c>
      <c r="J194" s="8" t="s">
        <v>31</v>
      </c>
      <c r="K194" s="8" t="s">
        <v>25</v>
      </c>
      <c r="L194">
        <v>586.62</v>
      </c>
      <c r="M194" s="8" t="s">
        <v>59</v>
      </c>
      <c r="N194">
        <v>586.625</v>
      </c>
      <c r="O194" s="8" t="s">
        <v>1701</v>
      </c>
      <c r="P194" s="8" t="s">
        <v>1545</v>
      </c>
      <c r="Q194" s="8" t="s">
        <v>1541</v>
      </c>
      <c r="R194" s="8" t="s">
        <v>1546</v>
      </c>
      <c r="S194" s="8" t="s">
        <v>1542</v>
      </c>
      <c r="T194" s="8" t="s">
        <v>1570</v>
      </c>
      <c r="U194" s="8" t="s">
        <v>1571</v>
      </c>
      <c r="V194">
        <v>650</v>
      </c>
      <c r="W194">
        <v>390</v>
      </c>
      <c r="X194">
        <v>586.625</v>
      </c>
      <c r="Y194">
        <v>196.625</v>
      </c>
    </row>
    <row r="195" spans="1:25" x14ac:dyDescent="0.3">
      <c r="A195" s="8" t="s">
        <v>416</v>
      </c>
      <c r="B195" s="14">
        <v>46127</v>
      </c>
      <c r="C195" s="8" t="s">
        <v>315</v>
      </c>
      <c r="D195" s="8" t="s">
        <v>95</v>
      </c>
      <c r="E195" s="8" t="s">
        <v>46</v>
      </c>
      <c r="F195">
        <v>2</v>
      </c>
      <c r="G195">
        <v>7800</v>
      </c>
      <c r="H195">
        <v>0</v>
      </c>
      <c r="I195" s="8" t="s">
        <v>17</v>
      </c>
      <c r="J195" s="8" t="s">
        <v>47</v>
      </c>
      <c r="K195" s="8" t="s">
        <v>1698</v>
      </c>
      <c r="L195">
        <v>15600</v>
      </c>
      <c r="M195" s="8" t="s">
        <v>42</v>
      </c>
      <c r="N195">
        <v>15600</v>
      </c>
      <c r="O195" s="8" t="s">
        <v>1701</v>
      </c>
      <c r="P195" s="8" t="s">
        <v>1556</v>
      </c>
      <c r="Q195" s="8" t="s">
        <v>1554</v>
      </c>
      <c r="R195" s="8" t="s">
        <v>1557</v>
      </c>
      <c r="S195" s="8" t="s">
        <v>1542</v>
      </c>
      <c r="T195" s="8" t="s">
        <v>1579</v>
      </c>
      <c r="U195" s="8" t="s">
        <v>1580</v>
      </c>
      <c r="V195">
        <v>7800</v>
      </c>
      <c r="W195">
        <v>5200</v>
      </c>
      <c r="X195">
        <v>15600</v>
      </c>
      <c r="Y195">
        <v>5200</v>
      </c>
    </row>
    <row r="196" spans="1:25" x14ac:dyDescent="0.3">
      <c r="A196" s="8" t="s">
        <v>417</v>
      </c>
      <c r="B196" s="14">
        <v>46189</v>
      </c>
      <c r="C196" s="8" t="s">
        <v>298</v>
      </c>
      <c r="D196" s="8" t="s">
        <v>40</v>
      </c>
      <c r="E196" s="8" t="s">
        <v>24</v>
      </c>
      <c r="F196">
        <v>2</v>
      </c>
      <c r="G196">
        <v>10640</v>
      </c>
      <c r="H196">
        <v>0.2</v>
      </c>
      <c r="I196" s="8" t="s">
        <v>66</v>
      </c>
      <c r="J196" s="8" t="s">
        <v>18</v>
      </c>
      <c r="K196" s="8" t="s">
        <v>41</v>
      </c>
      <c r="L196">
        <v>17024</v>
      </c>
      <c r="M196" s="8" t="s">
        <v>20</v>
      </c>
      <c r="N196">
        <v>17024</v>
      </c>
      <c r="O196" s="8" t="s">
        <v>1701</v>
      </c>
      <c r="P196" s="8" t="s">
        <v>1555</v>
      </c>
      <c r="Q196" s="8" t="s">
        <v>1554</v>
      </c>
      <c r="R196" s="8" t="s">
        <v>82</v>
      </c>
      <c r="S196" s="8" t="s">
        <v>1542</v>
      </c>
      <c r="T196" s="8" t="s">
        <v>1574</v>
      </c>
      <c r="U196" s="8" t="s">
        <v>1575</v>
      </c>
      <c r="V196">
        <v>11200</v>
      </c>
      <c r="W196">
        <v>8300</v>
      </c>
      <c r="X196">
        <v>0</v>
      </c>
      <c r="Y196">
        <v>-16600</v>
      </c>
    </row>
    <row r="197" spans="1:25" x14ac:dyDescent="0.3">
      <c r="A197" s="8" t="s">
        <v>418</v>
      </c>
      <c r="B197" s="14">
        <v>46124</v>
      </c>
      <c r="C197" s="8" t="s">
        <v>419</v>
      </c>
      <c r="D197" s="8" t="s">
        <v>29</v>
      </c>
      <c r="E197" s="8" t="s">
        <v>46</v>
      </c>
      <c r="F197">
        <v>1</v>
      </c>
      <c r="G197">
        <v>7800</v>
      </c>
      <c r="H197">
        <v>0.2</v>
      </c>
      <c r="I197" s="8" t="s">
        <v>116</v>
      </c>
      <c r="J197" s="8" t="s">
        <v>31</v>
      </c>
      <c r="K197" s="8" t="s">
        <v>67</v>
      </c>
      <c r="L197">
        <v>6240</v>
      </c>
      <c r="M197" s="8" t="s">
        <v>48</v>
      </c>
      <c r="N197">
        <v>6240</v>
      </c>
      <c r="O197" s="8" t="s">
        <v>1701</v>
      </c>
      <c r="P197" s="8" t="s">
        <v>1560</v>
      </c>
      <c r="Q197" s="8" t="s">
        <v>1559</v>
      </c>
      <c r="R197" s="8" t="s">
        <v>1561</v>
      </c>
      <c r="S197" s="8" t="s">
        <v>1542</v>
      </c>
      <c r="T197" s="8" t="s">
        <v>1579</v>
      </c>
      <c r="U197" s="8" t="s">
        <v>1580</v>
      </c>
      <c r="V197">
        <v>7800</v>
      </c>
      <c r="W197">
        <v>5200</v>
      </c>
      <c r="X197">
        <v>0</v>
      </c>
      <c r="Y197">
        <v>-5200</v>
      </c>
    </row>
    <row r="198" spans="1:25" x14ac:dyDescent="0.3">
      <c r="A198" s="8" t="s">
        <v>420</v>
      </c>
      <c r="B198" s="14">
        <v>46177</v>
      </c>
      <c r="C198" s="8" t="s">
        <v>421</v>
      </c>
      <c r="D198" s="8" t="s">
        <v>15</v>
      </c>
      <c r="E198" s="8" t="s">
        <v>36</v>
      </c>
      <c r="F198">
        <v>1</v>
      </c>
      <c r="G198">
        <v>1470</v>
      </c>
      <c r="H198">
        <v>0.2</v>
      </c>
      <c r="I198" s="8" t="s">
        <v>17</v>
      </c>
      <c r="J198" s="8" t="s">
        <v>18</v>
      </c>
      <c r="K198" s="8" t="s">
        <v>67</v>
      </c>
      <c r="L198">
        <v>1176</v>
      </c>
      <c r="M198" s="8" t="s">
        <v>52</v>
      </c>
      <c r="N198">
        <v>1176</v>
      </c>
      <c r="O198" s="8" t="s">
        <v>1701</v>
      </c>
      <c r="P198" s="8" t="s">
        <v>1543</v>
      </c>
      <c r="Q198" s="8" t="s">
        <v>1541</v>
      </c>
      <c r="R198" s="8" t="s">
        <v>52</v>
      </c>
      <c r="S198" s="8" t="s">
        <v>1542</v>
      </c>
      <c r="T198" s="8" t="s">
        <v>1577</v>
      </c>
      <c r="U198" s="8" t="s">
        <v>1571</v>
      </c>
      <c r="V198">
        <v>1400</v>
      </c>
      <c r="W198">
        <v>780</v>
      </c>
      <c r="X198">
        <v>1176</v>
      </c>
      <c r="Y198">
        <v>396</v>
      </c>
    </row>
    <row r="199" spans="1:25" x14ac:dyDescent="0.3">
      <c r="A199" s="8" t="s">
        <v>422</v>
      </c>
      <c r="B199" s="14">
        <v>46051</v>
      </c>
      <c r="C199" s="8" t="s">
        <v>234</v>
      </c>
      <c r="D199" s="8" t="s">
        <v>35</v>
      </c>
      <c r="E199" s="8" t="s">
        <v>30</v>
      </c>
      <c r="F199">
        <v>4</v>
      </c>
      <c r="G199">
        <v>1800</v>
      </c>
      <c r="H199">
        <v>0.2</v>
      </c>
      <c r="I199" s="8" t="s">
        <v>17</v>
      </c>
      <c r="J199" s="8" t="s">
        <v>47</v>
      </c>
      <c r="K199" s="8" t="s">
        <v>67</v>
      </c>
      <c r="L199">
        <v>5760</v>
      </c>
      <c r="M199" s="8" t="s">
        <v>48</v>
      </c>
      <c r="N199">
        <v>5760</v>
      </c>
      <c r="O199" s="8" t="s">
        <v>1701</v>
      </c>
      <c r="P199" s="8" t="s">
        <v>1548</v>
      </c>
      <c r="Q199" s="8" t="s">
        <v>1549</v>
      </c>
      <c r="R199" s="8" t="s">
        <v>42</v>
      </c>
      <c r="S199" s="8" t="s">
        <v>1542</v>
      </c>
      <c r="T199" s="8" t="s">
        <v>1573</v>
      </c>
      <c r="U199" s="8" t="s">
        <v>1571</v>
      </c>
      <c r="V199">
        <v>1800</v>
      </c>
      <c r="W199">
        <v>1120</v>
      </c>
      <c r="X199">
        <v>5760</v>
      </c>
      <c r="Y199">
        <v>1280</v>
      </c>
    </row>
    <row r="200" spans="1:25" x14ac:dyDescent="0.3">
      <c r="A200" s="8" t="s">
        <v>423</v>
      </c>
      <c r="B200" s="14">
        <v>46195</v>
      </c>
      <c r="C200" s="8" t="s">
        <v>396</v>
      </c>
      <c r="D200" s="8" t="s">
        <v>29</v>
      </c>
      <c r="E200" s="8" t="s">
        <v>24</v>
      </c>
      <c r="F200">
        <v>1</v>
      </c>
      <c r="G200">
        <v>11760</v>
      </c>
      <c r="H200">
        <v>0.2</v>
      </c>
      <c r="I200" s="8" t="s">
        <v>66</v>
      </c>
      <c r="J200" s="8" t="s">
        <v>31</v>
      </c>
      <c r="K200" s="8" t="s">
        <v>55</v>
      </c>
      <c r="L200">
        <v>9408</v>
      </c>
      <c r="M200" s="8" t="s">
        <v>42</v>
      </c>
      <c r="N200">
        <v>9408</v>
      </c>
      <c r="O200" s="8" t="s">
        <v>1701</v>
      </c>
      <c r="P200" s="8" t="s">
        <v>1560</v>
      </c>
      <c r="Q200" s="8" t="s">
        <v>1559</v>
      </c>
      <c r="R200" s="8" t="s">
        <v>1561</v>
      </c>
      <c r="S200" s="8" t="s">
        <v>1542</v>
      </c>
      <c r="T200" s="8" t="s">
        <v>1574</v>
      </c>
      <c r="U200" s="8" t="s">
        <v>1575</v>
      </c>
      <c r="V200">
        <v>11200</v>
      </c>
      <c r="W200">
        <v>8300</v>
      </c>
      <c r="X200">
        <v>0</v>
      </c>
      <c r="Y200">
        <v>-8300</v>
      </c>
    </row>
    <row r="201" spans="1:25" x14ac:dyDescent="0.3">
      <c r="A201" s="8" t="s">
        <v>424</v>
      </c>
      <c r="B201" s="14">
        <v>46070</v>
      </c>
      <c r="C201" s="8" t="s">
        <v>264</v>
      </c>
      <c r="D201" s="8" t="s">
        <v>50</v>
      </c>
      <c r="E201" s="8" t="s">
        <v>46</v>
      </c>
      <c r="F201">
        <v>2</v>
      </c>
      <c r="G201">
        <v>8190</v>
      </c>
      <c r="H201">
        <v>0</v>
      </c>
      <c r="I201" s="8" t="s">
        <v>17</v>
      </c>
      <c r="J201" s="8" t="s">
        <v>18</v>
      </c>
      <c r="K201" s="8" t="s">
        <v>67</v>
      </c>
      <c r="L201">
        <v>16380</v>
      </c>
      <c r="M201" s="8" t="s">
        <v>138</v>
      </c>
      <c r="N201">
        <v>16380</v>
      </c>
      <c r="O201" s="8" t="s">
        <v>1701</v>
      </c>
      <c r="P201" s="8" t="s">
        <v>1544</v>
      </c>
      <c r="Q201" s="8" t="s">
        <v>1541</v>
      </c>
      <c r="R201" s="8" t="s">
        <v>26</v>
      </c>
      <c r="S201" s="8" t="s">
        <v>1542</v>
      </c>
      <c r="T201" s="8" t="s">
        <v>1579</v>
      </c>
      <c r="U201" s="8" t="s">
        <v>1580</v>
      </c>
      <c r="V201">
        <v>7800</v>
      </c>
      <c r="W201">
        <v>5200</v>
      </c>
      <c r="X201">
        <v>16380</v>
      </c>
      <c r="Y201">
        <v>5980</v>
      </c>
    </row>
    <row r="202" spans="1:25" x14ac:dyDescent="0.3">
      <c r="A202" s="8" t="s">
        <v>425</v>
      </c>
      <c r="B202" s="14">
        <v>46100</v>
      </c>
      <c r="C202" s="8" t="s">
        <v>426</v>
      </c>
      <c r="D202" s="8" t="s">
        <v>40</v>
      </c>
      <c r="E202" s="8" t="s">
        <v>85</v>
      </c>
      <c r="F202">
        <v>3</v>
      </c>
      <c r="G202">
        <v>48500</v>
      </c>
      <c r="H202">
        <v>0.05</v>
      </c>
      <c r="I202" s="8" t="s">
        <v>17</v>
      </c>
      <c r="J202" s="8" t="s">
        <v>31</v>
      </c>
      <c r="K202" s="8" t="s">
        <v>55</v>
      </c>
      <c r="L202">
        <v>138225</v>
      </c>
      <c r="M202" s="8" t="s">
        <v>26</v>
      </c>
      <c r="N202">
        <v>138225</v>
      </c>
      <c r="O202" s="8" t="s">
        <v>1701</v>
      </c>
      <c r="P202" s="8" t="s">
        <v>1555</v>
      </c>
      <c r="Q202" s="8" t="s">
        <v>1554</v>
      </c>
      <c r="R202" s="8" t="s">
        <v>82</v>
      </c>
      <c r="S202" s="8" t="s">
        <v>1542</v>
      </c>
      <c r="T202" s="8" t="s">
        <v>1585</v>
      </c>
      <c r="U202" s="8" t="s">
        <v>1586</v>
      </c>
      <c r="V202">
        <v>48500</v>
      </c>
      <c r="W202">
        <v>41200</v>
      </c>
      <c r="X202">
        <v>138225</v>
      </c>
      <c r="Y202">
        <v>14625</v>
      </c>
    </row>
    <row r="203" spans="1:25" x14ac:dyDescent="0.3">
      <c r="A203" s="8" t="s">
        <v>427</v>
      </c>
      <c r="B203" s="14">
        <v>46063</v>
      </c>
      <c r="C203" s="8" t="s">
        <v>246</v>
      </c>
      <c r="D203" s="8" t="s">
        <v>70</v>
      </c>
      <c r="E203" s="8" t="s">
        <v>74</v>
      </c>
      <c r="F203">
        <v>2</v>
      </c>
      <c r="G203">
        <v>2280</v>
      </c>
      <c r="H203">
        <v>0.2</v>
      </c>
      <c r="I203" s="8" t="s">
        <v>17</v>
      </c>
      <c r="J203" s="8" t="s">
        <v>47</v>
      </c>
      <c r="K203" s="8" t="s">
        <v>25</v>
      </c>
      <c r="L203">
        <v>3648</v>
      </c>
      <c r="M203" s="8" t="s">
        <v>52</v>
      </c>
      <c r="N203">
        <v>3648</v>
      </c>
      <c r="O203" s="8" t="s">
        <v>1701</v>
      </c>
      <c r="P203" s="8" t="s">
        <v>1550</v>
      </c>
      <c r="Q203" s="8" t="s">
        <v>1549</v>
      </c>
      <c r="R203" s="8" t="s">
        <v>32</v>
      </c>
      <c r="S203" s="8" t="s">
        <v>1542</v>
      </c>
      <c r="T203" s="8" t="s">
        <v>1584</v>
      </c>
      <c r="U203" s="8" t="s">
        <v>1583</v>
      </c>
      <c r="V203">
        <v>2400</v>
      </c>
      <c r="W203">
        <v>1480</v>
      </c>
      <c r="X203">
        <v>3648</v>
      </c>
      <c r="Y203">
        <v>688</v>
      </c>
    </row>
    <row r="204" spans="1:25" x14ac:dyDescent="0.3">
      <c r="A204" s="8" t="s">
        <v>428</v>
      </c>
      <c r="B204" s="14">
        <v>46079</v>
      </c>
      <c r="C204" s="8" t="s">
        <v>252</v>
      </c>
      <c r="D204" s="8" t="s">
        <v>50</v>
      </c>
      <c r="E204" s="8" t="s">
        <v>46</v>
      </c>
      <c r="F204">
        <v>1</v>
      </c>
      <c r="G204">
        <v>7800</v>
      </c>
      <c r="H204">
        <v>0.2</v>
      </c>
      <c r="I204" s="8" t="s">
        <v>116</v>
      </c>
      <c r="J204" s="8" t="s">
        <v>18</v>
      </c>
      <c r="K204" s="8" t="s">
        <v>25</v>
      </c>
      <c r="L204">
        <v>6240</v>
      </c>
      <c r="M204" s="8" t="s">
        <v>52</v>
      </c>
      <c r="N204">
        <v>6240</v>
      </c>
      <c r="O204" s="8" t="s">
        <v>1701</v>
      </c>
      <c r="P204" s="8" t="s">
        <v>1544</v>
      </c>
      <c r="Q204" s="8" t="s">
        <v>1541</v>
      </c>
      <c r="R204" s="8" t="s">
        <v>26</v>
      </c>
      <c r="S204" s="8" t="s">
        <v>1542</v>
      </c>
      <c r="T204" s="8" t="s">
        <v>1579</v>
      </c>
      <c r="U204" s="8" t="s">
        <v>1580</v>
      </c>
      <c r="V204">
        <v>7800</v>
      </c>
      <c r="W204">
        <v>5200</v>
      </c>
      <c r="X204">
        <v>0</v>
      </c>
      <c r="Y204">
        <v>-5200</v>
      </c>
    </row>
    <row r="205" spans="1:25" x14ac:dyDescent="0.3">
      <c r="A205" s="8" t="s">
        <v>429</v>
      </c>
      <c r="B205" s="14">
        <v>46086</v>
      </c>
      <c r="C205" s="8" t="s">
        <v>430</v>
      </c>
      <c r="D205" s="8" t="s">
        <v>95</v>
      </c>
      <c r="E205" s="8" t="s">
        <v>183</v>
      </c>
      <c r="F205">
        <v>5</v>
      </c>
      <c r="G205">
        <v>3200</v>
      </c>
      <c r="H205">
        <v>0</v>
      </c>
      <c r="I205" s="8" t="s">
        <v>17</v>
      </c>
      <c r="J205" s="8" t="s">
        <v>31</v>
      </c>
      <c r="K205" s="8" t="s">
        <v>1698</v>
      </c>
      <c r="L205">
        <v>16000</v>
      </c>
      <c r="M205" s="8" t="s">
        <v>82</v>
      </c>
      <c r="N205">
        <v>16000</v>
      </c>
      <c r="O205" s="8" t="s">
        <v>1701</v>
      </c>
      <c r="P205" s="8" t="s">
        <v>1556</v>
      </c>
      <c r="Q205" s="8" t="s">
        <v>1554</v>
      </c>
      <c r="R205" s="8" t="s">
        <v>1557</v>
      </c>
      <c r="S205" s="8" t="s">
        <v>1542</v>
      </c>
      <c r="T205" s="8" t="s">
        <v>1582</v>
      </c>
      <c r="U205" s="8" t="s">
        <v>1583</v>
      </c>
      <c r="V205">
        <v>3200</v>
      </c>
      <c r="W205">
        <v>2050</v>
      </c>
      <c r="X205">
        <v>16000</v>
      </c>
      <c r="Y205">
        <v>5750</v>
      </c>
    </row>
    <row r="206" spans="1:25" x14ac:dyDescent="0.3">
      <c r="A206" s="8" t="s">
        <v>431</v>
      </c>
      <c r="B206" s="14">
        <v>46152</v>
      </c>
      <c r="C206" s="8" t="s">
        <v>217</v>
      </c>
      <c r="D206" s="8" t="s">
        <v>23</v>
      </c>
      <c r="E206" s="8" t="s">
        <v>183</v>
      </c>
      <c r="F206">
        <v>2</v>
      </c>
      <c r="G206">
        <v>3360</v>
      </c>
      <c r="H206">
        <v>0</v>
      </c>
      <c r="I206" s="8" t="s">
        <v>17</v>
      </c>
      <c r="J206" s="8" t="s">
        <v>71</v>
      </c>
      <c r="K206" s="8" t="s">
        <v>25</v>
      </c>
      <c r="L206">
        <v>6720</v>
      </c>
      <c r="M206" s="8" t="s">
        <v>1702</v>
      </c>
      <c r="N206">
        <v>6720</v>
      </c>
      <c r="O206" s="8" t="s">
        <v>1701</v>
      </c>
      <c r="P206" s="8" t="s">
        <v>1545</v>
      </c>
      <c r="Q206" s="8" t="s">
        <v>1541</v>
      </c>
      <c r="R206" s="8" t="s">
        <v>1546</v>
      </c>
      <c r="S206" s="8" t="s">
        <v>1542</v>
      </c>
      <c r="T206" s="8" t="s">
        <v>1582</v>
      </c>
      <c r="U206" s="8" t="s">
        <v>1583</v>
      </c>
      <c r="V206">
        <v>3200</v>
      </c>
      <c r="W206">
        <v>2050</v>
      </c>
      <c r="X206">
        <v>6720</v>
      </c>
      <c r="Y206">
        <v>2620</v>
      </c>
    </row>
    <row r="207" spans="1:25" x14ac:dyDescent="0.3">
      <c r="A207" s="8" t="s">
        <v>432</v>
      </c>
      <c r="B207" s="14">
        <v>46046</v>
      </c>
      <c r="C207" s="8" t="s">
        <v>148</v>
      </c>
      <c r="D207" s="8" t="s">
        <v>77</v>
      </c>
      <c r="E207" s="8" t="s">
        <v>51</v>
      </c>
      <c r="F207">
        <v>2</v>
      </c>
      <c r="G207">
        <v>19425</v>
      </c>
      <c r="H207">
        <v>0</v>
      </c>
      <c r="I207" s="8" t="s">
        <v>17</v>
      </c>
      <c r="J207" s="8" t="s">
        <v>31</v>
      </c>
      <c r="K207" s="8" t="s">
        <v>25</v>
      </c>
      <c r="L207">
        <v>38850</v>
      </c>
      <c r="M207" s="8" t="s">
        <v>56</v>
      </c>
      <c r="N207">
        <v>38850</v>
      </c>
      <c r="O207" s="8" t="s">
        <v>1701</v>
      </c>
      <c r="P207" s="8" t="s">
        <v>1564</v>
      </c>
      <c r="Q207" s="8" t="s">
        <v>1563</v>
      </c>
      <c r="R207" s="8" t="s">
        <v>1565</v>
      </c>
      <c r="S207" s="8" t="s">
        <v>1542</v>
      </c>
      <c r="T207" s="8" t="s">
        <v>1581</v>
      </c>
      <c r="U207" s="8" t="s">
        <v>1580</v>
      </c>
      <c r="V207">
        <v>18500</v>
      </c>
      <c r="W207">
        <v>13900</v>
      </c>
      <c r="X207">
        <v>38850</v>
      </c>
      <c r="Y207">
        <v>11050</v>
      </c>
    </row>
    <row r="208" spans="1:25" x14ac:dyDescent="0.3">
      <c r="A208" s="8" t="s">
        <v>433</v>
      </c>
      <c r="B208" s="14">
        <v>46195</v>
      </c>
      <c r="C208" s="8" t="s">
        <v>434</v>
      </c>
      <c r="D208" s="8" t="s">
        <v>29</v>
      </c>
      <c r="E208" s="8" t="s">
        <v>135</v>
      </c>
      <c r="F208">
        <v>3</v>
      </c>
      <c r="G208">
        <v>15960</v>
      </c>
      <c r="H208">
        <v>0.1</v>
      </c>
      <c r="I208" s="8" t="s">
        <v>17</v>
      </c>
      <c r="J208" s="8" t="s">
        <v>31</v>
      </c>
      <c r="K208" s="8" t="s">
        <v>1698</v>
      </c>
      <c r="L208">
        <v>43092</v>
      </c>
      <c r="M208" s="8" t="s">
        <v>32</v>
      </c>
      <c r="N208">
        <v>43092</v>
      </c>
      <c r="O208" s="8" t="s">
        <v>1701</v>
      </c>
      <c r="P208" s="8" t="s">
        <v>1560</v>
      </c>
      <c r="Q208" s="8" t="s">
        <v>1559</v>
      </c>
      <c r="R208" s="8" t="s">
        <v>1561</v>
      </c>
      <c r="S208" s="8" t="s">
        <v>1542</v>
      </c>
      <c r="T208" s="8" t="s">
        <v>1576</v>
      </c>
      <c r="U208" s="8" t="s">
        <v>1575</v>
      </c>
      <c r="V208">
        <v>16800</v>
      </c>
      <c r="W208">
        <v>12600</v>
      </c>
      <c r="X208">
        <v>43092</v>
      </c>
      <c r="Y208">
        <v>5292</v>
      </c>
    </row>
    <row r="209" spans="1:25" x14ac:dyDescent="0.3">
      <c r="A209" s="8" t="s">
        <v>435</v>
      </c>
      <c r="B209" s="14">
        <v>46111</v>
      </c>
      <c r="C209" s="8" t="s">
        <v>436</v>
      </c>
      <c r="D209" s="8" t="s">
        <v>123</v>
      </c>
      <c r="E209" s="8" t="s">
        <v>63</v>
      </c>
      <c r="F209">
        <v>2</v>
      </c>
      <c r="G209">
        <v>2090</v>
      </c>
      <c r="H209">
        <v>0</v>
      </c>
      <c r="I209" s="8" t="s">
        <v>80</v>
      </c>
      <c r="J209" s="8" t="s">
        <v>31</v>
      </c>
      <c r="K209" s="8" t="s">
        <v>67</v>
      </c>
      <c r="L209">
        <v>4180</v>
      </c>
      <c r="M209" s="8" t="s">
        <v>32</v>
      </c>
      <c r="N209">
        <v>4180</v>
      </c>
      <c r="O209" s="8" t="s">
        <v>1701</v>
      </c>
      <c r="P209" s="8" t="s">
        <v>1558</v>
      </c>
      <c r="Q209" s="8" t="s">
        <v>1559</v>
      </c>
      <c r="R209" s="8" t="s">
        <v>138</v>
      </c>
      <c r="S209" s="8" t="s">
        <v>1542</v>
      </c>
      <c r="T209" s="8" t="s">
        <v>1572</v>
      </c>
      <c r="U209" s="8" t="s">
        <v>1571</v>
      </c>
      <c r="V209">
        <v>2200</v>
      </c>
      <c r="W209">
        <v>1450</v>
      </c>
      <c r="X209">
        <v>0</v>
      </c>
      <c r="Y209">
        <v>-2900</v>
      </c>
    </row>
    <row r="210" spans="1:25" x14ac:dyDescent="0.3">
      <c r="A210" s="8" t="s">
        <v>437</v>
      </c>
      <c r="B210" s="14">
        <v>46069</v>
      </c>
      <c r="C210" s="8" t="s">
        <v>438</v>
      </c>
      <c r="D210" s="8" t="s">
        <v>29</v>
      </c>
      <c r="E210" s="8" t="s">
        <v>30</v>
      </c>
      <c r="F210">
        <v>4</v>
      </c>
      <c r="G210">
        <v>1890</v>
      </c>
      <c r="H210">
        <v>0.2</v>
      </c>
      <c r="I210" s="8" t="s">
        <v>17</v>
      </c>
      <c r="J210" s="8" t="s">
        <v>18</v>
      </c>
      <c r="K210" s="8" t="s">
        <v>55</v>
      </c>
      <c r="L210">
        <v>6048</v>
      </c>
      <c r="M210" s="8" t="s">
        <v>32</v>
      </c>
      <c r="N210">
        <v>6048</v>
      </c>
      <c r="O210" s="8" t="s">
        <v>1701</v>
      </c>
      <c r="P210" s="8" t="s">
        <v>1560</v>
      </c>
      <c r="Q210" s="8" t="s">
        <v>1559</v>
      </c>
      <c r="R210" s="8" t="s">
        <v>1561</v>
      </c>
      <c r="S210" s="8" t="s">
        <v>1542</v>
      </c>
      <c r="T210" s="8" t="s">
        <v>1573</v>
      </c>
      <c r="U210" s="8" t="s">
        <v>1571</v>
      </c>
      <c r="V210">
        <v>1800</v>
      </c>
      <c r="W210">
        <v>1120</v>
      </c>
      <c r="X210">
        <v>6048</v>
      </c>
      <c r="Y210">
        <v>1568</v>
      </c>
    </row>
    <row r="211" spans="1:25" x14ac:dyDescent="0.3">
      <c r="A211" s="8" t="s">
        <v>439</v>
      </c>
      <c r="B211" s="14">
        <v>46119</v>
      </c>
      <c r="C211" s="8" t="s">
        <v>440</v>
      </c>
      <c r="D211" s="8" t="s">
        <v>15</v>
      </c>
      <c r="E211" s="8" t="s">
        <v>74</v>
      </c>
      <c r="F211">
        <v>8</v>
      </c>
      <c r="G211">
        <v>2400</v>
      </c>
      <c r="H211">
        <v>0.15</v>
      </c>
      <c r="I211" s="8" t="s">
        <v>17</v>
      </c>
      <c r="J211" s="8" t="s">
        <v>71</v>
      </c>
      <c r="K211" s="8" t="s">
        <v>25</v>
      </c>
      <c r="L211">
        <v>16320</v>
      </c>
      <c r="M211" s="8" t="s">
        <v>32</v>
      </c>
      <c r="N211">
        <v>16320</v>
      </c>
      <c r="O211" s="8" t="s">
        <v>1701</v>
      </c>
      <c r="P211" s="8" t="s">
        <v>1543</v>
      </c>
      <c r="Q211" s="8" t="s">
        <v>1541</v>
      </c>
      <c r="R211" s="8" t="s">
        <v>52</v>
      </c>
      <c r="S211" s="8" t="s">
        <v>1542</v>
      </c>
      <c r="T211" s="8" t="s">
        <v>1584</v>
      </c>
      <c r="U211" s="8" t="s">
        <v>1583</v>
      </c>
      <c r="V211">
        <v>2400</v>
      </c>
      <c r="W211">
        <v>1480</v>
      </c>
      <c r="X211">
        <v>16320</v>
      </c>
      <c r="Y211">
        <v>4480</v>
      </c>
    </row>
    <row r="212" spans="1:25" x14ac:dyDescent="0.3">
      <c r="A212" s="8" t="s">
        <v>441</v>
      </c>
      <c r="B212" s="14">
        <v>46158</v>
      </c>
      <c r="C212" s="8" t="s">
        <v>442</v>
      </c>
      <c r="D212" s="8" t="s">
        <v>50</v>
      </c>
      <c r="E212" s="8" t="s">
        <v>85</v>
      </c>
      <c r="F212">
        <v>10</v>
      </c>
      <c r="G212">
        <v>48500</v>
      </c>
      <c r="H212">
        <v>0</v>
      </c>
      <c r="I212" s="8" t="s">
        <v>17</v>
      </c>
      <c r="J212" s="8" t="s">
        <v>18</v>
      </c>
      <c r="K212" s="8" t="s">
        <v>25</v>
      </c>
      <c r="L212">
        <v>485000</v>
      </c>
      <c r="M212" s="8" t="s">
        <v>32</v>
      </c>
      <c r="N212">
        <v>485000</v>
      </c>
      <c r="O212" s="8" t="s">
        <v>1701</v>
      </c>
      <c r="P212" s="8" t="s">
        <v>1544</v>
      </c>
      <c r="Q212" s="8" t="s">
        <v>1541</v>
      </c>
      <c r="R212" s="8" t="s">
        <v>26</v>
      </c>
      <c r="S212" s="8" t="s">
        <v>1542</v>
      </c>
      <c r="T212" s="8" t="s">
        <v>1585</v>
      </c>
      <c r="U212" s="8" t="s">
        <v>1586</v>
      </c>
      <c r="V212">
        <v>48500</v>
      </c>
      <c r="W212">
        <v>41200</v>
      </c>
      <c r="X212">
        <v>485000</v>
      </c>
      <c r="Y212">
        <v>73000</v>
      </c>
    </row>
    <row r="213" spans="1:25" x14ac:dyDescent="0.3">
      <c r="A213" s="8" t="s">
        <v>443</v>
      </c>
      <c r="B213" s="14">
        <v>46081</v>
      </c>
      <c r="C213" s="8" t="s">
        <v>444</v>
      </c>
      <c r="D213" s="8" t="s">
        <v>23</v>
      </c>
      <c r="E213" s="8" t="s">
        <v>46</v>
      </c>
      <c r="F213">
        <v>2</v>
      </c>
      <c r="G213">
        <v>7410</v>
      </c>
      <c r="H213">
        <v>0.05</v>
      </c>
      <c r="I213" s="8" t="s">
        <v>17</v>
      </c>
      <c r="J213" s="8" t="s">
        <v>18</v>
      </c>
      <c r="K213" s="8" t="s">
        <v>25</v>
      </c>
      <c r="L213">
        <v>14079</v>
      </c>
      <c r="M213" s="8" t="s">
        <v>20</v>
      </c>
      <c r="N213">
        <v>14079</v>
      </c>
      <c r="O213" s="8" t="s">
        <v>1701</v>
      </c>
      <c r="P213" s="8" t="s">
        <v>1545</v>
      </c>
      <c r="Q213" s="8" t="s">
        <v>1541</v>
      </c>
      <c r="R213" s="8" t="s">
        <v>1546</v>
      </c>
      <c r="S213" s="8" t="s">
        <v>1542</v>
      </c>
      <c r="T213" s="8" t="s">
        <v>1579</v>
      </c>
      <c r="U213" s="8" t="s">
        <v>1580</v>
      </c>
      <c r="V213">
        <v>7800</v>
      </c>
      <c r="W213">
        <v>5200</v>
      </c>
      <c r="X213">
        <v>14079</v>
      </c>
      <c r="Y213">
        <v>3679</v>
      </c>
    </row>
    <row r="214" spans="1:25" x14ac:dyDescent="0.3">
      <c r="A214" s="8" t="s">
        <v>445</v>
      </c>
      <c r="B214" s="14">
        <v>46084</v>
      </c>
      <c r="C214" s="8" t="s">
        <v>446</v>
      </c>
      <c r="D214" s="8" t="s">
        <v>23</v>
      </c>
      <c r="E214" s="8" t="s">
        <v>63</v>
      </c>
      <c r="F214">
        <v>1</v>
      </c>
      <c r="G214">
        <v>2090</v>
      </c>
      <c r="H214">
        <v>0</v>
      </c>
      <c r="I214" s="8" t="s">
        <v>17</v>
      </c>
      <c r="J214" s="8" t="s">
        <v>31</v>
      </c>
      <c r="K214" s="8" t="s">
        <v>55</v>
      </c>
      <c r="L214">
        <v>2090</v>
      </c>
      <c r="M214" s="8" t="s">
        <v>56</v>
      </c>
      <c r="N214">
        <v>2090</v>
      </c>
      <c r="O214" s="8" t="s">
        <v>1701</v>
      </c>
      <c r="P214" s="8" t="s">
        <v>1545</v>
      </c>
      <c r="Q214" s="8" t="s">
        <v>1541</v>
      </c>
      <c r="R214" s="8" t="s">
        <v>1546</v>
      </c>
      <c r="S214" s="8" t="s">
        <v>1542</v>
      </c>
      <c r="T214" s="8" t="s">
        <v>1572</v>
      </c>
      <c r="U214" s="8" t="s">
        <v>1571</v>
      </c>
      <c r="V214">
        <v>2200</v>
      </c>
      <c r="W214">
        <v>1450</v>
      </c>
      <c r="X214">
        <v>2090</v>
      </c>
      <c r="Y214">
        <v>640</v>
      </c>
    </row>
    <row r="215" spans="1:25" x14ac:dyDescent="0.3">
      <c r="A215" s="8" t="s">
        <v>447</v>
      </c>
      <c r="B215" s="14">
        <v>46082</v>
      </c>
      <c r="C215" s="8" t="s">
        <v>448</v>
      </c>
      <c r="D215" s="8" t="s">
        <v>152</v>
      </c>
      <c r="E215" s="8" t="s">
        <v>24</v>
      </c>
      <c r="F215">
        <v>4</v>
      </c>
      <c r="G215">
        <v>11200</v>
      </c>
      <c r="H215">
        <v>0</v>
      </c>
      <c r="I215" s="8" t="s">
        <v>17</v>
      </c>
      <c r="J215" s="8" t="s">
        <v>47</v>
      </c>
      <c r="K215" s="8" t="s">
        <v>25</v>
      </c>
      <c r="L215">
        <v>44800</v>
      </c>
      <c r="M215" s="8" t="s">
        <v>48</v>
      </c>
      <c r="N215">
        <v>44800</v>
      </c>
      <c r="O215" s="8" t="s">
        <v>1701</v>
      </c>
      <c r="P215" s="8" t="s">
        <v>1553</v>
      </c>
      <c r="Q215" s="8" t="s">
        <v>1554</v>
      </c>
      <c r="R215" s="8" t="s">
        <v>59</v>
      </c>
      <c r="S215" s="8" t="s">
        <v>1542</v>
      </c>
      <c r="T215" s="8" t="s">
        <v>1574</v>
      </c>
      <c r="U215" s="8" t="s">
        <v>1575</v>
      </c>
      <c r="V215">
        <v>11200</v>
      </c>
      <c r="W215">
        <v>8300</v>
      </c>
      <c r="X215">
        <v>44800</v>
      </c>
      <c r="Y215">
        <v>11600</v>
      </c>
    </row>
    <row r="216" spans="1:25" x14ac:dyDescent="0.3">
      <c r="A216" s="8" t="s">
        <v>449</v>
      </c>
      <c r="B216" s="14">
        <v>46195</v>
      </c>
      <c r="C216" s="8" t="s">
        <v>450</v>
      </c>
      <c r="D216" s="8" t="s">
        <v>90</v>
      </c>
      <c r="E216" s="8" t="s">
        <v>36</v>
      </c>
      <c r="F216">
        <v>1</v>
      </c>
      <c r="G216">
        <v>1400</v>
      </c>
      <c r="H216">
        <v>0</v>
      </c>
      <c r="I216" s="8" t="s">
        <v>116</v>
      </c>
      <c r="J216" s="8" t="s">
        <v>71</v>
      </c>
      <c r="K216" s="8" t="s">
        <v>67</v>
      </c>
      <c r="L216">
        <v>1400</v>
      </c>
      <c r="M216" s="8" t="s">
        <v>20</v>
      </c>
      <c r="N216">
        <v>1400</v>
      </c>
      <c r="O216" s="8" t="s">
        <v>1701</v>
      </c>
      <c r="P216" s="8" t="s">
        <v>1562</v>
      </c>
      <c r="Q216" s="8" t="s">
        <v>1563</v>
      </c>
      <c r="R216" s="8" t="s">
        <v>48</v>
      </c>
      <c r="S216" s="8" t="s">
        <v>1542</v>
      </c>
      <c r="T216" s="8" t="s">
        <v>1577</v>
      </c>
      <c r="U216" s="8" t="s">
        <v>1571</v>
      </c>
      <c r="V216">
        <v>1400</v>
      </c>
      <c r="W216">
        <v>780</v>
      </c>
      <c r="X216">
        <v>0</v>
      </c>
      <c r="Y216">
        <v>-780</v>
      </c>
    </row>
    <row r="217" spans="1:25" x14ac:dyDescent="0.3">
      <c r="A217" s="8" t="s">
        <v>451</v>
      </c>
      <c r="B217" s="14">
        <v>46165</v>
      </c>
      <c r="C217" s="8" t="s">
        <v>452</v>
      </c>
      <c r="D217" s="8" t="s">
        <v>40</v>
      </c>
      <c r="E217" s="8" t="s">
        <v>85</v>
      </c>
      <c r="F217">
        <v>5</v>
      </c>
      <c r="G217">
        <v>50925</v>
      </c>
      <c r="H217">
        <v>0.2</v>
      </c>
      <c r="I217" s="8" t="s">
        <v>17</v>
      </c>
      <c r="J217" s="8" t="s">
        <v>47</v>
      </c>
      <c r="K217" s="8" t="s">
        <v>55</v>
      </c>
      <c r="L217">
        <v>203700</v>
      </c>
      <c r="M217" s="8" t="s">
        <v>82</v>
      </c>
      <c r="N217">
        <v>203700</v>
      </c>
      <c r="O217" s="8" t="s">
        <v>1701</v>
      </c>
      <c r="P217" s="8" t="s">
        <v>1555</v>
      </c>
      <c r="Q217" s="8" t="s">
        <v>1554</v>
      </c>
      <c r="R217" s="8" t="s">
        <v>82</v>
      </c>
      <c r="S217" s="8" t="s">
        <v>1542</v>
      </c>
      <c r="T217" s="8" t="s">
        <v>1585</v>
      </c>
      <c r="U217" s="8" t="s">
        <v>1586</v>
      </c>
      <c r="V217">
        <v>48500</v>
      </c>
      <c r="W217">
        <v>41200</v>
      </c>
      <c r="X217">
        <v>203700</v>
      </c>
      <c r="Y217">
        <v>-2300</v>
      </c>
    </row>
    <row r="218" spans="1:25" x14ac:dyDescent="0.3">
      <c r="A218" s="8" t="s">
        <v>453</v>
      </c>
      <c r="B218" s="14">
        <v>46104</v>
      </c>
      <c r="C218" s="8" t="s">
        <v>388</v>
      </c>
      <c r="D218" s="8" t="s">
        <v>123</v>
      </c>
      <c r="E218" s="8" t="s">
        <v>161</v>
      </c>
      <c r="F218">
        <v>2</v>
      </c>
      <c r="G218">
        <v>2730</v>
      </c>
      <c r="H218">
        <v>0.05</v>
      </c>
      <c r="I218" s="8" t="s">
        <v>17</v>
      </c>
      <c r="J218" s="8" t="s">
        <v>71</v>
      </c>
      <c r="K218" s="8" t="s">
        <v>67</v>
      </c>
      <c r="L218">
        <v>5187</v>
      </c>
      <c r="M218" s="8" t="s">
        <v>59</v>
      </c>
      <c r="N218">
        <v>5187</v>
      </c>
      <c r="O218" s="8" t="s">
        <v>1701</v>
      </c>
      <c r="P218" s="8" t="s">
        <v>1558</v>
      </c>
      <c r="Q218" s="8" t="s">
        <v>1559</v>
      </c>
      <c r="R218" s="8" t="s">
        <v>138</v>
      </c>
      <c r="S218" s="8" t="s">
        <v>1542</v>
      </c>
      <c r="T218" s="8" t="s">
        <v>1578</v>
      </c>
      <c r="U218" s="8" t="s">
        <v>1571</v>
      </c>
      <c r="V218">
        <v>2600</v>
      </c>
      <c r="W218">
        <v>1750</v>
      </c>
      <c r="X218">
        <v>5187</v>
      </c>
      <c r="Y218">
        <v>1687</v>
      </c>
    </row>
    <row r="219" spans="1:25" x14ac:dyDescent="0.3">
      <c r="A219" s="8" t="s">
        <v>454</v>
      </c>
      <c r="B219" s="14">
        <v>46141</v>
      </c>
      <c r="C219" s="8" t="s">
        <v>319</v>
      </c>
      <c r="D219" s="8" t="s">
        <v>77</v>
      </c>
      <c r="E219" s="8" t="s">
        <v>16</v>
      </c>
      <c r="F219">
        <v>3</v>
      </c>
      <c r="G219">
        <v>650</v>
      </c>
      <c r="H219">
        <v>0.1</v>
      </c>
      <c r="I219" s="8" t="s">
        <v>17</v>
      </c>
      <c r="J219" s="8" t="s">
        <v>71</v>
      </c>
      <c r="K219" s="8" t="s">
        <v>67</v>
      </c>
      <c r="L219">
        <v>1755</v>
      </c>
      <c r="M219" s="8" t="s">
        <v>52</v>
      </c>
      <c r="N219">
        <v>1755</v>
      </c>
      <c r="O219" s="8" t="s">
        <v>1701</v>
      </c>
      <c r="P219" s="8" t="s">
        <v>1564</v>
      </c>
      <c r="Q219" s="8" t="s">
        <v>1563</v>
      </c>
      <c r="R219" s="8" t="s">
        <v>1565</v>
      </c>
      <c r="S219" s="8" t="s">
        <v>1542</v>
      </c>
      <c r="T219" s="8" t="s">
        <v>1570</v>
      </c>
      <c r="U219" s="8" t="s">
        <v>1571</v>
      </c>
      <c r="V219">
        <v>650</v>
      </c>
      <c r="W219">
        <v>390</v>
      </c>
      <c r="X219">
        <v>1755</v>
      </c>
      <c r="Y219">
        <v>585</v>
      </c>
    </row>
    <row r="220" spans="1:25" x14ac:dyDescent="0.3">
      <c r="A220" s="8" t="s">
        <v>455</v>
      </c>
      <c r="B220" s="14">
        <v>46107</v>
      </c>
      <c r="C220" s="8" t="s">
        <v>285</v>
      </c>
      <c r="D220" s="8" t="s">
        <v>95</v>
      </c>
      <c r="E220" s="8" t="s">
        <v>63</v>
      </c>
      <c r="F220">
        <v>8</v>
      </c>
      <c r="G220">
        <v>2200</v>
      </c>
      <c r="H220">
        <v>0.05</v>
      </c>
      <c r="I220" s="8" t="s">
        <v>17</v>
      </c>
      <c r="J220" s="8" t="s">
        <v>47</v>
      </c>
      <c r="K220" s="8" t="s">
        <v>55</v>
      </c>
      <c r="L220">
        <v>16720</v>
      </c>
      <c r="M220" s="8" t="s">
        <v>48</v>
      </c>
      <c r="N220">
        <v>16720</v>
      </c>
      <c r="O220" s="8" t="s">
        <v>1701</v>
      </c>
      <c r="P220" s="8" t="s">
        <v>1556</v>
      </c>
      <c r="Q220" s="8" t="s">
        <v>1554</v>
      </c>
      <c r="R220" s="8" t="s">
        <v>1557</v>
      </c>
      <c r="S220" s="8" t="s">
        <v>1542</v>
      </c>
      <c r="T220" s="8" t="s">
        <v>1572</v>
      </c>
      <c r="U220" s="8" t="s">
        <v>1571</v>
      </c>
      <c r="V220">
        <v>2200</v>
      </c>
      <c r="W220">
        <v>1450</v>
      </c>
      <c r="X220">
        <v>16720</v>
      </c>
      <c r="Y220">
        <v>5120</v>
      </c>
    </row>
    <row r="221" spans="1:25" x14ac:dyDescent="0.3">
      <c r="A221" s="8" t="s">
        <v>456</v>
      </c>
      <c r="B221" s="14">
        <v>46177</v>
      </c>
      <c r="C221" s="8" t="s">
        <v>457</v>
      </c>
      <c r="D221" s="8" t="s">
        <v>168</v>
      </c>
      <c r="E221" s="8" t="s">
        <v>63</v>
      </c>
      <c r="F221">
        <v>1</v>
      </c>
      <c r="G221">
        <v>2200</v>
      </c>
      <c r="H221">
        <v>0.15</v>
      </c>
      <c r="I221" s="8" t="s">
        <v>17</v>
      </c>
      <c r="J221" s="8" t="s">
        <v>71</v>
      </c>
      <c r="K221" s="8" t="s">
        <v>67</v>
      </c>
      <c r="L221">
        <v>1870</v>
      </c>
      <c r="M221" s="8" t="s">
        <v>26</v>
      </c>
      <c r="N221">
        <v>1870</v>
      </c>
      <c r="O221" s="8" t="s">
        <v>1701</v>
      </c>
      <c r="P221" s="8" t="s">
        <v>1540</v>
      </c>
      <c r="Q221" s="8" t="s">
        <v>1541</v>
      </c>
      <c r="R221" s="8" t="s">
        <v>20</v>
      </c>
      <c r="S221" s="8" t="s">
        <v>1542</v>
      </c>
      <c r="T221" s="8" t="s">
        <v>1572</v>
      </c>
      <c r="U221" s="8" t="s">
        <v>1571</v>
      </c>
      <c r="V221">
        <v>2200</v>
      </c>
      <c r="W221">
        <v>1450</v>
      </c>
      <c r="X221">
        <v>1870</v>
      </c>
      <c r="Y221">
        <v>420</v>
      </c>
    </row>
    <row r="222" spans="1:25" x14ac:dyDescent="0.3">
      <c r="A222" s="8" t="s">
        <v>458</v>
      </c>
      <c r="B222" s="14">
        <v>46026</v>
      </c>
      <c r="C222" s="8" t="s">
        <v>414</v>
      </c>
      <c r="D222" s="8" t="s">
        <v>23</v>
      </c>
      <c r="E222" s="8" t="s">
        <v>24</v>
      </c>
      <c r="F222">
        <v>8</v>
      </c>
      <c r="G222">
        <v>11760</v>
      </c>
      <c r="H222">
        <v>0</v>
      </c>
      <c r="I222" s="8" t="s">
        <v>17</v>
      </c>
      <c r="J222" s="8" t="s">
        <v>71</v>
      </c>
      <c r="K222" s="8" t="s">
        <v>55</v>
      </c>
      <c r="L222">
        <v>94080</v>
      </c>
      <c r="M222" s="8" t="s">
        <v>52</v>
      </c>
      <c r="N222">
        <v>94080</v>
      </c>
      <c r="O222" s="8" t="s">
        <v>1701</v>
      </c>
      <c r="P222" s="8" t="s">
        <v>1545</v>
      </c>
      <c r="Q222" s="8" t="s">
        <v>1541</v>
      </c>
      <c r="R222" s="8" t="s">
        <v>1546</v>
      </c>
      <c r="S222" s="8" t="s">
        <v>1542</v>
      </c>
      <c r="T222" s="8" t="s">
        <v>1574</v>
      </c>
      <c r="U222" s="8" t="s">
        <v>1575</v>
      </c>
      <c r="V222">
        <v>11200</v>
      </c>
      <c r="W222">
        <v>8300</v>
      </c>
      <c r="X222">
        <v>94080</v>
      </c>
      <c r="Y222">
        <v>27680</v>
      </c>
    </row>
    <row r="223" spans="1:25" x14ac:dyDescent="0.3">
      <c r="A223" s="8" t="s">
        <v>459</v>
      </c>
      <c r="B223" s="14">
        <v>46164</v>
      </c>
      <c r="C223" s="8" t="s">
        <v>108</v>
      </c>
      <c r="D223" s="8" t="s">
        <v>35</v>
      </c>
      <c r="E223" s="8" t="s">
        <v>135</v>
      </c>
      <c r="F223">
        <v>2</v>
      </c>
      <c r="G223">
        <v>16800</v>
      </c>
      <c r="H223">
        <v>0.15</v>
      </c>
      <c r="I223" s="8" t="s">
        <v>17</v>
      </c>
      <c r="J223" s="8" t="s">
        <v>47</v>
      </c>
      <c r="K223" s="8" t="s">
        <v>25</v>
      </c>
      <c r="L223">
        <v>28560</v>
      </c>
      <c r="M223" s="8" t="s">
        <v>56</v>
      </c>
      <c r="N223">
        <v>28560</v>
      </c>
      <c r="O223" s="8" t="s">
        <v>1701</v>
      </c>
      <c r="P223" s="8" t="s">
        <v>1548</v>
      </c>
      <c r="Q223" s="8" t="s">
        <v>1549</v>
      </c>
      <c r="R223" s="8" t="s">
        <v>42</v>
      </c>
      <c r="S223" s="8" t="s">
        <v>1542</v>
      </c>
      <c r="T223" s="8" t="s">
        <v>1576</v>
      </c>
      <c r="U223" s="8" t="s">
        <v>1575</v>
      </c>
      <c r="V223">
        <v>16800</v>
      </c>
      <c r="W223">
        <v>12600</v>
      </c>
      <c r="X223">
        <v>28560</v>
      </c>
      <c r="Y223">
        <v>3360</v>
      </c>
    </row>
    <row r="224" spans="1:25" x14ac:dyDescent="0.3">
      <c r="A224" s="8" t="s">
        <v>460</v>
      </c>
      <c r="B224" s="14">
        <v>46142</v>
      </c>
      <c r="C224" s="8" t="s">
        <v>281</v>
      </c>
      <c r="D224" s="8" t="s">
        <v>15</v>
      </c>
      <c r="E224" s="8" t="s">
        <v>85</v>
      </c>
      <c r="F224">
        <v>2</v>
      </c>
      <c r="G224">
        <v>48500</v>
      </c>
      <c r="H224">
        <v>0.05</v>
      </c>
      <c r="I224" s="8" t="s">
        <v>80</v>
      </c>
      <c r="J224" s="8" t="s">
        <v>18</v>
      </c>
      <c r="K224" s="8" t="s">
        <v>1698</v>
      </c>
      <c r="L224">
        <v>92150</v>
      </c>
      <c r="M224" s="8" t="s">
        <v>48</v>
      </c>
      <c r="N224">
        <v>92150</v>
      </c>
      <c r="O224" s="8" t="s">
        <v>1701</v>
      </c>
      <c r="P224" s="8" t="s">
        <v>1543</v>
      </c>
      <c r="Q224" s="8" t="s">
        <v>1541</v>
      </c>
      <c r="R224" s="8" t="s">
        <v>52</v>
      </c>
      <c r="S224" s="8" t="s">
        <v>1542</v>
      </c>
      <c r="T224" s="8" t="s">
        <v>1585</v>
      </c>
      <c r="U224" s="8" t="s">
        <v>1586</v>
      </c>
      <c r="V224">
        <v>48500</v>
      </c>
      <c r="W224">
        <v>41200</v>
      </c>
      <c r="X224">
        <v>0</v>
      </c>
      <c r="Y224">
        <v>-82400</v>
      </c>
    </row>
    <row r="225" spans="1:25" x14ac:dyDescent="0.3">
      <c r="A225" s="8" t="s">
        <v>461</v>
      </c>
      <c r="B225" s="14">
        <v>46079</v>
      </c>
      <c r="C225" s="8" t="s">
        <v>246</v>
      </c>
      <c r="D225" s="8" t="s">
        <v>123</v>
      </c>
      <c r="E225" s="8" t="s">
        <v>30</v>
      </c>
      <c r="F225">
        <v>1</v>
      </c>
      <c r="G225">
        <v>1890</v>
      </c>
      <c r="H225">
        <v>0.15</v>
      </c>
      <c r="I225" s="8" t="s">
        <v>80</v>
      </c>
      <c r="J225" s="8" t="s">
        <v>71</v>
      </c>
      <c r="K225" s="8" t="s">
        <v>41</v>
      </c>
      <c r="L225">
        <v>1606.5</v>
      </c>
      <c r="M225" s="8" t="s">
        <v>138</v>
      </c>
      <c r="N225">
        <v>1606.5</v>
      </c>
      <c r="O225" s="8" t="s">
        <v>1701</v>
      </c>
      <c r="P225" s="8" t="s">
        <v>1558</v>
      </c>
      <c r="Q225" s="8" t="s">
        <v>1559</v>
      </c>
      <c r="R225" s="8" t="s">
        <v>138</v>
      </c>
      <c r="S225" s="8" t="s">
        <v>1542</v>
      </c>
      <c r="T225" s="8" t="s">
        <v>1573</v>
      </c>
      <c r="U225" s="8" t="s">
        <v>1571</v>
      </c>
      <c r="V225">
        <v>1800</v>
      </c>
      <c r="W225">
        <v>1120</v>
      </c>
      <c r="X225">
        <v>0</v>
      </c>
      <c r="Y225">
        <v>-1120</v>
      </c>
    </row>
    <row r="226" spans="1:25" x14ac:dyDescent="0.3">
      <c r="A226" s="8" t="s">
        <v>462</v>
      </c>
      <c r="B226" s="14">
        <v>46081</v>
      </c>
      <c r="C226" s="8" t="s">
        <v>463</v>
      </c>
      <c r="D226" s="8" t="s">
        <v>70</v>
      </c>
      <c r="E226" s="8" t="s">
        <v>183</v>
      </c>
      <c r="F226">
        <v>4</v>
      </c>
      <c r="G226">
        <v>3200</v>
      </c>
      <c r="H226">
        <v>0.1</v>
      </c>
      <c r="I226" s="8" t="s">
        <v>17</v>
      </c>
      <c r="J226" s="8" t="s">
        <v>18</v>
      </c>
      <c r="K226" s="8" t="s">
        <v>55</v>
      </c>
      <c r="L226">
        <v>11520</v>
      </c>
      <c r="M226" s="8" t="s">
        <v>56</v>
      </c>
      <c r="N226">
        <v>11520</v>
      </c>
      <c r="O226" s="8" t="s">
        <v>1701</v>
      </c>
      <c r="P226" s="8" t="s">
        <v>1550</v>
      </c>
      <c r="Q226" s="8" t="s">
        <v>1549</v>
      </c>
      <c r="R226" s="8" t="s">
        <v>32</v>
      </c>
      <c r="S226" s="8" t="s">
        <v>1542</v>
      </c>
      <c r="T226" s="8" t="s">
        <v>1582</v>
      </c>
      <c r="U226" s="8" t="s">
        <v>1583</v>
      </c>
      <c r="V226">
        <v>3200</v>
      </c>
      <c r="W226">
        <v>2050</v>
      </c>
      <c r="X226">
        <v>11520</v>
      </c>
      <c r="Y226">
        <v>3320</v>
      </c>
    </row>
    <row r="227" spans="1:25" x14ac:dyDescent="0.3">
      <c r="A227" s="8" t="s">
        <v>464</v>
      </c>
      <c r="B227" s="14">
        <v>46066</v>
      </c>
      <c r="C227" s="8" t="s">
        <v>1702</v>
      </c>
      <c r="D227" s="8" t="s">
        <v>123</v>
      </c>
      <c r="E227" s="8" t="s">
        <v>36</v>
      </c>
      <c r="F227">
        <v>1</v>
      </c>
      <c r="G227">
        <v>1400</v>
      </c>
      <c r="H227">
        <v>0.2</v>
      </c>
      <c r="I227" s="8" t="s">
        <v>17</v>
      </c>
      <c r="J227" s="8" t="s">
        <v>31</v>
      </c>
      <c r="K227" s="8" t="s">
        <v>1698</v>
      </c>
      <c r="L227">
        <v>1120</v>
      </c>
      <c r="M227" s="8" t="s">
        <v>20</v>
      </c>
      <c r="N227">
        <v>1120</v>
      </c>
      <c r="O227" s="8" t="s">
        <v>1701</v>
      </c>
      <c r="P227" s="8" t="s">
        <v>1558</v>
      </c>
      <c r="Q227" s="8" t="s">
        <v>1559</v>
      </c>
      <c r="R227" s="8" t="s">
        <v>138</v>
      </c>
      <c r="S227" s="8" t="s">
        <v>1542</v>
      </c>
      <c r="T227" s="8" t="s">
        <v>1577</v>
      </c>
      <c r="U227" s="8" t="s">
        <v>1571</v>
      </c>
      <c r="V227">
        <v>1400</v>
      </c>
      <c r="W227">
        <v>780</v>
      </c>
      <c r="X227">
        <v>1120</v>
      </c>
      <c r="Y227">
        <v>340</v>
      </c>
    </row>
    <row r="228" spans="1:25" x14ac:dyDescent="0.3">
      <c r="A228" s="8" t="s">
        <v>465</v>
      </c>
      <c r="B228" s="14">
        <v>46024</v>
      </c>
      <c r="C228" s="8" t="s">
        <v>111</v>
      </c>
      <c r="D228" s="8" t="s">
        <v>70</v>
      </c>
      <c r="E228" s="8" t="s">
        <v>30</v>
      </c>
      <c r="F228">
        <v>4</v>
      </c>
      <c r="G228">
        <v>1800</v>
      </c>
      <c r="H228">
        <v>0</v>
      </c>
      <c r="I228" s="8" t="s">
        <v>17</v>
      </c>
      <c r="J228" s="8" t="s">
        <v>71</v>
      </c>
      <c r="K228" s="8" t="s">
        <v>25</v>
      </c>
      <c r="L228">
        <v>7200</v>
      </c>
      <c r="M228" s="8" t="s">
        <v>56</v>
      </c>
      <c r="N228">
        <v>7200</v>
      </c>
      <c r="O228" s="8" t="s">
        <v>1701</v>
      </c>
      <c r="P228" s="8" t="s">
        <v>1550</v>
      </c>
      <c r="Q228" s="8" t="s">
        <v>1549</v>
      </c>
      <c r="R228" s="8" t="s">
        <v>32</v>
      </c>
      <c r="S228" s="8" t="s">
        <v>1542</v>
      </c>
      <c r="T228" s="8" t="s">
        <v>1573</v>
      </c>
      <c r="U228" s="8" t="s">
        <v>1571</v>
      </c>
      <c r="V228">
        <v>1800</v>
      </c>
      <c r="W228">
        <v>1120</v>
      </c>
      <c r="X228">
        <v>7200</v>
      </c>
      <c r="Y228">
        <v>2720</v>
      </c>
    </row>
    <row r="229" spans="1:25" x14ac:dyDescent="0.3">
      <c r="A229" s="8" t="s">
        <v>466</v>
      </c>
      <c r="B229" s="14">
        <v>46118</v>
      </c>
      <c r="C229" s="8" t="s">
        <v>467</v>
      </c>
      <c r="D229" s="8" t="s">
        <v>168</v>
      </c>
      <c r="E229" s="8" t="s">
        <v>183</v>
      </c>
      <c r="F229">
        <v>3</v>
      </c>
      <c r="G229">
        <v>3360</v>
      </c>
      <c r="H229">
        <v>0.15</v>
      </c>
      <c r="I229" s="8" t="s">
        <v>80</v>
      </c>
      <c r="J229" s="8" t="s">
        <v>31</v>
      </c>
      <c r="K229" s="8" t="s">
        <v>25</v>
      </c>
      <c r="L229">
        <v>8568</v>
      </c>
      <c r="M229" s="8" t="s">
        <v>82</v>
      </c>
      <c r="N229">
        <v>8568</v>
      </c>
      <c r="O229" s="8" t="s">
        <v>1701</v>
      </c>
      <c r="P229" s="8" t="s">
        <v>1540</v>
      </c>
      <c r="Q229" s="8" t="s">
        <v>1541</v>
      </c>
      <c r="R229" s="8" t="s">
        <v>20</v>
      </c>
      <c r="S229" s="8" t="s">
        <v>1542</v>
      </c>
      <c r="T229" s="8" t="s">
        <v>1582</v>
      </c>
      <c r="U229" s="8" t="s">
        <v>1583</v>
      </c>
      <c r="V229">
        <v>3200</v>
      </c>
      <c r="W229">
        <v>2050</v>
      </c>
      <c r="X229">
        <v>0</v>
      </c>
      <c r="Y229">
        <v>-6150</v>
      </c>
    </row>
    <row r="230" spans="1:25" x14ac:dyDescent="0.3">
      <c r="A230" s="8" t="s">
        <v>468</v>
      </c>
      <c r="B230" s="14">
        <v>46128</v>
      </c>
      <c r="C230" s="8" t="s">
        <v>467</v>
      </c>
      <c r="D230" s="8" t="s">
        <v>168</v>
      </c>
      <c r="E230" s="8" t="s">
        <v>16</v>
      </c>
      <c r="F230">
        <v>2</v>
      </c>
      <c r="G230">
        <v>650</v>
      </c>
      <c r="H230">
        <v>0.05</v>
      </c>
      <c r="I230" s="8" t="s">
        <v>17</v>
      </c>
      <c r="J230" s="8" t="s">
        <v>18</v>
      </c>
      <c r="K230" s="8" t="s">
        <v>41</v>
      </c>
      <c r="L230">
        <v>1235</v>
      </c>
      <c r="M230" s="8" t="s">
        <v>42</v>
      </c>
      <c r="N230">
        <v>1235</v>
      </c>
      <c r="O230" s="8" t="s">
        <v>1701</v>
      </c>
      <c r="P230" s="8" t="s">
        <v>1540</v>
      </c>
      <c r="Q230" s="8" t="s">
        <v>1541</v>
      </c>
      <c r="R230" s="8" t="s">
        <v>20</v>
      </c>
      <c r="S230" s="8" t="s">
        <v>1542</v>
      </c>
      <c r="T230" s="8" t="s">
        <v>1570</v>
      </c>
      <c r="U230" s="8" t="s">
        <v>1571</v>
      </c>
      <c r="V230">
        <v>650</v>
      </c>
      <c r="W230">
        <v>390</v>
      </c>
      <c r="X230">
        <v>1235</v>
      </c>
      <c r="Y230">
        <v>455</v>
      </c>
    </row>
    <row r="231" spans="1:25" x14ac:dyDescent="0.3">
      <c r="A231" s="8" t="s">
        <v>469</v>
      </c>
      <c r="B231" s="14">
        <v>46047</v>
      </c>
      <c r="C231" s="8" t="s">
        <v>129</v>
      </c>
      <c r="D231" s="8" t="s">
        <v>152</v>
      </c>
      <c r="E231" s="8" t="s">
        <v>30</v>
      </c>
      <c r="F231">
        <v>1</v>
      </c>
      <c r="G231">
        <v>1800</v>
      </c>
      <c r="H231">
        <v>0.15</v>
      </c>
      <c r="I231" s="8" t="s">
        <v>17</v>
      </c>
      <c r="J231" s="8" t="s">
        <v>18</v>
      </c>
      <c r="K231" s="8" t="s">
        <v>1698</v>
      </c>
      <c r="L231">
        <v>1530</v>
      </c>
      <c r="M231" s="8" t="s">
        <v>138</v>
      </c>
      <c r="N231">
        <v>1530</v>
      </c>
      <c r="O231" s="8" t="s">
        <v>1701</v>
      </c>
      <c r="P231" s="8" t="s">
        <v>1553</v>
      </c>
      <c r="Q231" s="8" t="s">
        <v>1554</v>
      </c>
      <c r="R231" s="8" t="s">
        <v>59</v>
      </c>
      <c r="S231" s="8" t="s">
        <v>1542</v>
      </c>
      <c r="T231" s="8" t="s">
        <v>1573</v>
      </c>
      <c r="U231" s="8" t="s">
        <v>1571</v>
      </c>
      <c r="V231">
        <v>1800</v>
      </c>
      <c r="W231">
        <v>1120</v>
      </c>
      <c r="X231">
        <v>1530</v>
      </c>
      <c r="Y231">
        <v>410</v>
      </c>
    </row>
    <row r="232" spans="1:25" x14ac:dyDescent="0.3">
      <c r="A232" s="8" t="s">
        <v>470</v>
      </c>
      <c r="B232" s="14">
        <v>46126</v>
      </c>
      <c r="C232" s="8" t="s">
        <v>444</v>
      </c>
      <c r="D232" s="8" t="s">
        <v>62</v>
      </c>
      <c r="E232" s="8" t="s">
        <v>183</v>
      </c>
      <c r="F232">
        <v>1</v>
      </c>
      <c r="G232">
        <v>3040</v>
      </c>
      <c r="H232">
        <v>0.2</v>
      </c>
      <c r="I232" s="8" t="s">
        <v>17</v>
      </c>
      <c r="J232" s="8" t="s">
        <v>31</v>
      </c>
      <c r="K232" s="8" t="s">
        <v>55</v>
      </c>
      <c r="L232">
        <v>2432</v>
      </c>
      <c r="M232" s="8" t="s">
        <v>32</v>
      </c>
      <c r="N232">
        <v>2432</v>
      </c>
      <c r="O232" s="8" t="s">
        <v>1701</v>
      </c>
      <c r="P232" s="8" t="s">
        <v>1551</v>
      </c>
      <c r="Q232" s="8" t="s">
        <v>1549</v>
      </c>
      <c r="R232" s="8" t="s">
        <v>1552</v>
      </c>
      <c r="S232" s="8" t="s">
        <v>1542</v>
      </c>
      <c r="T232" s="8" t="s">
        <v>1582</v>
      </c>
      <c r="U232" s="8" t="s">
        <v>1583</v>
      </c>
      <c r="V232">
        <v>3200</v>
      </c>
      <c r="W232">
        <v>2050</v>
      </c>
      <c r="X232">
        <v>2432</v>
      </c>
      <c r="Y232">
        <v>382</v>
      </c>
    </row>
    <row r="233" spans="1:25" x14ac:dyDescent="0.3">
      <c r="A233" s="8" t="s">
        <v>471</v>
      </c>
      <c r="B233" s="14">
        <v>46119</v>
      </c>
      <c r="C233" s="8" t="s">
        <v>219</v>
      </c>
      <c r="D233" s="8" t="s">
        <v>152</v>
      </c>
      <c r="E233" s="8" t="s">
        <v>46</v>
      </c>
      <c r="F233">
        <v>1</v>
      </c>
      <c r="G233">
        <v>7410</v>
      </c>
      <c r="H233">
        <v>0</v>
      </c>
      <c r="I233" s="8" t="s">
        <v>17</v>
      </c>
      <c r="J233" s="8" t="s">
        <v>18</v>
      </c>
      <c r="K233" s="8" t="s">
        <v>67</v>
      </c>
      <c r="L233">
        <v>7410</v>
      </c>
      <c r="M233" s="8" t="s">
        <v>48</v>
      </c>
      <c r="N233">
        <v>7410</v>
      </c>
      <c r="O233" s="8" t="s">
        <v>1701</v>
      </c>
      <c r="P233" s="8" t="s">
        <v>1553</v>
      </c>
      <c r="Q233" s="8" t="s">
        <v>1554</v>
      </c>
      <c r="R233" s="8" t="s">
        <v>59</v>
      </c>
      <c r="S233" s="8" t="s">
        <v>1542</v>
      </c>
      <c r="T233" s="8" t="s">
        <v>1579</v>
      </c>
      <c r="U233" s="8" t="s">
        <v>1580</v>
      </c>
      <c r="V233">
        <v>7800</v>
      </c>
      <c r="W233">
        <v>5200</v>
      </c>
      <c r="X233">
        <v>7410</v>
      </c>
      <c r="Y233">
        <v>2210</v>
      </c>
    </row>
    <row r="234" spans="1:25" x14ac:dyDescent="0.3">
      <c r="A234" s="8" t="s">
        <v>472</v>
      </c>
      <c r="B234" s="14">
        <v>46047</v>
      </c>
      <c r="C234" s="8" t="s">
        <v>473</v>
      </c>
      <c r="D234" s="8" t="s">
        <v>77</v>
      </c>
      <c r="E234" s="8" t="s">
        <v>51</v>
      </c>
      <c r="F234">
        <v>5</v>
      </c>
      <c r="G234">
        <v>19425</v>
      </c>
      <c r="H234">
        <v>0</v>
      </c>
      <c r="I234" s="8" t="s">
        <v>17</v>
      </c>
      <c r="J234" s="8" t="s">
        <v>31</v>
      </c>
      <c r="K234" s="8" t="s">
        <v>1698</v>
      </c>
      <c r="L234">
        <v>97125</v>
      </c>
      <c r="M234" s="8" t="s">
        <v>26</v>
      </c>
      <c r="N234">
        <v>97125</v>
      </c>
      <c r="O234" s="8" t="s">
        <v>1701</v>
      </c>
      <c r="P234" s="8" t="s">
        <v>1564</v>
      </c>
      <c r="Q234" s="8" t="s">
        <v>1563</v>
      </c>
      <c r="R234" s="8" t="s">
        <v>1565</v>
      </c>
      <c r="S234" s="8" t="s">
        <v>1542</v>
      </c>
      <c r="T234" s="8" t="s">
        <v>1581</v>
      </c>
      <c r="U234" s="8" t="s">
        <v>1580</v>
      </c>
      <c r="V234">
        <v>18500</v>
      </c>
      <c r="W234">
        <v>13900</v>
      </c>
      <c r="X234">
        <v>97125</v>
      </c>
      <c r="Y234">
        <v>27625</v>
      </c>
    </row>
    <row r="235" spans="1:25" x14ac:dyDescent="0.3">
      <c r="A235" s="8" t="s">
        <v>474</v>
      </c>
      <c r="B235" s="14">
        <v>46162</v>
      </c>
      <c r="C235" s="8" t="s">
        <v>475</v>
      </c>
      <c r="D235" s="8" t="s">
        <v>40</v>
      </c>
      <c r="E235" s="8" t="s">
        <v>74</v>
      </c>
      <c r="F235">
        <v>1</v>
      </c>
      <c r="G235">
        <v>2400</v>
      </c>
      <c r="H235">
        <v>0.05</v>
      </c>
      <c r="I235" s="8" t="s">
        <v>17</v>
      </c>
      <c r="J235" s="8" t="s">
        <v>18</v>
      </c>
      <c r="K235" s="8" t="s">
        <v>1698</v>
      </c>
      <c r="L235">
        <v>2280</v>
      </c>
      <c r="M235" s="8" t="s">
        <v>26</v>
      </c>
      <c r="N235">
        <v>2280</v>
      </c>
      <c r="O235" s="8" t="s">
        <v>1701</v>
      </c>
      <c r="P235" s="8" t="s">
        <v>1555</v>
      </c>
      <c r="Q235" s="8" t="s">
        <v>1554</v>
      </c>
      <c r="R235" s="8" t="s">
        <v>82</v>
      </c>
      <c r="S235" s="8" t="s">
        <v>1542</v>
      </c>
      <c r="T235" s="8" t="s">
        <v>1584</v>
      </c>
      <c r="U235" s="8" t="s">
        <v>1583</v>
      </c>
      <c r="V235">
        <v>2400</v>
      </c>
      <c r="W235">
        <v>1480</v>
      </c>
      <c r="X235">
        <v>2280</v>
      </c>
      <c r="Y235">
        <v>800</v>
      </c>
    </row>
    <row r="236" spans="1:25" x14ac:dyDescent="0.3">
      <c r="A236" s="8" t="s">
        <v>476</v>
      </c>
      <c r="B236" s="14">
        <v>46064</v>
      </c>
      <c r="C236" s="8" t="s">
        <v>230</v>
      </c>
      <c r="D236" s="8" t="s">
        <v>40</v>
      </c>
      <c r="E236" s="8" t="s">
        <v>24</v>
      </c>
      <c r="F236">
        <v>3</v>
      </c>
      <c r="G236">
        <v>11200</v>
      </c>
      <c r="H236">
        <v>0.1</v>
      </c>
      <c r="I236" s="8" t="s">
        <v>17</v>
      </c>
      <c r="J236" s="8" t="s">
        <v>71</v>
      </c>
      <c r="K236" s="8" t="s">
        <v>1698</v>
      </c>
      <c r="L236">
        <v>30240</v>
      </c>
      <c r="M236" s="8" t="s">
        <v>82</v>
      </c>
      <c r="N236">
        <v>30240</v>
      </c>
      <c r="O236" s="8" t="s">
        <v>1701</v>
      </c>
      <c r="P236" s="8" t="s">
        <v>1555</v>
      </c>
      <c r="Q236" s="8" t="s">
        <v>1554</v>
      </c>
      <c r="R236" s="8" t="s">
        <v>82</v>
      </c>
      <c r="S236" s="8" t="s">
        <v>1542</v>
      </c>
      <c r="T236" s="8" t="s">
        <v>1574</v>
      </c>
      <c r="U236" s="8" t="s">
        <v>1575</v>
      </c>
      <c r="V236">
        <v>11200</v>
      </c>
      <c r="W236">
        <v>8300</v>
      </c>
      <c r="X236">
        <v>30240</v>
      </c>
      <c r="Y236">
        <v>5340</v>
      </c>
    </row>
    <row r="237" spans="1:25" x14ac:dyDescent="0.3">
      <c r="A237" s="8" t="s">
        <v>477</v>
      </c>
      <c r="B237" s="14">
        <v>46078</v>
      </c>
      <c r="C237" s="8" t="s">
        <v>396</v>
      </c>
      <c r="D237" s="8" t="s">
        <v>168</v>
      </c>
      <c r="E237" s="8" t="s">
        <v>63</v>
      </c>
      <c r="F237">
        <v>2</v>
      </c>
      <c r="G237">
        <v>2310</v>
      </c>
      <c r="H237">
        <v>0</v>
      </c>
      <c r="I237" s="8" t="s">
        <v>17</v>
      </c>
      <c r="J237" s="8" t="s">
        <v>31</v>
      </c>
      <c r="K237" s="8" t="s">
        <v>67</v>
      </c>
      <c r="L237">
        <v>4620</v>
      </c>
      <c r="M237" s="8" t="s">
        <v>56</v>
      </c>
      <c r="N237">
        <v>4620</v>
      </c>
      <c r="O237" s="8" t="s">
        <v>1701</v>
      </c>
      <c r="P237" s="8" t="s">
        <v>1540</v>
      </c>
      <c r="Q237" s="8" t="s">
        <v>1541</v>
      </c>
      <c r="R237" s="8" t="s">
        <v>20</v>
      </c>
      <c r="S237" s="8" t="s">
        <v>1542</v>
      </c>
      <c r="T237" s="8" t="s">
        <v>1572</v>
      </c>
      <c r="U237" s="8" t="s">
        <v>1571</v>
      </c>
      <c r="V237">
        <v>2200</v>
      </c>
      <c r="W237">
        <v>1450</v>
      </c>
      <c r="X237">
        <v>4620</v>
      </c>
      <c r="Y237">
        <v>1720</v>
      </c>
    </row>
    <row r="238" spans="1:25" x14ac:dyDescent="0.3">
      <c r="A238" s="8" t="s">
        <v>479</v>
      </c>
      <c r="B238" s="14">
        <v>46148</v>
      </c>
      <c r="C238" s="8" t="s">
        <v>480</v>
      </c>
      <c r="D238" s="8" t="s">
        <v>23</v>
      </c>
      <c r="E238" s="8" t="s">
        <v>36</v>
      </c>
      <c r="F238">
        <v>3</v>
      </c>
      <c r="G238">
        <v>1470</v>
      </c>
      <c r="H238">
        <v>0.1</v>
      </c>
      <c r="I238" s="8" t="s">
        <v>17</v>
      </c>
      <c r="J238" s="8" t="s">
        <v>47</v>
      </c>
      <c r="K238" s="8" t="s">
        <v>41</v>
      </c>
      <c r="L238">
        <v>3969</v>
      </c>
      <c r="M238" s="8" t="s">
        <v>42</v>
      </c>
      <c r="N238">
        <v>3969</v>
      </c>
      <c r="O238" s="8" t="s">
        <v>1701</v>
      </c>
      <c r="P238" s="8" t="s">
        <v>1545</v>
      </c>
      <c r="Q238" s="8" t="s">
        <v>1541</v>
      </c>
      <c r="R238" s="8" t="s">
        <v>1546</v>
      </c>
      <c r="S238" s="8" t="s">
        <v>1542</v>
      </c>
      <c r="T238" s="8" t="s">
        <v>1577</v>
      </c>
      <c r="U238" s="8" t="s">
        <v>1571</v>
      </c>
      <c r="V238">
        <v>1400</v>
      </c>
      <c r="W238">
        <v>780</v>
      </c>
      <c r="X238">
        <v>3969</v>
      </c>
      <c r="Y238">
        <v>1629</v>
      </c>
    </row>
    <row r="239" spans="1:25" x14ac:dyDescent="0.3">
      <c r="A239" s="8" t="s">
        <v>481</v>
      </c>
      <c r="B239" s="14">
        <v>46044</v>
      </c>
      <c r="C239" s="8" t="s">
        <v>482</v>
      </c>
      <c r="D239" s="8" t="s">
        <v>45</v>
      </c>
      <c r="E239" s="8" t="s">
        <v>30</v>
      </c>
      <c r="F239">
        <v>2</v>
      </c>
      <c r="G239">
        <v>1890</v>
      </c>
      <c r="H239">
        <v>0.2</v>
      </c>
      <c r="I239" s="8" t="s">
        <v>17</v>
      </c>
      <c r="J239" s="8" t="s">
        <v>47</v>
      </c>
      <c r="K239" s="8" t="s">
        <v>1698</v>
      </c>
      <c r="L239">
        <v>3024</v>
      </c>
      <c r="M239" s="8" t="s">
        <v>42</v>
      </c>
      <c r="N239">
        <v>3024</v>
      </c>
      <c r="O239" s="8" t="s">
        <v>1701</v>
      </c>
      <c r="P239" s="8" t="s">
        <v>1547</v>
      </c>
      <c r="Q239" s="8" t="s">
        <v>1541</v>
      </c>
      <c r="R239" s="8" t="s">
        <v>56</v>
      </c>
      <c r="S239" s="8" t="s">
        <v>1542</v>
      </c>
      <c r="T239" s="8" t="s">
        <v>1573</v>
      </c>
      <c r="U239" s="8" t="s">
        <v>1571</v>
      </c>
      <c r="V239">
        <v>1800</v>
      </c>
      <c r="W239">
        <v>1120</v>
      </c>
      <c r="X239">
        <v>3024</v>
      </c>
      <c r="Y239">
        <v>784</v>
      </c>
    </row>
    <row r="240" spans="1:25" x14ac:dyDescent="0.3">
      <c r="A240" s="8" t="s">
        <v>483</v>
      </c>
      <c r="B240" s="14">
        <v>46024</v>
      </c>
      <c r="C240" s="8" t="s">
        <v>484</v>
      </c>
      <c r="D240" s="8" t="s">
        <v>45</v>
      </c>
      <c r="E240" s="8" t="s">
        <v>46</v>
      </c>
      <c r="F240">
        <v>2</v>
      </c>
      <c r="G240">
        <v>7410</v>
      </c>
      <c r="H240">
        <v>0.05</v>
      </c>
      <c r="I240" s="8" t="s">
        <v>17</v>
      </c>
      <c r="J240" s="8" t="s">
        <v>18</v>
      </c>
      <c r="K240" s="8" t="s">
        <v>55</v>
      </c>
      <c r="L240">
        <v>14079</v>
      </c>
      <c r="M240" s="8" t="s">
        <v>82</v>
      </c>
      <c r="N240">
        <v>14079</v>
      </c>
      <c r="O240" s="8" t="s">
        <v>1701</v>
      </c>
      <c r="P240" s="8" t="s">
        <v>1547</v>
      </c>
      <c r="Q240" s="8" t="s">
        <v>1541</v>
      </c>
      <c r="R240" s="8" t="s">
        <v>56</v>
      </c>
      <c r="S240" s="8" t="s">
        <v>1542</v>
      </c>
      <c r="T240" s="8" t="s">
        <v>1579</v>
      </c>
      <c r="U240" s="8" t="s">
        <v>1580</v>
      </c>
      <c r="V240">
        <v>7800</v>
      </c>
      <c r="W240">
        <v>5200</v>
      </c>
      <c r="X240">
        <v>14079</v>
      </c>
      <c r="Y240">
        <v>3679</v>
      </c>
    </row>
    <row r="241" spans="1:25" x14ac:dyDescent="0.3">
      <c r="A241" s="8" t="s">
        <v>485</v>
      </c>
      <c r="B241" s="14">
        <v>46165</v>
      </c>
      <c r="C241" s="8" t="s">
        <v>405</v>
      </c>
      <c r="D241" s="8" t="s">
        <v>152</v>
      </c>
      <c r="E241" s="8" t="s">
        <v>161</v>
      </c>
      <c r="F241">
        <v>1</v>
      </c>
      <c r="G241">
        <v>2470</v>
      </c>
      <c r="H241">
        <v>0</v>
      </c>
      <c r="I241" s="8" t="s">
        <v>17</v>
      </c>
      <c r="J241" s="8" t="s">
        <v>18</v>
      </c>
      <c r="K241" s="8" t="s">
        <v>1698</v>
      </c>
      <c r="L241">
        <v>2470</v>
      </c>
      <c r="M241" s="8" t="s">
        <v>26</v>
      </c>
      <c r="N241">
        <v>2470</v>
      </c>
      <c r="O241" s="8" t="s">
        <v>1701</v>
      </c>
      <c r="P241" s="8" t="s">
        <v>1553</v>
      </c>
      <c r="Q241" s="8" t="s">
        <v>1554</v>
      </c>
      <c r="R241" s="8" t="s">
        <v>59</v>
      </c>
      <c r="S241" s="8" t="s">
        <v>1542</v>
      </c>
      <c r="T241" s="8" t="s">
        <v>1578</v>
      </c>
      <c r="U241" s="8" t="s">
        <v>1571</v>
      </c>
      <c r="V241">
        <v>2600</v>
      </c>
      <c r="W241">
        <v>1750</v>
      </c>
      <c r="X241">
        <v>2470</v>
      </c>
      <c r="Y241">
        <v>720</v>
      </c>
    </row>
    <row r="242" spans="1:25" x14ac:dyDescent="0.3">
      <c r="A242" s="8" t="s">
        <v>486</v>
      </c>
      <c r="B242" s="14">
        <v>46128</v>
      </c>
      <c r="C242" s="8" t="s">
        <v>487</v>
      </c>
      <c r="D242" s="8" t="s">
        <v>70</v>
      </c>
      <c r="E242" s="8" t="s">
        <v>63</v>
      </c>
      <c r="F242">
        <v>3</v>
      </c>
      <c r="G242">
        <v>2200</v>
      </c>
      <c r="H242">
        <v>0.15</v>
      </c>
      <c r="I242" s="8" t="s">
        <v>80</v>
      </c>
      <c r="J242" s="8" t="s">
        <v>18</v>
      </c>
      <c r="K242" s="8" t="s">
        <v>41</v>
      </c>
      <c r="L242">
        <v>5610</v>
      </c>
      <c r="M242" s="8" t="s">
        <v>59</v>
      </c>
      <c r="N242">
        <v>5610</v>
      </c>
      <c r="O242" s="8" t="s">
        <v>1701</v>
      </c>
      <c r="P242" s="8" t="s">
        <v>1550</v>
      </c>
      <c r="Q242" s="8" t="s">
        <v>1549</v>
      </c>
      <c r="R242" s="8" t="s">
        <v>32</v>
      </c>
      <c r="S242" s="8" t="s">
        <v>1542</v>
      </c>
      <c r="T242" s="8" t="s">
        <v>1572</v>
      </c>
      <c r="U242" s="8" t="s">
        <v>1571</v>
      </c>
      <c r="V242">
        <v>2200</v>
      </c>
      <c r="W242">
        <v>1450</v>
      </c>
      <c r="X242">
        <v>0</v>
      </c>
      <c r="Y242">
        <v>-4350</v>
      </c>
    </row>
    <row r="243" spans="1:25" x14ac:dyDescent="0.3">
      <c r="A243" s="8" t="s">
        <v>488</v>
      </c>
      <c r="B243" s="14">
        <v>46091</v>
      </c>
      <c r="C243" s="8" t="s">
        <v>160</v>
      </c>
      <c r="D243" s="8" t="s">
        <v>45</v>
      </c>
      <c r="E243" s="8" t="s">
        <v>135</v>
      </c>
      <c r="F243">
        <v>2</v>
      </c>
      <c r="G243">
        <v>16800</v>
      </c>
      <c r="H243">
        <v>0</v>
      </c>
      <c r="I243" s="8" t="s">
        <v>17</v>
      </c>
      <c r="J243" s="8" t="s">
        <v>47</v>
      </c>
      <c r="K243" s="8" t="s">
        <v>55</v>
      </c>
      <c r="L243">
        <v>33600</v>
      </c>
      <c r="M243" s="8" t="s">
        <v>42</v>
      </c>
      <c r="N243">
        <v>33600</v>
      </c>
      <c r="O243" s="8" t="s">
        <v>1701</v>
      </c>
      <c r="P243" s="8" t="s">
        <v>1547</v>
      </c>
      <c r="Q243" s="8" t="s">
        <v>1541</v>
      </c>
      <c r="R243" s="8" t="s">
        <v>56</v>
      </c>
      <c r="S243" s="8" t="s">
        <v>1542</v>
      </c>
      <c r="T243" s="8" t="s">
        <v>1576</v>
      </c>
      <c r="U243" s="8" t="s">
        <v>1575</v>
      </c>
      <c r="V243">
        <v>16800</v>
      </c>
      <c r="W243">
        <v>12600</v>
      </c>
      <c r="X243">
        <v>33600</v>
      </c>
      <c r="Y243">
        <v>8400</v>
      </c>
    </row>
    <row r="244" spans="1:25" x14ac:dyDescent="0.3">
      <c r="A244" s="8" t="s">
        <v>489</v>
      </c>
      <c r="B244" s="14">
        <v>46115</v>
      </c>
      <c r="C244" s="8" t="s">
        <v>274</v>
      </c>
      <c r="D244" s="8" t="s">
        <v>45</v>
      </c>
      <c r="E244" s="8" t="s">
        <v>24</v>
      </c>
      <c r="F244">
        <v>3</v>
      </c>
      <c r="G244">
        <v>11200</v>
      </c>
      <c r="H244">
        <v>0.1</v>
      </c>
      <c r="I244" s="8" t="s">
        <v>17</v>
      </c>
      <c r="J244" s="8" t="s">
        <v>31</v>
      </c>
      <c r="K244" s="8" t="s">
        <v>41</v>
      </c>
      <c r="L244">
        <v>30240</v>
      </c>
      <c r="M244" s="8" t="s">
        <v>26</v>
      </c>
      <c r="N244">
        <v>30240</v>
      </c>
      <c r="O244" s="8" t="s">
        <v>1701</v>
      </c>
      <c r="P244" s="8" t="s">
        <v>1547</v>
      </c>
      <c r="Q244" s="8" t="s">
        <v>1541</v>
      </c>
      <c r="R244" s="8" t="s">
        <v>56</v>
      </c>
      <c r="S244" s="8" t="s">
        <v>1542</v>
      </c>
      <c r="T244" s="8" t="s">
        <v>1574</v>
      </c>
      <c r="U244" s="8" t="s">
        <v>1575</v>
      </c>
      <c r="V244">
        <v>11200</v>
      </c>
      <c r="W244">
        <v>8300</v>
      </c>
      <c r="X244">
        <v>30240</v>
      </c>
      <c r="Y244">
        <v>5340</v>
      </c>
    </row>
    <row r="245" spans="1:25" x14ac:dyDescent="0.3">
      <c r="A245" s="8" t="s">
        <v>490</v>
      </c>
      <c r="B245" s="14">
        <v>46024</v>
      </c>
      <c r="C245" s="8" t="s">
        <v>491</v>
      </c>
      <c r="D245" s="8" t="s">
        <v>70</v>
      </c>
      <c r="E245" s="8" t="s">
        <v>36</v>
      </c>
      <c r="F245">
        <v>4</v>
      </c>
      <c r="G245">
        <v>1400</v>
      </c>
      <c r="H245">
        <v>0.1</v>
      </c>
      <c r="I245" s="8" t="s">
        <v>17</v>
      </c>
      <c r="J245" s="8" t="s">
        <v>47</v>
      </c>
      <c r="K245" s="8" t="s">
        <v>55</v>
      </c>
      <c r="L245">
        <v>5040</v>
      </c>
      <c r="M245" s="8" t="s">
        <v>48</v>
      </c>
      <c r="N245">
        <v>5040</v>
      </c>
      <c r="O245" s="8" t="s">
        <v>1701</v>
      </c>
      <c r="P245" s="8" t="s">
        <v>1550</v>
      </c>
      <c r="Q245" s="8" t="s">
        <v>1549</v>
      </c>
      <c r="R245" s="8" t="s">
        <v>32</v>
      </c>
      <c r="S245" s="8" t="s">
        <v>1542</v>
      </c>
      <c r="T245" s="8" t="s">
        <v>1577</v>
      </c>
      <c r="U245" s="8" t="s">
        <v>1571</v>
      </c>
      <c r="V245">
        <v>1400</v>
      </c>
      <c r="W245">
        <v>780</v>
      </c>
      <c r="X245">
        <v>5040</v>
      </c>
      <c r="Y245">
        <v>1920</v>
      </c>
    </row>
    <row r="246" spans="1:25" x14ac:dyDescent="0.3">
      <c r="A246" s="8" t="s">
        <v>492</v>
      </c>
      <c r="B246" s="14">
        <v>46057</v>
      </c>
      <c r="C246" s="8" t="s">
        <v>310</v>
      </c>
      <c r="D246" s="8" t="s">
        <v>45</v>
      </c>
      <c r="E246" s="8" t="s">
        <v>36</v>
      </c>
      <c r="F246">
        <v>3</v>
      </c>
      <c r="G246">
        <v>1400</v>
      </c>
      <c r="H246">
        <v>0.2</v>
      </c>
      <c r="I246" s="8" t="s">
        <v>17</v>
      </c>
      <c r="J246" s="8" t="s">
        <v>18</v>
      </c>
      <c r="K246" s="8" t="s">
        <v>67</v>
      </c>
      <c r="L246">
        <v>3360</v>
      </c>
      <c r="M246" s="8" t="s">
        <v>26</v>
      </c>
      <c r="N246">
        <v>3360</v>
      </c>
      <c r="O246" s="8" t="s">
        <v>1701</v>
      </c>
      <c r="P246" s="8" t="s">
        <v>1547</v>
      </c>
      <c r="Q246" s="8" t="s">
        <v>1541</v>
      </c>
      <c r="R246" s="8" t="s">
        <v>56</v>
      </c>
      <c r="S246" s="8" t="s">
        <v>1542</v>
      </c>
      <c r="T246" s="8" t="s">
        <v>1577</v>
      </c>
      <c r="U246" s="8" t="s">
        <v>1571</v>
      </c>
      <c r="V246">
        <v>1400</v>
      </c>
      <c r="W246">
        <v>780</v>
      </c>
      <c r="X246">
        <v>3360</v>
      </c>
      <c r="Y246">
        <v>1020</v>
      </c>
    </row>
    <row r="247" spans="1:25" x14ac:dyDescent="0.3">
      <c r="A247" s="8" t="s">
        <v>493</v>
      </c>
      <c r="B247" s="14">
        <v>46200</v>
      </c>
      <c r="C247" s="8" t="s">
        <v>494</v>
      </c>
      <c r="D247" s="8" t="s">
        <v>95</v>
      </c>
      <c r="E247" s="8" t="s">
        <v>46</v>
      </c>
      <c r="F247">
        <v>8</v>
      </c>
      <c r="G247">
        <v>7800</v>
      </c>
      <c r="H247">
        <v>0</v>
      </c>
      <c r="I247" s="8" t="s">
        <v>17</v>
      </c>
      <c r="J247" s="8" t="s">
        <v>47</v>
      </c>
      <c r="K247" s="8" t="s">
        <v>67</v>
      </c>
      <c r="L247">
        <v>62400</v>
      </c>
      <c r="M247" s="8" t="s">
        <v>48</v>
      </c>
      <c r="N247">
        <v>62400</v>
      </c>
      <c r="O247" s="8" t="s">
        <v>1701</v>
      </c>
      <c r="P247" s="8" t="s">
        <v>1556</v>
      </c>
      <c r="Q247" s="8" t="s">
        <v>1554</v>
      </c>
      <c r="R247" s="8" t="s">
        <v>1557</v>
      </c>
      <c r="S247" s="8" t="s">
        <v>1542</v>
      </c>
      <c r="T247" s="8" t="s">
        <v>1579</v>
      </c>
      <c r="U247" s="8" t="s">
        <v>1580</v>
      </c>
      <c r="V247">
        <v>7800</v>
      </c>
      <c r="W247">
        <v>5200</v>
      </c>
      <c r="X247">
        <v>62400</v>
      </c>
      <c r="Y247">
        <v>20800</v>
      </c>
    </row>
    <row r="248" spans="1:25" x14ac:dyDescent="0.3">
      <c r="A248" s="8" t="s">
        <v>496</v>
      </c>
      <c r="B248" s="14">
        <v>46074</v>
      </c>
      <c r="C248" s="8" t="s">
        <v>44</v>
      </c>
      <c r="D248" s="8" t="s">
        <v>40</v>
      </c>
      <c r="E248" s="8" t="s">
        <v>51</v>
      </c>
      <c r="F248">
        <v>1</v>
      </c>
      <c r="G248">
        <v>19425</v>
      </c>
      <c r="H248">
        <v>0.15</v>
      </c>
      <c r="I248" s="8" t="s">
        <v>17</v>
      </c>
      <c r="J248" s="8" t="s">
        <v>18</v>
      </c>
      <c r="K248" s="8" t="s">
        <v>67</v>
      </c>
      <c r="L248">
        <v>16511.25</v>
      </c>
      <c r="M248" s="8" t="s">
        <v>42</v>
      </c>
      <c r="N248">
        <v>16511.25</v>
      </c>
      <c r="O248" s="8" t="s">
        <v>1701</v>
      </c>
      <c r="P248" s="8" t="s">
        <v>1555</v>
      </c>
      <c r="Q248" s="8" t="s">
        <v>1554</v>
      </c>
      <c r="R248" s="8" t="s">
        <v>82</v>
      </c>
      <c r="S248" s="8" t="s">
        <v>1542</v>
      </c>
      <c r="T248" s="8" t="s">
        <v>1581</v>
      </c>
      <c r="U248" s="8" t="s">
        <v>1580</v>
      </c>
      <c r="V248">
        <v>18500</v>
      </c>
      <c r="W248">
        <v>13900</v>
      </c>
      <c r="X248">
        <v>16511.25</v>
      </c>
      <c r="Y248">
        <v>2611.25</v>
      </c>
    </row>
    <row r="249" spans="1:25" x14ac:dyDescent="0.3">
      <c r="A249" s="8" t="s">
        <v>497</v>
      </c>
      <c r="B249" s="14">
        <v>46127</v>
      </c>
      <c r="C249" s="8" t="s">
        <v>61</v>
      </c>
      <c r="D249" s="8" t="s">
        <v>95</v>
      </c>
      <c r="E249" s="8" t="s">
        <v>46</v>
      </c>
      <c r="F249">
        <v>1</v>
      </c>
      <c r="G249">
        <v>7800</v>
      </c>
      <c r="H249">
        <v>0.05</v>
      </c>
      <c r="I249" s="8" t="s">
        <v>17</v>
      </c>
      <c r="J249" s="8" t="s">
        <v>18</v>
      </c>
      <c r="K249" s="8" t="s">
        <v>1698</v>
      </c>
      <c r="L249">
        <v>7410</v>
      </c>
      <c r="M249" s="8" t="s">
        <v>56</v>
      </c>
      <c r="N249">
        <v>7410</v>
      </c>
      <c r="O249" s="8" t="s">
        <v>1701</v>
      </c>
      <c r="P249" s="8" t="s">
        <v>1556</v>
      </c>
      <c r="Q249" s="8" t="s">
        <v>1554</v>
      </c>
      <c r="R249" s="8" t="s">
        <v>1557</v>
      </c>
      <c r="S249" s="8" t="s">
        <v>1542</v>
      </c>
      <c r="T249" s="8" t="s">
        <v>1579</v>
      </c>
      <c r="U249" s="8" t="s">
        <v>1580</v>
      </c>
      <c r="V249">
        <v>7800</v>
      </c>
      <c r="W249">
        <v>5200</v>
      </c>
      <c r="X249">
        <v>7410</v>
      </c>
      <c r="Y249">
        <v>2210</v>
      </c>
    </row>
    <row r="250" spans="1:25" x14ac:dyDescent="0.3">
      <c r="A250" s="8" t="s">
        <v>498</v>
      </c>
      <c r="B250" s="14">
        <v>46176</v>
      </c>
      <c r="C250" s="8" t="s">
        <v>499</v>
      </c>
      <c r="D250" s="8" t="s">
        <v>62</v>
      </c>
      <c r="E250" s="8" t="s">
        <v>183</v>
      </c>
      <c r="F250">
        <v>2</v>
      </c>
      <c r="G250">
        <v>3360</v>
      </c>
      <c r="H250">
        <v>0.15</v>
      </c>
      <c r="I250" s="8" t="s">
        <v>80</v>
      </c>
      <c r="J250" s="8" t="s">
        <v>47</v>
      </c>
      <c r="K250" s="8" t="s">
        <v>25</v>
      </c>
      <c r="L250">
        <v>5712</v>
      </c>
      <c r="M250" s="8" t="s">
        <v>48</v>
      </c>
      <c r="N250">
        <v>5712</v>
      </c>
      <c r="O250" s="8" t="s">
        <v>1701</v>
      </c>
      <c r="P250" s="8" t="s">
        <v>1551</v>
      </c>
      <c r="Q250" s="8" t="s">
        <v>1549</v>
      </c>
      <c r="R250" s="8" t="s">
        <v>1552</v>
      </c>
      <c r="S250" s="8" t="s">
        <v>1542</v>
      </c>
      <c r="T250" s="8" t="s">
        <v>1582</v>
      </c>
      <c r="U250" s="8" t="s">
        <v>1583</v>
      </c>
      <c r="V250">
        <v>3200</v>
      </c>
      <c r="W250">
        <v>2050</v>
      </c>
      <c r="X250">
        <v>0</v>
      </c>
      <c r="Y250">
        <v>-4100</v>
      </c>
    </row>
    <row r="251" spans="1:25" x14ac:dyDescent="0.3">
      <c r="A251" s="8" t="s">
        <v>500</v>
      </c>
      <c r="B251" s="14">
        <v>46186</v>
      </c>
      <c r="C251" s="8" t="s">
        <v>501</v>
      </c>
      <c r="D251" s="8" t="s">
        <v>77</v>
      </c>
      <c r="E251" s="8" t="s">
        <v>63</v>
      </c>
      <c r="F251">
        <v>1</v>
      </c>
      <c r="G251">
        <v>2200</v>
      </c>
      <c r="H251">
        <v>0</v>
      </c>
      <c r="I251" s="8" t="s">
        <v>17</v>
      </c>
      <c r="J251" s="8" t="s">
        <v>31</v>
      </c>
      <c r="K251" s="8" t="s">
        <v>25</v>
      </c>
      <c r="L251">
        <v>2200</v>
      </c>
      <c r="M251" s="8" t="s">
        <v>32</v>
      </c>
      <c r="N251">
        <v>2200</v>
      </c>
      <c r="O251" s="8" t="s">
        <v>1701</v>
      </c>
      <c r="P251" s="8" t="s">
        <v>1564</v>
      </c>
      <c r="Q251" s="8" t="s">
        <v>1563</v>
      </c>
      <c r="R251" s="8" t="s">
        <v>1565</v>
      </c>
      <c r="S251" s="8" t="s">
        <v>1542</v>
      </c>
      <c r="T251" s="8" t="s">
        <v>1572</v>
      </c>
      <c r="U251" s="8" t="s">
        <v>1571</v>
      </c>
      <c r="V251">
        <v>2200</v>
      </c>
      <c r="W251">
        <v>1450</v>
      </c>
      <c r="X251">
        <v>2200</v>
      </c>
      <c r="Y251">
        <v>750</v>
      </c>
    </row>
    <row r="252" spans="1:25" x14ac:dyDescent="0.3">
      <c r="A252" s="8" t="s">
        <v>502</v>
      </c>
      <c r="B252" s="14">
        <v>46107</v>
      </c>
      <c r="C252" s="8" t="s">
        <v>154</v>
      </c>
      <c r="D252" s="8" t="s">
        <v>29</v>
      </c>
      <c r="E252" s="8" t="s">
        <v>161</v>
      </c>
      <c r="F252">
        <v>1</v>
      </c>
      <c r="G252">
        <v>2600</v>
      </c>
      <c r="H252">
        <v>0</v>
      </c>
      <c r="I252" s="8" t="s">
        <v>17</v>
      </c>
      <c r="J252" s="8" t="s">
        <v>47</v>
      </c>
      <c r="K252" s="8" t="s">
        <v>55</v>
      </c>
      <c r="L252">
        <v>2600</v>
      </c>
      <c r="M252" s="8" t="s">
        <v>56</v>
      </c>
      <c r="N252">
        <v>2600</v>
      </c>
      <c r="O252" s="8" t="s">
        <v>1701</v>
      </c>
      <c r="P252" s="8" t="s">
        <v>1560</v>
      </c>
      <c r="Q252" s="8" t="s">
        <v>1559</v>
      </c>
      <c r="R252" s="8" t="s">
        <v>1561</v>
      </c>
      <c r="S252" s="8" t="s">
        <v>1542</v>
      </c>
      <c r="T252" s="8" t="s">
        <v>1578</v>
      </c>
      <c r="U252" s="8" t="s">
        <v>1571</v>
      </c>
      <c r="V252">
        <v>2600</v>
      </c>
      <c r="W252">
        <v>1750</v>
      </c>
      <c r="X252">
        <v>2600</v>
      </c>
      <c r="Y252">
        <v>850</v>
      </c>
    </row>
    <row r="253" spans="1:25" x14ac:dyDescent="0.3">
      <c r="A253" s="8" t="s">
        <v>503</v>
      </c>
      <c r="B253" s="14">
        <v>46196</v>
      </c>
      <c r="C253" s="8" t="s">
        <v>504</v>
      </c>
      <c r="D253" s="8" t="s">
        <v>40</v>
      </c>
      <c r="E253" s="8" t="s">
        <v>85</v>
      </c>
      <c r="F253">
        <v>2</v>
      </c>
      <c r="G253">
        <v>50925</v>
      </c>
      <c r="H253">
        <v>0.05</v>
      </c>
      <c r="I253" s="8" t="s">
        <v>116</v>
      </c>
      <c r="J253" s="8" t="s">
        <v>47</v>
      </c>
      <c r="K253" s="8" t="s">
        <v>55</v>
      </c>
      <c r="L253">
        <v>96757.5</v>
      </c>
      <c r="M253" s="8" t="s">
        <v>42</v>
      </c>
      <c r="N253">
        <v>96757.5</v>
      </c>
      <c r="O253" s="8" t="s">
        <v>1701</v>
      </c>
      <c r="P253" s="8" t="s">
        <v>1555</v>
      </c>
      <c r="Q253" s="8" t="s">
        <v>1554</v>
      </c>
      <c r="R253" s="8" t="s">
        <v>82</v>
      </c>
      <c r="S253" s="8" t="s">
        <v>1542</v>
      </c>
      <c r="T253" s="8" t="s">
        <v>1585</v>
      </c>
      <c r="U253" s="8" t="s">
        <v>1586</v>
      </c>
      <c r="V253">
        <v>48500</v>
      </c>
      <c r="W253">
        <v>41200</v>
      </c>
      <c r="X253">
        <v>0</v>
      </c>
      <c r="Y253">
        <v>-82400</v>
      </c>
    </row>
    <row r="254" spans="1:25" x14ac:dyDescent="0.3">
      <c r="A254" s="8" t="s">
        <v>505</v>
      </c>
      <c r="B254" s="14">
        <v>46052</v>
      </c>
      <c r="C254" s="8" t="s">
        <v>407</v>
      </c>
      <c r="D254" s="8" t="s">
        <v>90</v>
      </c>
      <c r="E254" s="8" t="s">
        <v>85</v>
      </c>
      <c r="F254">
        <v>1</v>
      </c>
      <c r="G254">
        <v>48500</v>
      </c>
      <c r="H254">
        <v>0.05</v>
      </c>
      <c r="I254" s="8" t="s">
        <v>17</v>
      </c>
      <c r="J254" s="8" t="s">
        <v>47</v>
      </c>
      <c r="K254" s="8" t="s">
        <v>55</v>
      </c>
      <c r="L254">
        <v>46075</v>
      </c>
      <c r="M254" s="8" t="s">
        <v>42</v>
      </c>
      <c r="N254">
        <v>46075</v>
      </c>
      <c r="O254" s="8" t="s">
        <v>1701</v>
      </c>
      <c r="P254" s="8" t="s">
        <v>1562</v>
      </c>
      <c r="Q254" s="8" t="s">
        <v>1563</v>
      </c>
      <c r="R254" s="8" t="s">
        <v>48</v>
      </c>
      <c r="S254" s="8" t="s">
        <v>1542</v>
      </c>
      <c r="T254" s="8" t="s">
        <v>1585</v>
      </c>
      <c r="U254" s="8" t="s">
        <v>1586</v>
      </c>
      <c r="V254">
        <v>48500</v>
      </c>
      <c r="W254">
        <v>41200</v>
      </c>
      <c r="X254">
        <v>46075</v>
      </c>
      <c r="Y254">
        <v>4875</v>
      </c>
    </row>
    <row r="255" spans="1:25" x14ac:dyDescent="0.3">
      <c r="A255" s="8" t="s">
        <v>506</v>
      </c>
      <c r="B255" s="14">
        <v>46135</v>
      </c>
      <c r="C255" s="8" t="s">
        <v>507</v>
      </c>
      <c r="D255" s="8" t="s">
        <v>123</v>
      </c>
      <c r="E255" s="8" t="s">
        <v>85</v>
      </c>
      <c r="F255">
        <v>2</v>
      </c>
      <c r="G255">
        <v>46075</v>
      </c>
      <c r="H255">
        <v>0</v>
      </c>
      <c r="I255" s="8" t="s">
        <v>17</v>
      </c>
      <c r="J255" s="8" t="s">
        <v>47</v>
      </c>
      <c r="K255" s="8" t="s">
        <v>1698</v>
      </c>
      <c r="L255">
        <v>92150</v>
      </c>
      <c r="M255" s="8" t="s">
        <v>59</v>
      </c>
      <c r="N255">
        <v>92150</v>
      </c>
      <c r="O255" s="8" t="s">
        <v>1701</v>
      </c>
      <c r="P255" s="8" t="s">
        <v>1558</v>
      </c>
      <c r="Q255" s="8" t="s">
        <v>1559</v>
      </c>
      <c r="R255" s="8" t="s">
        <v>138</v>
      </c>
      <c r="S255" s="8" t="s">
        <v>1542</v>
      </c>
      <c r="T255" s="8" t="s">
        <v>1585</v>
      </c>
      <c r="U255" s="8" t="s">
        <v>1586</v>
      </c>
      <c r="V255">
        <v>48500</v>
      </c>
      <c r="W255">
        <v>41200</v>
      </c>
      <c r="X255">
        <v>92150</v>
      </c>
      <c r="Y255">
        <v>9750</v>
      </c>
    </row>
    <row r="256" spans="1:25" x14ac:dyDescent="0.3">
      <c r="A256" s="8" t="s">
        <v>508</v>
      </c>
      <c r="B256" s="14">
        <v>46085</v>
      </c>
      <c r="C256" s="8" t="s">
        <v>158</v>
      </c>
      <c r="D256" s="8" t="s">
        <v>152</v>
      </c>
      <c r="E256" s="8" t="s">
        <v>30</v>
      </c>
      <c r="F256">
        <v>3</v>
      </c>
      <c r="G256">
        <v>1890</v>
      </c>
      <c r="H256">
        <v>0.05</v>
      </c>
      <c r="I256" s="8" t="s">
        <v>17</v>
      </c>
      <c r="J256" s="8" t="s">
        <v>18</v>
      </c>
      <c r="K256" s="8" t="s">
        <v>41</v>
      </c>
      <c r="L256">
        <v>5386.5</v>
      </c>
      <c r="M256" s="8" t="s">
        <v>59</v>
      </c>
      <c r="N256">
        <v>5386.5</v>
      </c>
      <c r="O256" s="8" t="s">
        <v>1701</v>
      </c>
      <c r="P256" s="8" t="s">
        <v>1553</v>
      </c>
      <c r="Q256" s="8" t="s">
        <v>1554</v>
      </c>
      <c r="R256" s="8" t="s">
        <v>59</v>
      </c>
      <c r="S256" s="8" t="s">
        <v>1542</v>
      </c>
      <c r="T256" s="8" t="s">
        <v>1573</v>
      </c>
      <c r="U256" s="8" t="s">
        <v>1571</v>
      </c>
      <c r="V256">
        <v>1800</v>
      </c>
      <c r="W256">
        <v>1120</v>
      </c>
      <c r="X256">
        <v>5386.5</v>
      </c>
      <c r="Y256">
        <v>2026.5</v>
      </c>
    </row>
    <row r="257" spans="1:25" x14ac:dyDescent="0.3">
      <c r="A257" s="8" t="s">
        <v>510</v>
      </c>
      <c r="B257" s="14">
        <v>46203</v>
      </c>
      <c r="C257" s="8" t="s">
        <v>177</v>
      </c>
      <c r="D257" s="8" t="s">
        <v>23</v>
      </c>
      <c r="E257" s="8" t="s">
        <v>24</v>
      </c>
      <c r="F257">
        <v>1</v>
      </c>
      <c r="G257">
        <v>10640</v>
      </c>
      <c r="H257">
        <v>0.2</v>
      </c>
      <c r="I257" s="8" t="s">
        <v>17</v>
      </c>
      <c r="J257" s="8" t="s">
        <v>71</v>
      </c>
      <c r="K257" s="8" t="s">
        <v>67</v>
      </c>
      <c r="L257">
        <v>8512</v>
      </c>
      <c r="M257" s="8" t="s">
        <v>138</v>
      </c>
      <c r="N257">
        <v>8512</v>
      </c>
      <c r="O257" s="8" t="s">
        <v>1701</v>
      </c>
      <c r="P257" s="8" t="s">
        <v>1545</v>
      </c>
      <c r="Q257" s="8" t="s">
        <v>1541</v>
      </c>
      <c r="R257" s="8" t="s">
        <v>1546</v>
      </c>
      <c r="S257" s="8" t="s">
        <v>1542</v>
      </c>
      <c r="T257" s="8" t="s">
        <v>1574</v>
      </c>
      <c r="U257" s="8" t="s">
        <v>1575</v>
      </c>
      <c r="V257">
        <v>11200</v>
      </c>
      <c r="W257">
        <v>8300</v>
      </c>
      <c r="X257">
        <v>8512</v>
      </c>
      <c r="Y257">
        <v>212</v>
      </c>
    </row>
    <row r="258" spans="1:25" x14ac:dyDescent="0.3">
      <c r="A258" s="8" t="s">
        <v>511</v>
      </c>
      <c r="B258" s="14">
        <v>46073</v>
      </c>
      <c r="C258" s="8" t="s">
        <v>319</v>
      </c>
      <c r="D258" s="8" t="s">
        <v>62</v>
      </c>
      <c r="E258" s="8" t="s">
        <v>63</v>
      </c>
      <c r="F258">
        <v>1</v>
      </c>
      <c r="G258">
        <v>2200</v>
      </c>
      <c r="H258">
        <v>0.1</v>
      </c>
      <c r="I258" s="8" t="s">
        <v>17</v>
      </c>
      <c r="J258" s="8" t="s">
        <v>18</v>
      </c>
      <c r="K258" s="8" t="s">
        <v>25</v>
      </c>
      <c r="L258">
        <v>1980</v>
      </c>
      <c r="M258" s="8" t="s">
        <v>42</v>
      </c>
      <c r="N258">
        <v>1980</v>
      </c>
      <c r="O258" s="8" t="s">
        <v>1701</v>
      </c>
      <c r="P258" s="8" t="s">
        <v>1551</v>
      </c>
      <c r="Q258" s="8" t="s">
        <v>1549</v>
      </c>
      <c r="R258" s="8" t="s">
        <v>1552</v>
      </c>
      <c r="S258" s="8" t="s">
        <v>1542</v>
      </c>
      <c r="T258" s="8" t="s">
        <v>1572</v>
      </c>
      <c r="U258" s="8" t="s">
        <v>1571</v>
      </c>
      <c r="V258">
        <v>2200</v>
      </c>
      <c r="W258">
        <v>1450</v>
      </c>
      <c r="X258">
        <v>1980</v>
      </c>
      <c r="Y258">
        <v>530</v>
      </c>
    </row>
    <row r="259" spans="1:25" x14ac:dyDescent="0.3">
      <c r="A259" s="8" t="s">
        <v>512</v>
      </c>
      <c r="B259" s="14">
        <v>46112</v>
      </c>
      <c r="C259" s="8" t="s">
        <v>480</v>
      </c>
      <c r="D259" s="8" t="s">
        <v>35</v>
      </c>
      <c r="E259" s="8" t="s">
        <v>46</v>
      </c>
      <c r="F259">
        <v>3</v>
      </c>
      <c r="G259">
        <v>7800</v>
      </c>
      <c r="H259">
        <v>0.2</v>
      </c>
      <c r="I259" s="8" t="s">
        <v>17</v>
      </c>
      <c r="J259" s="8" t="s">
        <v>71</v>
      </c>
      <c r="K259" s="8" t="s">
        <v>67</v>
      </c>
      <c r="L259">
        <v>18720</v>
      </c>
      <c r="M259" s="8" t="s">
        <v>42</v>
      </c>
      <c r="N259">
        <v>18720</v>
      </c>
      <c r="O259" s="8" t="s">
        <v>1701</v>
      </c>
      <c r="P259" s="8" t="s">
        <v>1548</v>
      </c>
      <c r="Q259" s="8" t="s">
        <v>1549</v>
      </c>
      <c r="R259" s="8" t="s">
        <v>42</v>
      </c>
      <c r="S259" s="8" t="s">
        <v>1542</v>
      </c>
      <c r="T259" s="8" t="s">
        <v>1579</v>
      </c>
      <c r="U259" s="8" t="s">
        <v>1580</v>
      </c>
      <c r="V259">
        <v>7800</v>
      </c>
      <c r="W259">
        <v>5200</v>
      </c>
      <c r="X259">
        <v>18720</v>
      </c>
      <c r="Y259">
        <v>3120</v>
      </c>
    </row>
    <row r="260" spans="1:25" x14ac:dyDescent="0.3">
      <c r="A260" s="8" t="s">
        <v>513</v>
      </c>
      <c r="B260" s="14">
        <v>46084</v>
      </c>
      <c r="C260" s="8" t="s">
        <v>163</v>
      </c>
      <c r="D260" s="8" t="s">
        <v>45</v>
      </c>
      <c r="E260" s="8" t="s">
        <v>63</v>
      </c>
      <c r="F260">
        <v>1</v>
      </c>
      <c r="G260">
        <v>2310</v>
      </c>
      <c r="H260">
        <v>0.2</v>
      </c>
      <c r="I260" s="8" t="s">
        <v>17</v>
      </c>
      <c r="J260" s="8" t="s">
        <v>71</v>
      </c>
      <c r="K260" s="8" t="s">
        <v>25</v>
      </c>
      <c r="L260">
        <v>1848</v>
      </c>
      <c r="M260" s="8" t="s">
        <v>32</v>
      </c>
      <c r="N260">
        <v>1848</v>
      </c>
      <c r="O260" s="8" t="s">
        <v>1701</v>
      </c>
      <c r="P260" s="8" t="s">
        <v>1547</v>
      </c>
      <c r="Q260" s="8" t="s">
        <v>1541</v>
      </c>
      <c r="R260" s="8" t="s">
        <v>56</v>
      </c>
      <c r="S260" s="8" t="s">
        <v>1542</v>
      </c>
      <c r="T260" s="8" t="s">
        <v>1572</v>
      </c>
      <c r="U260" s="8" t="s">
        <v>1571</v>
      </c>
      <c r="V260">
        <v>2200</v>
      </c>
      <c r="W260">
        <v>1450</v>
      </c>
      <c r="X260">
        <v>1848</v>
      </c>
      <c r="Y260">
        <v>398</v>
      </c>
    </row>
    <row r="261" spans="1:25" x14ac:dyDescent="0.3">
      <c r="A261" s="8" t="s">
        <v>514</v>
      </c>
      <c r="B261" s="14">
        <v>46131</v>
      </c>
      <c r="C261" s="8" t="s">
        <v>501</v>
      </c>
      <c r="D261" s="8" t="s">
        <v>50</v>
      </c>
      <c r="E261" s="8" t="s">
        <v>46</v>
      </c>
      <c r="F261">
        <v>3</v>
      </c>
      <c r="G261">
        <v>7800</v>
      </c>
      <c r="H261">
        <v>0.2</v>
      </c>
      <c r="I261" s="8" t="s">
        <v>80</v>
      </c>
      <c r="J261" s="8" t="s">
        <v>47</v>
      </c>
      <c r="K261" s="8" t="s">
        <v>67</v>
      </c>
      <c r="L261">
        <v>18720</v>
      </c>
      <c r="M261" s="8" t="s">
        <v>59</v>
      </c>
      <c r="N261">
        <v>18720</v>
      </c>
      <c r="O261" s="8" t="s">
        <v>1701</v>
      </c>
      <c r="P261" s="8" t="s">
        <v>1544</v>
      </c>
      <c r="Q261" s="8" t="s">
        <v>1541</v>
      </c>
      <c r="R261" s="8" t="s">
        <v>26</v>
      </c>
      <c r="S261" s="8" t="s">
        <v>1542</v>
      </c>
      <c r="T261" s="8" t="s">
        <v>1579</v>
      </c>
      <c r="U261" s="8" t="s">
        <v>1580</v>
      </c>
      <c r="V261">
        <v>7800</v>
      </c>
      <c r="W261">
        <v>5200</v>
      </c>
      <c r="X261">
        <v>0</v>
      </c>
      <c r="Y261">
        <v>-15600</v>
      </c>
    </row>
    <row r="262" spans="1:25" x14ac:dyDescent="0.3">
      <c r="A262" s="8" t="s">
        <v>515</v>
      </c>
      <c r="B262" s="14">
        <v>46070</v>
      </c>
      <c r="C262" s="8" t="s">
        <v>167</v>
      </c>
      <c r="D262" s="8" t="s">
        <v>35</v>
      </c>
      <c r="E262" s="8" t="s">
        <v>46</v>
      </c>
      <c r="F262">
        <v>3</v>
      </c>
      <c r="G262">
        <v>8190</v>
      </c>
      <c r="H262">
        <v>0.05</v>
      </c>
      <c r="I262" s="8" t="s">
        <v>80</v>
      </c>
      <c r="J262" s="8" t="s">
        <v>71</v>
      </c>
      <c r="K262" s="8" t="s">
        <v>55</v>
      </c>
      <c r="L262">
        <v>23341.5</v>
      </c>
      <c r="M262" s="8" t="s">
        <v>82</v>
      </c>
      <c r="N262">
        <v>23341.5</v>
      </c>
      <c r="O262" s="8" t="s">
        <v>1701</v>
      </c>
      <c r="P262" s="8" t="s">
        <v>1548</v>
      </c>
      <c r="Q262" s="8" t="s">
        <v>1549</v>
      </c>
      <c r="R262" s="8" t="s">
        <v>42</v>
      </c>
      <c r="S262" s="8" t="s">
        <v>1542</v>
      </c>
      <c r="T262" s="8" t="s">
        <v>1579</v>
      </c>
      <c r="U262" s="8" t="s">
        <v>1580</v>
      </c>
      <c r="V262">
        <v>7800</v>
      </c>
      <c r="W262">
        <v>5200</v>
      </c>
      <c r="X262">
        <v>0</v>
      </c>
      <c r="Y262">
        <v>-15600</v>
      </c>
    </row>
    <row r="263" spans="1:25" x14ac:dyDescent="0.3">
      <c r="A263" s="8" t="s">
        <v>516</v>
      </c>
      <c r="B263" s="14">
        <v>46152</v>
      </c>
      <c r="C263" s="8" t="s">
        <v>409</v>
      </c>
      <c r="D263" s="8" t="s">
        <v>95</v>
      </c>
      <c r="E263" s="8" t="s">
        <v>46</v>
      </c>
      <c r="F263">
        <v>2</v>
      </c>
      <c r="G263">
        <v>8190</v>
      </c>
      <c r="H263">
        <v>0.1</v>
      </c>
      <c r="I263" s="8" t="s">
        <v>17</v>
      </c>
      <c r="J263" s="8" t="s">
        <v>71</v>
      </c>
      <c r="K263" s="8" t="s">
        <v>1698</v>
      </c>
      <c r="L263">
        <v>14742</v>
      </c>
      <c r="M263" s="8" t="s">
        <v>48</v>
      </c>
      <c r="N263">
        <v>14742</v>
      </c>
      <c r="O263" s="8" t="s">
        <v>1701</v>
      </c>
      <c r="P263" s="8" t="s">
        <v>1556</v>
      </c>
      <c r="Q263" s="8" t="s">
        <v>1554</v>
      </c>
      <c r="R263" s="8" t="s">
        <v>1557</v>
      </c>
      <c r="S263" s="8" t="s">
        <v>1542</v>
      </c>
      <c r="T263" s="8" t="s">
        <v>1579</v>
      </c>
      <c r="U263" s="8" t="s">
        <v>1580</v>
      </c>
      <c r="V263">
        <v>7800</v>
      </c>
      <c r="W263">
        <v>5200</v>
      </c>
      <c r="X263">
        <v>14742</v>
      </c>
      <c r="Y263">
        <v>4342</v>
      </c>
    </row>
    <row r="264" spans="1:25" x14ac:dyDescent="0.3">
      <c r="A264" s="8" t="s">
        <v>517</v>
      </c>
      <c r="B264" s="14">
        <v>46030</v>
      </c>
      <c r="C264" s="8" t="s">
        <v>487</v>
      </c>
      <c r="D264" s="8" t="s">
        <v>29</v>
      </c>
      <c r="E264" s="8" t="s">
        <v>24</v>
      </c>
      <c r="F264">
        <v>1</v>
      </c>
      <c r="G264">
        <v>11200</v>
      </c>
      <c r="H264">
        <v>0.05</v>
      </c>
      <c r="I264" s="8" t="s">
        <v>17</v>
      </c>
      <c r="J264" s="8" t="s">
        <v>18</v>
      </c>
      <c r="K264" s="8" t="s">
        <v>25</v>
      </c>
      <c r="L264">
        <v>10640</v>
      </c>
      <c r="M264" s="8" t="s">
        <v>56</v>
      </c>
      <c r="N264">
        <v>10640</v>
      </c>
      <c r="O264" s="8" t="s">
        <v>1701</v>
      </c>
      <c r="P264" s="8" t="s">
        <v>1560</v>
      </c>
      <c r="Q264" s="8" t="s">
        <v>1559</v>
      </c>
      <c r="R264" s="8" t="s">
        <v>1561</v>
      </c>
      <c r="S264" s="8" t="s">
        <v>1542</v>
      </c>
      <c r="T264" s="8" t="s">
        <v>1574</v>
      </c>
      <c r="U264" s="8" t="s">
        <v>1575</v>
      </c>
      <c r="V264">
        <v>11200</v>
      </c>
      <c r="W264">
        <v>8300</v>
      </c>
      <c r="X264">
        <v>10640</v>
      </c>
      <c r="Y264">
        <v>2340</v>
      </c>
    </row>
    <row r="265" spans="1:25" x14ac:dyDescent="0.3">
      <c r="A265" s="8" t="s">
        <v>518</v>
      </c>
      <c r="B265" s="14">
        <v>46163</v>
      </c>
      <c r="C265" s="8" t="s">
        <v>519</v>
      </c>
      <c r="D265" s="8" t="s">
        <v>152</v>
      </c>
      <c r="E265" s="8" t="s">
        <v>63</v>
      </c>
      <c r="F265">
        <v>3</v>
      </c>
      <c r="G265">
        <v>2200</v>
      </c>
      <c r="H265">
        <v>0.05</v>
      </c>
      <c r="I265" s="8" t="s">
        <v>17</v>
      </c>
      <c r="J265" s="8" t="s">
        <v>18</v>
      </c>
      <c r="K265" s="8" t="s">
        <v>25</v>
      </c>
      <c r="L265">
        <v>6270</v>
      </c>
      <c r="M265" s="8" t="s">
        <v>52</v>
      </c>
      <c r="N265">
        <v>6270</v>
      </c>
      <c r="O265" s="8" t="s">
        <v>1701</v>
      </c>
      <c r="P265" s="8" t="s">
        <v>1553</v>
      </c>
      <c r="Q265" s="8" t="s">
        <v>1554</v>
      </c>
      <c r="R265" s="8" t="s">
        <v>59</v>
      </c>
      <c r="S265" s="8" t="s">
        <v>1542</v>
      </c>
      <c r="T265" s="8" t="s">
        <v>1572</v>
      </c>
      <c r="U265" s="8" t="s">
        <v>1571</v>
      </c>
      <c r="V265">
        <v>2200</v>
      </c>
      <c r="W265">
        <v>1450</v>
      </c>
      <c r="X265">
        <v>6270</v>
      </c>
      <c r="Y265">
        <v>1920</v>
      </c>
    </row>
    <row r="266" spans="1:25" x14ac:dyDescent="0.3">
      <c r="A266" s="8" t="s">
        <v>520</v>
      </c>
      <c r="B266" s="14">
        <v>46131</v>
      </c>
      <c r="C266" s="8" t="s">
        <v>336</v>
      </c>
      <c r="D266" s="8" t="s">
        <v>15</v>
      </c>
      <c r="E266" s="8" t="s">
        <v>85</v>
      </c>
      <c r="F266">
        <v>4</v>
      </c>
      <c r="G266">
        <v>46075</v>
      </c>
      <c r="H266">
        <v>0</v>
      </c>
      <c r="I266" s="8" t="s">
        <v>17</v>
      </c>
      <c r="J266" s="8" t="s">
        <v>47</v>
      </c>
      <c r="K266" s="8" t="s">
        <v>67</v>
      </c>
      <c r="L266">
        <v>184300</v>
      </c>
      <c r="M266" s="8" t="s">
        <v>42</v>
      </c>
      <c r="N266">
        <v>184300</v>
      </c>
      <c r="O266" s="8" t="s">
        <v>1701</v>
      </c>
      <c r="P266" s="8" t="s">
        <v>1543</v>
      </c>
      <c r="Q266" s="8" t="s">
        <v>1541</v>
      </c>
      <c r="R266" s="8" t="s">
        <v>52</v>
      </c>
      <c r="S266" s="8" t="s">
        <v>1542</v>
      </c>
      <c r="T266" s="8" t="s">
        <v>1585</v>
      </c>
      <c r="U266" s="8" t="s">
        <v>1586</v>
      </c>
      <c r="V266">
        <v>48500</v>
      </c>
      <c r="W266">
        <v>41200</v>
      </c>
      <c r="X266">
        <v>184300</v>
      </c>
      <c r="Y266">
        <v>19500</v>
      </c>
    </row>
    <row r="267" spans="1:25" x14ac:dyDescent="0.3">
      <c r="A267" s="8" t="s">
        <v>521</v>
      </c>
      <c r="B267" s="14">
        <v>46135</v>
      </c>
      <c r="C267" s="8" t="s">
        <v>522</v>
      </c>
      <c r="D267" s="8" t="s">
        <v>90</v>
      </c>
      <c r="E267" s="8" t="s">
        <v>63</v>
      </c>
      <c r="F267">
        <v>4</v>
      </c>
      <c r="G267">
        <v>2200</v>
      </c>
      <c r="H267">
        <v>0</v>
      </c>
      <c r="I267" s="8" t="s">
        <v>17</v>
      </c>
      <c r="J267" s="8" t="s">
        <v>71</v>
      </c>
      <c r="K267" s="8" t="s">
        <v>25</v>
      </c>
      <c r="L267">
        <v>8800</v>
      </c>
      <c r="M267" s="8" t="s">
        <v>59</v>
      </c>
      <c r="N267">
        <v>8800</v>
      </c>
      <c r="O267" s="8" t="s">
        <v>1701</v>
      </c>
      <c r="P267" s="8" t="s">
        <v>1562</v>
      </c>
      <c r="Q267" s="8" t="s">
        <v>1563</v>
      </c>
      <c r="R267" s="8" t="s">
        <v>48</v>
      </c>
      <c r="S267" s="8" t="s">
        <v>1542</v>
      </c>
      <c r="T267" s="8" t="s">
        <v>1572</v>
      </c>
      <c r="U267" s="8" t="s">
        <v>1571</v>
      </c>
      <c r="V267">
        <v>2200</v>
      </c>
      <c r="W267">
        <v>1450</v>
      </c>
      <c r="X267">
        <v>8800</v>
      </c>
      <c r="Y267">
        <v>3000</v>
      </c>
    </row>
    <row r="268" spans="1:25" x14ac:dyDescent="0.3">
      <c r="A268" s="8" t="s">
        <v>523</v>
      </c>
      <c r="B268" s="14">
        <v>46075</v>
      </c>
      <c r="C268" s="8" t="s">
        <v>487</v>
      </c>
      <c r="D268" s="8" t="s">
        <v>90</v>
      </c>
      <c r="E268" s="8" t="s">
        <v>24</v>
      </c>
      <c r="F268">
        <v>4</v>
      </c>
      <c r="G268">
        <v>11200</v>
      </c>
      <c r="H268">
        <v>0.15</v>
      </c>
      <c r="I268" s="8" t="s">
        <v>17</v>
      </c>
      <c r="J268" s="8" t="s">
        <v>47</v>
      </c>
      <c r="K268" s="8" t="s">
        <v>67</v>
      </c>
      <c r="L268">
        <v>38080</v>
      </c>
      <c r="M268" s="8" t="s">
        <v>26</v>
      </c>
      <c r="N268">
        <v>38080</v>
      </c>
      <c r="O268" s="8" t="s">
        <v>1701</v>
      </c>
      <c r="P268" s="8" t="s">
        <v>1562</v>
      </c>
      <c r="Q268" s="8" t="s">
        <v>1563</v>
      </c>
      <c r="R268" s="8" t="s">
        <v>48</v>
      </c>
      <c r="S268" s="8" t="s">
        <v>1542</v>
      </c>
      <c r="T268" s="8" t="s">
        <v>1574</v>
      </c>
      <c r="U268" s="8" t="s">
        <v>1575</v>
      </c>
      <c r="V268">
        <v>11200</v>
      </c>
      <c r="W268">
        <v>8300</v>
      </c>
      <c r="X268">
        <v>38080</v>
      </c>
      <c r="Y268">
        <v>4880</v>
      </c>
    </row>
    <row r="269" spans="1:25" x14ac:dyDescent="0.3">
      <c r="A269" s="8" t="s">
        <v>524</v>
      </c>
      <c r="B269" s="14">
        <v>46169</v>
      </c>
      <c r="C269" s="8" t="s">
        <v>328</v>
      </c>
      <c r="D269" s="8" t="s">
        <v>45</v>
      </c>
      <c r="E269" s="8" t="s">
        <v>51</v>
      </c>
      <c r="F269">
        <v>10</v>
      </c>
      <c r="G269">
        <v>18500</v>
      </c>
      <c r="H269">
        <v>0.2</v>
      </c>
      <c r="I269" s="8" t="s">
        <v>17</v>
      </c>
      <c r="J269" s="8" t="s">
        <v>31</v>
      </c>
      <c r="K269" s="8" t="s">
        <v>67</v>
      </c>
      <c r="L269">
        <v>148000</v>
      </c>
      <c r="M269" s="8" t="s">
        <v>59</v>
      </c>
      <c r="N269">
        <v>148000</v>
      </c>
      <c r="O269" s="8" t="s">
        <v>1701</v>
      </c>
      <c r="P269" s="8" t="s">
        <v>1547</v>
      </c>
      <c r="Q269" s="8" t="s">
        <v>1541</v>
      </c>
      <c r="R269" s="8" t="s">
        <v>56</v>
      </c>
      <c r="S269" s="8" t="s">
        <v>1542</v>
      </c>
      <c r="T269" s="8" t="s">
        <v>1581</v>
      </c>
      <c r="U269" s="8" t="s">
        <v>1580</v>
      </c>
      <c r="V269">
        <v>18500</v>
      </c>
      <c r="W269">
        <v>13900</v>
      </c>
      <c r="X269">
        <v>148000</v>
      </c>
      <c r="Y269">
        <v>9000</v>
      </c>
    </row>
    <row r="270" spans="1:25" x14ac:dyDescent="0.3">
      <c r="A270" s="8" t="s">
        <v>525</v>
      </c>
      <c r="B270" s="14">
        <v>46202</v>
      </c>
      <c r="C270" s="8" t="s">
        <v>494</v>
      </c>
      <c r="D270" s="8" t="s">
        <v>90</v>
      </c>
      <c r="E270" s="8" t="s">
        <v>30</v>
      </c>
      <c r="F270">
        <v>1</v>
      </c>
      <c r="G270">
        <v>1800</v>
      </c>
      <c r="H270">
        <v>0.2</v>
      </c>
      <c r="I270" s="8" t="s">
        <v>17</v>
      </c>
      <c r="J270" s="8" t="s">
        <v>18</v>
      </c>
      <c r="K270" s="8" t="s">
        <v>41</v>
      </c>
      <c r="L270">
        <v>1440</v>
      </c>
      <c r="M270" s="8" t="s">
        <v>48</v>
      </c>
      <c r="N270">
        <v>1440</v>
      </c>
      <c r="O270" s="8" t="s">
        <v>1701</v>
      </c>
      <c r="P270" s="8" t="s">
        <v>1562</v>
      </c>
      <c r="Q270" s="8" t="s">
        <v>1563</v>
      </c>
      <c r="R270" s="8" t="s">
        <v>48</v>
      </c>
      <c r="S270" s="8" t="s">
        <v>1542</v>
      </c>
      <c r="T270" s="8" t="s">
        <v>1573</v>
      </c>
      <c r="U270" s="8" t="s">
        <v>1571</v>
      </c>
      <c r="V270">
        <v>1800</v>
      </c>
      <c r="W270">
        <v>1120</v>
      </c>
      <c r="X270">
        <v>1440</v>
      </c>
      <c r="Y270">
        <v>320</v>
      </c>
    </row>
    <row r="271" spans="1:25" x14ac:dyDescent="0.3">
      <c r="A271" s="8" t="s">
        <v>526</v>
      </c>
      <c r="B271" s="14">
        <v>46184</v>
      </c>
      <c r="C271" s="8" t="s">
        <v>106</v>
      </c>
      <c r="D271" s="8" t="s">
        <v>45</v>
      </c>
      <c r="E271" s="8" t="s">
        <v>74</v>
      </c>
      <c r="F271">
        <v>2</v>
      </c>
      <c r="G271">
        <v>2280</v>
      </c>
      <c r="H271">
        <v>0.1</v>
      </c>
      <c r="I271" s="8" t="s">
        <v>17</v>
      </c>
      <c r="J271" s="8" t="s">
        <v>47</v>
      </c>
      <c r="K271" s="8" t="s">
        <v>67</v>
      </c>
      <c r="L271">
        <v>4104</v>
      </c>
      <c r="M271" s="8" t="s">
        <v>56</v>
      </c>
      <c r="N271">
        <v>4104</v>
      </c>
      <c r="O271" s="8" t="s">
        <v>1701</v>
      </c>
      <c r="P271" s="8" t="s">
        <v>1547</v>
      </c>
      <c r="Q271" s="8" t="s">
        <v>1541</v>
      </c>
      <c r="R271" s="8" t="s">
        <v>56</v>
      </c>
      <c r="S271" s="8" t="s">
        <v>1542</v>
      </c>
      <c r="T271" s="8" t="s">
        <v>1584</v>
      </c>
      <c r="U271" s="8" t="s">
        <v>1583</v>
      </c>
      <c r="V271">
        <v>2400</v>
      </c>
      <c r="W271">
        <v>1480</v>
      </c>
      <c r="X271">
        <v>4104</v>
      </c>
      <c r="Y271">
        <v>1144</v>
      </c>
    </row>
    <row r="272" spans="1:25" x14ac:dyDescent="0.3">
      <c r="A272" s="8" t="s">
        <v>527</v>
      </c>
      <c r="B272" s="14">
        <v>46147</v>
      </c>
      <c r="C272" s="8" t="s">
        <v>528</v>
      </c>
      <c r="D272" s="8" t="s">
        <v>35</v>
      </c>
      <c r="E272" s="8" t="s">
        <v>183</v>
      </c>
      <c r="F272">
        <v>1</v>
      </c>
      <c r="G272">
        <v>3360</v>
      </c>
      <c r="H272">
        <v>0.2</v>
      </c>
      <c r="I272" s="8" t="s">
        <v>17</v>
      </c>
      <c r="J272" s="8" t="s">
        <v>31</v>
      </c>
      <c r="K272" s="8" t="s">
        <v>25</v>
      </c>
      <c r="L272">
        <v>2688</v>
      </c>
      <c r="M272" s="8" t="s">
        <v>32</v>
      </c>
      <c r="N272">
        <v>2688</v>
      </c>
      <c r="O272" s="8" t="s">
        <v>1701</v>
      </c>
      <c r="P272" s="8" t="s">
        <v>1548</v>
      </c>
      <c r="Q272" s="8" t="s">
        <v>1549</v>
      </c>
      <c r="R272" s="8" t="s">
        <v>42</v>
      </c>
      <c r="S272" s="8" t="s">
        <v>1542</v>
      </c>
      <c r="T272" s="8" t="s">
        <v>1582</v>
      </c>
      <c r="U272" s="8" t="s">
        <v>1583</v>
      </c>
      <c r="V272">
        <v>3200</v>
      </c>
      <c r="W272">
        <v>2050</v>
      </c>
      <c r="X272">
        <v>2688</v>
      </c>
      <c r="Y272">
        <v>638</v>
      </c>
    </row>
    <row r="273" spans="1:25" x14ac:dyDescent="0.3">
      <c r="A273" s="8" t="s">
        <v>529</v>
      </c>
      <c r="B273" s="14">
        <v>46078</v>
      </c>
      <c r="C273" s="8" t="s">
        <v>269</v>
      </c>
      <c r="D273" s="8" t="s">
        <v>70</v>
      </c>
      <c r="E273" s="8" t="s">
        <v>24</v>
      </c>
      <c r="F273">
        <v>2</v>
      </c>
      <c r="G273">
        <v>11200</v>
      </c>
      <c r="H273">
        <v>0.05</v>
      </c>
      <c r="I273" s="8" t="s">
        <v>17</v>
      </c>
      <c r="J273" s="8" t="s">
        <v>18</v>
      </c>
      <c r="K273" s="8" t="s">
        <v>67</v>
      </c>
      <c r="L273">
        <v>21280</v>
      </c>
      <c r="M273" s="8" t="s">
        <v>20</v>
      </c>
      <c r="N273">
        <v>21280</v>
      </c>
      <c r="O273" s="8" t="s">
        <v>1701</v>
      </c>
      <c r="P273" s="8" t="s">
        <v>1550</v>
      </c>
      <c r="Q273" s="8" t="s">
        <v>1549</v>
      </c>
      <c r="R273" s="8" t="s">
        <v>32</v>
      </c>
      <c r="S273" s="8" t="s">
        <v>1542</v>
      </c>
      <c r="T273" s="8" t="s">
        <v>1574</v>
      </c>
      <c r="U273" s="8" t="s">
        <v>1575</v>
      </c>
      <c r="V273">
        <v>11200</v>
      </c>
      <c r="W273">
        <v>8300</v>
      </c>
      <c r="X273">
        <v>21280</v>
      </c>
      <c r="Y273">
        <v>4680</v>
      </c>
    </row>
    <row r="274" spans="1:25" x14ac:dyDescent="0.3">
      <c r="A274" s="8" t="s">
        <v>530</v>
      </c>
      <c r="B274" s="14">
        <v>46034</v>
      </c>
      <c r="C274" s="8" t="s">
        <v>491</v>
      </c>
      <c r="D274" s="8" t="s">
        <v>15</v>
      </c>
      <c r="E274" s="8" t="s">
        <v>74</v>
      </c>
      <c r="F274">
        <v>4</v>
      </c>
      <c r="G274">
        <v>2400</v>
      </c>
      <c r="H274">
        <v>0.1</v>
      </c>
      <c r="I274" s="8" t="s">
        <v>17</v>
      </c>
      <c r="J274" s="8" t="s">
        <v>18</v>
      </c>
      <c r="K274" s="8" t="s">
        <v>1698</v>
      </c>
      <c r="L274">
        <v>8640</v>
      </c>
      <c r="M274" s="8" t="s">
        <v>32</v>
      </c>
      <c r="N274">
        <v>8640</v>
      </c>
      <c r="O274" s="8" t="s">
        <v>1701</v>
      </c>
      <c r="P274" s="8" t="s">
        <v>1543</v>
      </c>
      <c r="Q274" s="8" t="s">
        <v>1541</v>
      </c>
      <c r="R274" s="8" t="s">
        <v>52</v>
      </c>
      <c r="S274" s="8" t="s">
        <v>1542</v>
      </c>
      <c r="T274" s="8" t="s">
        <v>1584</v>
      </c>
      <c r="U274" s="8" t="s">
        <v>1583</v>
      </c>
      <c r="V274">
        <v>2400</v>
      </c>
      <c r="W274">
        <v>1480</v>
      </c>
      <c r="X274">
        <v>8640</v>
      </c>
      <c r="Y274">
        <v>2720</v>
      </c>
    </row>
    <row r="275" spans="1:25" x14ac:dyDescent="0.3">
      <c r="A275" s="8" t="s">
        <v>531</v>
      </c>
      <c r="B275" s="14">
        <v>46074</v>
      </c>
      <c r="C275" s="8" t="s">
        <v>146</v>
      </c>
      <c r="D275" s="8" t="s">
        <v>123</v>
      </c>
      <c r="E275" s="8" t="s">
        <v>30</v>
      </c>
      <c r="F275">
        <v>5</v>
      </c>
      <c r="G275">
        <v>1800</v>
      </c>
      <c r="H275">
        <v>0.05</v>
      </c>
      <c r="I275" s="8" t="s">
        <v>17</v>
      </c>
      <c r="J275" s="8" t="s">
        <v>47</v>
      </c>
      <c r="K275" s="8" t="s">
        <v>67</v>
      </c>
      <c r="L275">
        <v>8550</v>
      </c>
      <c r="M275" s="8" t="s">
        <v>42</v>
      </c>
      <c r="N275">
        <v>8550</v>
      </c>
      <c r="O275" s="8" t="s">
        <v>1701</v>
      </c>
      <c r="P275" s="8" t="s">
        <v>1558</v>
      </c>
      <c r="Q275" s="8" t="s">
        <v>1559</v>
      </c>
      <c r="R275" s="8" t="s">
        <v>138</v>
      </c>
      <c r="S275" s="8" t="s">
        <v>1542</v>
      </c>
      <c r="T275" s="8" t="s">
        <v>1573</v>
      </c>
      <c r="U275" s="8" t="s">
        <v>1571</v>
      </c>
      <c r="V275">
        <v>1800</v>
      </c>
      <c r="W275">
        <v>1120</v>
      </c>
      <c r="X275">
        <v>8550</v>
      </c>
      <c r="Y275">
        <v>2950</v>
      </c>
    </row>
    <row r="276" spans="1:25" x14ac:dyDescent="0.3">
      <c r="A276" s="8" t="s">
        <v>532</v>
      </c>
      <c r="B276" s="14">
        <v>46118</v>
      </c>
      <c r="C276" s="8" t="s">
        <v>522</v>
      </c>
      <c r="D276" s="8" t="s">
        <v>95</v>
      </c>
      <c r="E276" s="8" t="s">
        <v>74</v>
      </c>
      <c r="F276">
        <v>1</v>
      </c>
      <c r="G276">
        <v>2400</v>
      </c>
      <c r="H276">
        <v>0.1</v>
      </c>
      <c r="I276" s="8" t="s">
        <v>17</v>
      </c>
      <c r="J276" s="8" t="s">
        <v>31</v>
      </c>
      <c r="K276" s="8" t="s">
        <v>1698</v>
      </c>
      <c r="L276">
        <v>2160</v>
      </c>
      <c r="M276" s="8" t="s">
        <v>20</v>
      </c>
      <c r="N276">
        <v>2160</v>
      </c>
      <c r="O276" s="8" t="s">
        <v>1701</v>
      </c>
      <c r="P276" s="8" t="s">
        <v>1556</v>
      </c>
      <c r="Q276" s="8" t="s">
        <v>1554</v>
      </c>
      <c r="R276" s="8" t="s">
        <v>1557</v>
      </c>
      <c r="S276" s="8" t="s">
        <v>1542</v>
      </c>
      <c r="T276" s="8" t="s">
        <v>1584</v>
      </c>
      <c r="U276" s="8" t="s">
        <v>1583</v>
      </c>
      <c r="V276">
        <v>2400</v>
      </c>
      <c r="W276">
        <v>1480</v>
      </c>
      <c r="X276">
        <v>2160</v>
      </c>
      <c r="Y276">
        <v>680</v>
      </c>
    </row>
    <row r="277" spans="1:25" x14ac:dyDescent="0.3">
      <c r="A277" s="8" t="s">
        <v>533</v>
      </c>
      <c r="B277" s="14">
        <v>46077</v>
      </c>
      <c r="C277" s="8" t="s">
        <v>111</v>
      </c>
      <c r="D277" s="8" t="s">
        <v>62</v>
      </c>
      <c r="E277" s="8" t="s">
        <v>63</v>
      </c>
      <c r="F277">
        <v>1</v>
      </c>
      <c r="G277">
        <v>2310</v>
      </c>
      <c r="H277">
        <v>0</v>
      </c>
      <c r="I277" s="8" t="s">
        <v>17</v>
      </c>
      <c r="J277" s="8" t="s">
        <v>31</v>
      </c>
      <c r="K277" s="8" t="s">
        <v>67</v>
      </c>
      <c r="L277">
        <v>2310</v>
      </c>
      <c r="M277" s="8" t="s">
        <v>42</v>
      </c>
      <c r="N277">
        <v>2310</v>
      </c>
      <c r="O277" s="8" t="s">
        <v>1701</v>
      </c>
      <c r="P277" s="8" t="s">
        <v>1551</v>
      </c>
      <c r="Q277" s="8" t="s">
        <v>1549</v>
      </c>
      <c r="R277" s="8" t="s">
        <v>1552</v>
      </c>
      <c r="S277" s="8" t="s">
        <v>1542</v>
      </c>
      <c r="T277" s="8" t="s">
        <v>1572</v>
      </c>
      <c r="U277" s="8" t="s">
        <v>1571</v>
      </c>
      <c r="V277">
        <v>2200</v>
      </c>
      <c r="W277">
        <v>1450</v>
      </c>
      <c r="X277">
        <v>2310</v>
      </c>
      <c r="Y277">
        <v>860</v>
      </c>
    </row>
    <row r="278" spans="1:25" x14ac:dyDescent="0.3">
      <c r="A278" s="8" t="s">
        <v>534</v>
      </c>
      <c r="B278" s="14">
        <v>46131</v>
      </c>
      <c r="C278" s="8" t="s">
        <v>177</v>
      </c>
      <c r="D278" s="8" t="s">
        <v>123</v>
      </c>
      <c r="E278" s="8" t="s">
        <v>30</v>
      </c>
      <c r="F278">
        <v>2</v>
      </c>
      <c r="G278">
        <v>1710</v>
      </c>
      <c r="H278">
        <v>0</v>
      </c>
      <c r="I278" s="8" t="s">
        <v>17</v>
      </c>
      <c r="J278" s="8" t="s">
        <v>47</v>
      </c>
      <c r="K278" s="8" t="s">
        <v>67</v>
      </c>
      <c r="L278">
        <v>3420</v>
      </c>
      <c r="M278" s="8" t="s">
        <v>26</v>
      </c>
      <c r="N278">
        <v>3420</v>
      </c>
      <c r="O278" s="8" t="s">
        <v>1701</v>
      </c>
      <c r="P278" s="8" t="s">
        <v>1558</v>
      </c>
      <c r="Q278" s="8" t="s">
        <v>1559</v>
      </c>
      <c r="R278" s="8" t="s">
        <v>138</v>
      </c>
      <c r="S278" s="8" t="s">
        <v>1542</v>
      </c>
      <c r="T278" s="8" t="s">
        <v>1573</v>
      </c>
      <c r="U278" s="8" t="s">
        <v>1571</v>
      </c>
      <c r="V278">
        <v>1800</v>
      </c>
      <c r="W278">
        <v>1120</v>
      </c>
      <c r="X278">
        <v>3420</v>
      </c>
      <c r="Y278">
        <v>1180</v>
      </c>
    </row>
    <row r="279" spans="1:25" x14ac:dyDescent="0.3">
      <c r="A279" s="8" t="s">
        <v>535</v>
      </c>
      <c r="B279" s="14">
        <v>46058</v>
      </c>
      <c r="C279" s="8" t="s">
        <v>165</v>
      </c>
      <c r="D279" s="8" t="s">
        <v>70</v>
      </c>
      <c r="E279" s="8" t="s">
        <v>30</v>
      </c>
      <c r="F279">
        <v>3</v>
      </c>
      <c r="G279">
        <v>1710</v>
      </c>
      <c r="H279">
        <v>0.2</v>
      </c>
      <c r="I279" s="8" t="s">
        <v>17</v>
      </c>
      <c r="J279" s="8" t="s">
        <v>18</v>
      </c>
      <c r="K279" s="8" t="s">
        <v>67</v>
      </c>
      <c r="L279">
        <v>4104</v>
      </c>
      <c r="M279" s="8" t="s">
        <v>52</v>
      </c>
      <c r="N279">
        <v>4104</v>
      </c>
      <c r="O279" s="8" t="s">
        <v>1701</v>
      </c>
      <c r="P279" s="8" t="s">
        <v>1550</v>
      </c>
      <c r="Q279" s="8" t="s">
        <v>1549</v>
      </c>
      <c r="R279" s="8" t="s">
        <v>32</v>
      </c>
      <c r="S279" s="8" t="s">
        <v>1542</v>
      </c>
      <c r="T279" s="8" t="s">
        <v>1573</v>
      </c>
      <c r="U279" s="8" t="s">
        <v>1571</v>
      </c>
      <c r="V279">
        <v>1800</v>
      </c>
      <c r="W279">
        <v>1120</v>
      </c>
      <c r="X279">
        <v>4104</v>
      </c>
      <c r="Y279">
        <v>744</v>
      </c>
    </row>
    <row r="280" spans="1:25" x14ac:dyDescent="0.3">
      <c r="A280" s="8" t="s">
        <v>536</v>
      </c>
      <c r="B280" s="14">
        <v>46183</v>
      </c>
      <c r="C280" s="8" t="s">
        <v>14</v>
      </c>
      <c r="D280" s="8" t="s">
        <v>123</v>
      </c>
      <c r="E280" s="8" t="s">
        <v>30</v>
      </c>
      <c r="F280">
        <v>5</v>
      </c>
      <c r="G280">
        <v>1800</v>
      </c>
      <c r="H280">
        <v>0.15</v>
      </c>
      <c r="I280" s="8" t="s">
        <v>17</v>
      </c>
      <c r="J280" s="8" t="s">
        <v>31</v>
      </c>
      <c r="K280" s="8" t="s">
        <v>41</v>
      </c>
      <c r="L280">
        <v>7650</v>
      </c>
      <c r="M280" s="8" t="s">
        <v>42</v>
      </c>
      <c r="N280">
        <v>7650</v>
      </c>
      <c r="O280" s="8" t="s">
        <v>1701</v>
      </c>
      <c r="P280" s="8" t="s">
        <v>1558</v>
      </c>
      <c r="Q280" s="8" t="s">
        <v>1559</v>
      </c>
      <c r="R280" s="8" t="s">
        <v>138</v>
      </c>
      <c r="S280" s="8" t="s">
        <v>1542</v>
      </c>
      <c r="T280" s="8" t="s">
        <v>1573</v>
      </c>
      <c r="U280" s="8" t="s">
        <v>1571</v>
      </c>
      <c r="V280">
        <v>1800</v>
      </c>
      <c r="W280">
        <v>1120</v>
      </c>
      <c r="X280">
        <v>7650</v>
      </c>
      <c r="Y280">
        <v>2050</v>
      </c>
    </row>
    <row r="281" spans="1:25" x14ac:dyDescent="0.3">
      <c r="A281" s="8" t="s">
        <v>537</v>
      </c>
      <c r="B281" s="14">
        <v>46173</v>
      </c>
      <c r="C281" s="8" t="s">
        <v>384</v>
      </c>
      <c r="D281" s="8" t="s">
        <v>123</v>
      </c>
      <c r="E281" s="8" t="s">
        <v>161</v>
      </c>
      <c r="F281">
        <v>2</v>
      </c>
      <c r="G281">
        <v>2600</v>
      </c>
      <c r="H281">
        <v>0.1</v>
      </c>
      <c r="I281" s="8" t="s">
        <v>17</v>
      </c>
      <c r="J281" s="8" t="s">
        <v>47</v>
      </c>
      <c r="K281" s="8" t="s">
        <v>1698</v>
      </c>
      <c r="L281">
        <v>4680</v>
      </c>
      <c r="M281" s="8" t="s">
        <v>52</v>
      </c>
      <c r="N281">
        <v>4680</v>
      </c>
      <c r="O281" s="8" t="s">
        <v>1701</v>
      </c>
      <c r="P281" s="8" t="s">
        <v>1558</v>
      </c>
      <c r="Q281" s="8" t="s">
        <v>1559</v>
      </c>
      <c r="R281" s="8" t="s">
        <v>138</v>
      </c>
      <c r="S281" s="8" t="s">
        <v>1542</v>
      </c>
      <c r="T281" s="8" t="s">
        <v>1578</v>
      </c>
      <c r="U281" s="8" t="s">
        <v>1571</v>
      </c>
      <c r="V281">
        <v>2600</v>
      </c>
      <c r="W281">
        <v>1750</v>
      </c>
      <c r="X281">
        <v>4680</v>
      </c>
      <c r="Y281">
        <v>1180</v>
      </c>
    </row>
    <row r="282" spans="1:25" x14ac:dyDescent="0.3">
      <c r="A282" s="8" t="s">
        <v>538</v>
      </c>
      <c r="B282" s="14">
        <v>46164</v>
      </c>
      <c r="C282" s="8" t="s">
        <v>142</v>
      </c>
      <c r="D282" s="8" t="s">
        <v>40</v>
      </c>
      <c r="E282" s="8" t="s">
        <v>183</v>
      </c>
      <c r="F282">
        <v>3</v>
      </c>
      <c r="G282">
        <v>3040</v>
      </c>
      <c r="H282">
        <v>0.05</v>
      </c>
      <c r="I282" s="8" t="s">
        <v>17</v>
      </c>
      <c r="J282" s="8" t="s">
        <v>71</v>
      </c>
      <c r="K282" s="8" t="s">
        <v>25</v>
      </c>
      <c r="L282">
        <v>8664</v>
      </c>
      <c r="M282" s="8" t="s">
        <v>48</v>
      </c>
      <c r="N282">
        <v>8664</v>
      </c>
      <c r="O282" s="8" t="s">
        <v>1701</v>
      </c>
      <c r="P282" s="8" t="s">
        <v>1555</v>
      </c>
      <c r="Q282" s="8" t="s">
        <v>1554</v>
      </c>
      <c r="R282" s="8" t="s">
        <v>82</v>
      </c>
      <c r="S282" s="8" t="s">
        <v>1542</v>
      </c>
      <c r="T282" s="8" t="s">
        <v>1582</v>
      </c>
      <c r="U282" s="8" t="s">
        <v>1583</v>
      </c>
      <c r="V282">
        <v>3200</v>
      </c>
      <c r="W282">
        <v>2050</v>
      </c>
      <c r="X282">
        <v>8664</v>
      </c>
      <c r="Y282">
        <v>2514</v>
      </c>
    </row>
    <row r="283" spans="1:25" x14ac:dyDescent="0.3">
      <c r="A283" s="8" t="s">
        <v>539</v>
      </c>
      <c r="B283" s="14">
        <v>46153</v>
      </c>
      <c r="C283" s="8" t="s">
        <v>232</v>
      </c>
      <c r="D283" s="8" t="s">
        <v>23</v>
      </c>
      <c r="E283" s="8" t="s">
        <v>85</v>
      </c>
      <c r="F283">
        <v>2</v>
      </c>
      <c r="G283">
        <v>48500</v>
      </c>
      <c r="H283">
        <v>0.2</v>
      </c>
      <c r="I283" s="8" t="s">
        <v>17</v>
      </c>
      <c r="J283" s="8" t="s">
        <v>18</v>
      </c>
      <c r="K283" s="8" t="s">
        <v>1698</v>
      </c>
      <c r="L283">
        <v>77600</v>
      </c>
      <c r="M283" s="8" t="s">
        <v>52</v>
      </c>
      <c r="N283">
        <v>77600</v>
      </c>
      <c r="O283" s="8" t="s">
        <v>1701</v>
      </c>
      <c r="P283" s="8" t="s">
        <v>1545</v>
      </c>
      <c r="Q283" s="8" t="s">
        <v>1541</v>
      </c>
      <c r="R283" s="8" t="s">
        <v>1546</v>
      </c>
      <c r="S283" s="8" t="s">
        <v>1542</v>
      </c>
      <c r="T283" s="8" t="s">
        <v>1585</v>
      </c>
      <c r="U283" s="8" t="s">
        <v>1586</v>
      </c>
      <c r="V283">
        <v>48500</v>
      </c>
      <c r="W283">
        <v>41200</v>
      </c>
      <c r="X283">
        <v>77600</v>
      </c>
      <c r="Y283">
        <v>-4800</v>
      </c>
    </row>
    <row r="284" spans="1:25" x14ac:dyDescent="0.3">
      <c r="A284" s="8" t="s">
        <v>540</v>
      </c>
      <c r="B284" s="14">
        <v>46150</v>
      </c>
      <c r="C284" s="8" t="s">
        <v>326</v>
      </c>
      <c r="D284" s="8" t="s">
        <v>95</v>
      </c>
      <c r="E284" s="8" t="s">
        <v>183</v>
      </c>
      <c r="F284">
        <v>1</v>
      </c>
      <c r="G284">
        <v>3200</v>
      </c>
      <c r="H284">
        <v>0</v>
      </c>
      <c r="I284" s="8" t="s">
        <v>116</v>
      </c>
      <c r="J284" s="8" t="s">
        <v>18</v>
      </c>
      <c r="K284" s="8" t="s">
        <v>25</v>
      </c>
      <c r="L284">
        <v>3200</v>
      </c>
      <c r="M284" s="8" t="s">
        <v>32</v>
      </c>
      <c r="N284">
        <v>3200</v>
      </c>
      <c r="O284" s="8" t="s">
        <v>1701</v>
      </c>
      <c r="P284" s="8" t="s">
        <v>1556</v>
      </c>
      <c r="Q284" s="8" t="s">
        <v>1554</v>
      </c>
      <c r="R284" s="8" t="s">
        <v>1557</v>
      </c>
      <c r="S284" s="8" t="s">
        <v>1542</v>
      </c>
      <c r="T284" s="8" t="s">
        <v>1582</v>
      </c>
      <c r="U284" s="8" t="s">
        <v>1583</v>
      </c>
      <c r="V284">
        <v>3200</v>
      </c>
      <c r="W284">
        <v>2050</v>
      </c>
      <c r="X284">
        <v>0</v>
      </c>
      <c r="Y284">
        <v>-2050</v>
      </c>
    </row>
    <row r="285" spans="1:25" x14ac:dyDescent="0.3">
      <c r="A285" s="8" t="s">
        <v>541</v>
      </c>
      <c r="B285" s="14">
        <v>46116</v>
      </c>
      <c r="C285" s="8" t="s">
        <v>467</v>
      </c>
      <c r="D285" s="8" t="s">
        <v>152</v>
      </c>
      <c r="E285" s="8" t="s">
        <v>74</v>
      </c>
      <c r="F285">
        <v>1</v>
      </c>
      <c r="G285">
        <v>2280</v>
      </c>
      <c r="H285">
        <v>0.1</v>
      </c>
      <c r="I285" s="8" t="s">
        <v>80</v>
      </c>
      <c r="J285" s="8" t="s">
        <v>31</v>
      </c>
      <c r="K285" s="8" t="s">
        <v>1698</v>
      </c>
      <c r="L285">
        <v>2052</v>
      </c>
      <c r="M285" s="8" t="s">
        <v>26</v>
      </c>
      <c r="N285">
        <v>2052</v>
      </c>
      <c r="O285" s="8" t="s">
        <v>1701</v>
      </c>
      <c r="P285" s="8" t="s">
        <v>1553</v>
      </c>
      <c r="Q285" s="8" t="s">
        <v>1554</v>
      </c>
      <c r="R285" s="8" t="s">
        <v>59</v>
      </c>
      <c r="S285" s="8" t="s">
        <v>1542</v>
      </c>
      <c r="T285" s="8" t="s">
        <v>1584</v>
      </c>
      <c r="U285" s="8" t="s">
        <v>1583</v>
      </c>
      <c r="V285">
        <v>2400</v>
      </c>
      <c r="W285">
        <v>1480</v>
      </c>
      <c r="X285">
        <v>0</v>
      </c>
      <c r="Y285">
        <v>-1480</v>
      </c>
    </row>
    <row r="286" spans="1:25" x14ac:dyDescent="0.3">
      <c r="A286" s="8" t="s">
        <v>542</v>
      </c>
      <c r="B286" s="14">
        <v>46078</v>
      </c>
      <c r="C286" s="8" t="s">
        <v>61</v>
      </c>
      <c r="D286" s="8" t="s">
        <v>168</v>
      </c>
      <c r="E286" s="8" t="s">
        <v>16</v>
      </c>
      <c r="F286">
        <v>8</v>
      </c>
      <c r="G286">
        <v>682.5</v>
      </c>
      <c r="H286">
        <v>0.1</v>
      </c>
      <c r="I286" s="8" t="s">
        <v>17</v>
      </c>
      <c r="J286" s="8" t="s">
        <v>18</v>
      </c>
      <c r="K286" s="8" t="s">
        <v>1698</v>
      </c>
      <c r="L286">
        <v>4914</v>
      </c>
      <c r="M286" s="8" t="s">
        <v>82</v>
      </c>
      <c r="N286">
        <v>4914</v>
      </c>
      <c r="O286" s="8" t="s">
        <v>1701</v>
      </c>
      <c r="P286" s="8" t="s">
        <v>1540</v>
      </c>
      <c r="Q286" s="8" t="s">
        <v>1541</v>
      </c>
      <c r="R286" s="8" t="s">
        <v>20</v>
      </c>
      <c r="S286" s="8" t="s">
        <v>1542</v>
      </c>
      <c r="T286" s="8" t="s">
        <v>1570</v>
      </c>
      <c r="U286" s="8" t="s">
        <v>1571</v>
      </c>
      <c r="V286">
        <v>650</v>
      </c>
      <c r="W286">
        <v>390</v>
      </c>
      <c r="X286">
        <v>4914</v>
      </c>
      <c r="Y286">
        <v>1794</v>
      </c>
    </row>
    <row r="287" spans="1:25" x14ac:dyDescent="0.3">
      <c r="A287" s="8" t="s">
        <v>543</v>
      </c>
      <c r="B287" s="14">
        <v>46160</v>
      </c>
      <c r="C287" s="8" t="s">
        <v>101</v>
      </c>
      <c r="D287" s="8" t="s">
        <v>40</v>
      </c>
      <c r="E287" s="8" t="s">
        <v>30</v>
      </c>
      <c r="F287">
        <v>1</v>
      </c>
      <c r="G287">
        <v>1800</v>
      </c>
      <c r="H287">
        <v>0.05</v>
      </c>
      <c r="I287" s="8" t="s">
        <v>17</v>
      </c>
      <c r="J287" s="8" t="s">
        <v>47</v>
      </c>
      <c r="K287" s="8" t="s">
        <v>55</v>
      </c>
      <c r="L287">
        <v>1710</v>
      </c>
      <c r="M287" s="8" t="s">
        <v>48</v>
      </c>
      <c r="N287">
        <v>1710</v>
      </c>
      <c r="O287" s="8" t="s">
        <v>1701</v>
      </c>
      <c r="P287" s="8" t="s">
        <v>1555</v>
      </c>
      <c r="Q287" s="8" t="s">
        <v>1554</v>
      </c>
      <c r="R287" s="8" t="s">
        <v>82</v>
      </c>
      <c r="S287" s="8" t="s">
        <v>1542</v>
      </c>
      <c r="T287" s="8" t="s">
        <v>1573</v>
      </c>
      <c r="U287" s="8" t="s">
        <v>1571</v>
      </c>
      <c r="V287">
        <v>1800</v>
      </c>
      <c r="W287">
        <v>1120</v>
      </c>
      <c r="X287">
        <v>1710</v>
      </c>
      <c r="Y287">
        <v>590</v>
      </c>
    </row>
    <row r="288" spans="1:25" x14ac:dyDescent="0.3">
      <c r="A288" s="8" t="s">
        <v>544</v>
      </c>
      <c r="B288" s="14">
        <v>46185</v>
      </c>
      <c r="C288" s="8" t="s">
        <v>156</v>
      </c>
      <c r="D288" s="8" t="s">
        <v>29</v>
      </c>
      <c r="E288" s="8" t="s">
        <v>74</v>
      </c>
      <c r="F288">
        <v>3</v>
      </c>
      <c r="G288">
        <v>2520</v>
      </c>
      <c r="H288">
        <v>0</v>
      </c>
      <c r="I288" s="8" t="s">
        <v>17</v>
      </c>
      <c r="J288" s="8" t="s">
        <v>31</v>
      </c>
      <c r="K288" s="8" t="s">
        <v>41</v>
      </c>
      <c r="L288">
        <v>7560</v>
      </c>
      <c r="M288" s="8" t="s">
        <v>42</v>
      </c>
      <c r="N288">
        <v>7560</v>
      </c>
      <c r="O288" s="8" t="s">
        <v>1701</v>
      </c>
      <c r="P288" s="8" t="s">
        <v>1560</v>
      </c>
      <c r="Q288" s="8" t="s">
        <v>1559</v>
      </c>
      <c r="R288" s="8" t="s">
        <v>1561</v>
      </c>
      <c r="S288" s="8" t="s">
        <v>1542</v>
      </c>
      <c r="T288" s="8" t="s">
        <v>1584</v>
      </c>
      <c r="U288" s="8" t="s">
        <v>1583</v>
      </c>
      <c r="V288">
        <v>2400</v>
      </c>
      <c r="W288">
        <v>1480</v>
      </c>
      <c r="X288">
        <v>7560</v>
      </c>
      <c r="Y288">
        <v>3120</v>
      </c>
    </row>
    <row r="289" spans="1:25" x14ac:dyDescent="0.3">
      <c r="A289" s="8" t="s">
        <v>545</v>
      </c>
      <c r="B289" s="14">
        <v>46134</v>
      </c>
      <c r="C289" s="8" t="s">
        <v>546</v>
      </c>
      <c r="D289" s="8" t="s">
        <v>15</v>
      </c>
      <c r="E289" s="8" t="s">
        <v>46</v>
      </c>
      <c r="F289">
        <v>3</v>
      </c>
      <c r="G289">
        <v>7800</v>
      </c>
      <c r="H289">
        <v>0</v>
      </c>
      <c r="I289" s="8" t="s">
        <v>17</v>
      </c>
      <c r="J289" s="8" t="s">
        <v>31</v>
      </c>
      <c r="K289" s="8" t="s">
        <v>41</v>
      </c>
      <c r="L289">
        <v>23400</v>
      </c>
      <c r="M289" s="8" t="s">
        <v>20</v>
      </c>
      <c r="N289">
        <v>23400</v>
      </c>
      <c r="O289" s="8" t="s">
        <v>1701</v>
      </c>
      <c r="P289" s="8" t="s">
        <v>1543</v>
      </c>
      <c r="Q289" s="8" t="s">
        <v>1541</v>
      </c>
      <c r="R289" s="8" t="s">
        <v>52</v>
      </c>
      <c r="S289" s="8" t="s">
        <v>1542</v>
      </c>
      <c r="T289" s="8" t="s">
        <v>1579</v>
      </c>
      <c r="U289" s="8" t="s">
        <v>1580</v>
      </c>
      <c r="V289">
        <v>7800</v>
      </c>
      <c r="W289">
        <v>5200</v>
      </c>
      <c r="X289">
        <v>23400</v>
      </c>
      <c r="Y289">
        <v>7800</v>
      </c>
    </row>
    <row r="290" spans="1:25" x14ac:dyDescent="0.3">
      <c r="A290" s="8" t="s">
        <v>547</v>
      </c>
      <c r="B290" s="14">
        <v>46064</v>
      </c>
      <c r="C290" s="8" t="s">
        <v>371</v>
      </c>
      <c r="D290" s="8" t="s">
        <v>62</v>
      </c>
      <c r="E290" s="8" t="s">
        <v>36</v>
      </c>
      <c r="F290">
        <v>2</v>
      </c>
      <c r="G290">
        <v>1400</v>
      </c>
      <c r="H290">
        <v>0.2</v>
      </c>
      <c r="I290" s="8" t="s">
        <v>17</v>
      </c>
      <c r="J290" s="8" t="s">
        <v>47</v>
      </c>
      <c r="K290" s="8" t="s">
        <v>1698</v>
      </c>
      <c r="L290">
        <v>2240</v>
      </c>
      <c r="M290" s="8" t="s">
        <v>20</v>
      </c>
      <c r="N290">
        <v>2240</v>
      </c>
      <c r="O290" s="8" t="s">
        <v>1701</v>
      </c>
      <c r="P290" s="8" t="s">
        <v>1551</v>
      </c>
      <c r="Q290" s="8" t="s">
        <v>1549</v>
      </c>
      <c r="R290" s="8" t="s">
        <v>1552</v>
      </c>
      <c r="S290" s="8" t="s">
        <v>1542</v>
      </c>
      <c r="T290" s="8" t="s">
        <v>1577</v>
      </c>
      <c r="U290" s="8" t="s">
        <v>1571</v>
      </c>
      <c r="V290">
        <v>1400</v>
      </c>
      <c r="W290">
        <v>780</v>
      </c>
      <c r="X290">
        <v>2240</v>
      </c>
      <c r="Y290">
        <v>680</v>
      </c>
    </row>
    <row r="291" spans="1:25" x14ac:dyDescent="0.3">
      <c r="A291" s="8" t="s">
        <v>548</v>
      </c>
      <c r="B291" s="14">
        <v>46108</v>
      </c>
      <c r="C291" s="8" t="s">
        <v>353</v>
      </c>
      <c r="D291" s="8" t="s">
        <v>29</v>
      </c>
      <c r="E291" s="8" t="s">
        <v>161</v>
      </c>
      <c r="F291">
        <v>1</v>
      </c>
      <c r="G291">
        <v>2470</v>
      </c>
      <c r="H291">
        <v>0</v>
      </c>
      <c r="I291" s="8" t="s">
        <v>17</v>
      </c>
      <c r="J291" s="8" t="s">
        <v>18</v>
      </c>
      <c r="K291" s="8" t="s">
        <v>25</v>
      </c>
      <c r="L291">
        <v>2470</v>
      </c>
      <c r="M291" s="8" t="s">
        <v>138</v>
      </c>
      <c r="N291">
        <v>2470</v>
      </c>
      <c r="O291" s="8" t="s">
        <v>1701</v>
      </c>
      <c r="P291" s="8" t="s">
        <v>1560</v>
      </c>
      <c r="Q291" s="8" t="s">
        <v>1559</v>
      </c>
      <c r="R291" s="8" t="s">
        <v>1561</v>
      </c>
      <c r="S291" s="8" t="s">
        <v>1542</v>
      </c>
      <c r="T291" s="8" t="s">
        <v>1578</v>
      </c>
      <c r="U291" s="8" t="s">
        <v>1571</v>
      </c>
      <c r="V291">
        <v>2600</v>
      </c>
      <c r="W291">
        <v>1750</v>
      </c>
      <c r="X291">
        <v>2470</v>
      </c>
      <c r="Y291">
        <v>720</v>
      </c>
    </row>
    <row r="292" spans="1:25" x14ac:dyDescent="0.3">
      <c r="A292" s="8" t="s">
        <v>549</v>
      </c>
      <c r="B292" s="14">
        <v>46037</v>
      </c>
      <c r="C292" s="8" t="s">
        <v>217</v>
      </c>
      <c r="D292" s="8" t="s">
        <v>62</v>
      </c>
      <c r="E292" s="8" t="s">
        <v>183</v>
      </c>
      <c r="F292">
        <v>1</v>
      </c>
      <c r="G292">
        <v>3040</v>
      </c>
      <c r="H292">
        <v>0</v>
      </c>
      <c r="I292" s="8" t="s">
        <v>17</v>
      </c>
      <c r="J292" s="8" t="s">
        <v>71</v>
      </c>
      <c r="K292" s="8" t="s">
        <v>25</v>
      </c>
      <c r="L292">
        <v>3040</v>
      </c>
      <c r="M292" s="8" t="s">
        <v>20</v>
      </c>
      <c r="N292">
        <v>3040</v>
      </c>
      <c r="O292" s="8" t="s">
        <v>1701</v>
      </c>
      <c r="P292" s="8" t="s">
        <v>1551</v>
      </c>
      <c r="Q292" s="8" t="s">
        <v>1549</v>
      </c>
      <c r="R292" s="8" t="s">
        <v>1552</v>
      </c>
      <c r="S292" s="8" t="s">
        <v>1542</v>
      </c>
      <c r="T292" s="8" t="s">
        <v>1582</v>
      </c>
      <c r="U292" s="8" t="s">
        <v>1583</v>
      </c>
      <c r="V292">
        <v>3200</v>
      </c>
      <c r="W292">
        <v>2050</v>
      </c>
      <c r="X292">
        <v>3040</v>
      </c>
      <c r="Y292">
        <v>990</v>
      </c>
    </row>
    <row r="293" spans="1:25" x14ac:dyDescent="0.3">
      <c r="A293" s="8" t="s">
        <v>550</v>
      </c>
      <c r="B293" s="14">
        <v>46034</v>
      </c>
      <c r="C293" s="8" t="s">
        <v>551</v>
      </c>
      <c r="D293" s="8" t="s">
        <v>90</v>
      </c>
      <c r="E293" s="8" t="s">
        <v>16</v>
      </c>
      <c r="F293">
        <v>1</v>
      </c>
      <c r="G293">
        <v>650</v>
      </c>
      <c r="H293">
        <v>0.1</v>
      </c>
      <c r="I293" s="8" t="s">
        <v>17</v>
      </c>
      <c r="J293" s="8" t="s">
        <v>31</v>
      </c>
      <c r="K293" s="8" t="s">
        <v>25</v>
      </c>
      <c r="L293">
        <v>585</v>
      </c>
      <c r="M293" s="8" t="s">
        <v>32</v>
      </c>
      <c r="N293">
        <v>585</v>
      </c>
      <c r="O293" s="8" t="s">
        <v>1701</v>
      </c>
      <c r="P293" s="8" t="s">
        <v>1562</v>
      </c>
      <c r="Q293" s="8" t="s">
        <v>1563</v>
      </c>
      <c r="R293" s="8" t="s">
        <v>48</v>
      </c>
      <c r="S293" s="8" t="s">
        <v>1542</v>
      </c>
      <c r="T293" s="8" t="s">
        <v>1570</v>
      </c>
      <c r="U293" s="8" t="s">
        <v>1571</v>
      </c>
      <c r="V293">
        <v>650</v>
      </c>
      <c r="W293">
        <v>390</v>
      </c>
      <c r="X293">
        <v>585</v>
      </c>
      <c r="Y293">
        <v>195</v>
      </c>
    </row>
    <row r="294" spans="1:25" x14ac:dyDescent="0.3">
      <c r="A294" s="8" t="s">
        <v>553</v>
      </c>
      <c r="B294" s="14">
        <v>46068</v>
      </c>
      <c r="C294" s="8" t="s">
        <v>554</v>
      </c>
      <c r="D294" s="8" t="s">
        <v>23</v>
      </c>
      <c r="E294" s="8" t="s">
        <v>51</v>
      </c>
      <c r="F294">
        <v>10</v>
      </c>
      <c r="G294">
        <v>19425</v>
      </c>
      <c r="H294">
        <v>0.1</v>
      </c>
      <c r="I294" s="8" t="s">
        <v>17</v>
      </c>
      <c r="J294" s="8" t="s">
        <v>47</v>
      </c>
      <c r="K294" s="8" t="s">
        <v>67</v>
      </c>
      <c r="L294">
        <v>174825</v>
      </c>
      <c r="M294" s="8" t="s">
        <v>42</v>
      </c>
      <c r="N294">
        <v>174825</v>
      </c>
      <c r="O294" s="8" t="s">
        <v>1701</v>
      </c>
      <c r="P294" s="8" t="s">
        <v>1545</v>
      </c>
      <c r="Q294" s="8" t="s">
        <v>1541</v>
      </c>
      <c r="R294" s="8" t="s">
        <v>1546</v>
      </c>
      <c r="S294" s="8" t="s">
        <v>1542</v>
      </c>
      <c r="T294" s="8" t="s">
        <v>1581</v>
      </c>
      <c r="U294" s="8" t="s">
        <v>1580</v>
      </c>
      <c r="V294">
        <v>18500</v>
      </c>
      <c r="W294">
        <v>13900</v>
      </c>
      <c r="X294">
        <v>174825</v>
      </c>
      <c r="Y294">
        <v>35825</v>
      </c>
    </row>
    <row r="295" spans="1:25" x14ac:dyDescent="0.3">
      <c r="A295" s="8" t="s">
        <v>555</v>
      </c>
      <c r="B295" s="14">
        <v>46164</v>
      </c>
      <c r="C295" s="8" t="s">
        <v>414</v>
      </c>
      <c r="D295" s="8" t="s">
        <v>62</v>
      </c>
      <c r="E295" s="8" t="s">
        <v>16</v>
      </c>
      <c r="F295">
        <v>2</v>
      </c>
      <c r="G295">
        <v>650</v>
      </c>
      <c r="H295">
        <v>0.05</v>
      </c>
      <c r="I295" s="8" t="s">
        <v>17</v>
      </c>
      <c r="J295" s="8" t="s">
        <v>18</v>
      </c>
      <c r="K295" s="8" t="s">
        <v>67</v>
      </c>
      <c r="L295">
        <v>1235</v>
      </c>
      <c r="M295" s="8" t="s">
        <v>48</v>
      </c>
      <c r="N295">
        <v>1235</v>
      </c>
      <c r="O295" s="8" t="s">
        <v>1701</v>
      </c>
      <c r="P295" s="8" t="s">
        <v>1551</v>
      </c>
      <c r="Q295" s="8" t="s">
        <v>1549</v>
      </c>
      <c r="R295" s="8" t="s">
        <v>1552</v>
      </c>
      <c r="S295" s="8" t="s">
        <v>1542</v>
      </c>
      <c r="T295" s="8" t="s">
        <v>1570</v>
      </c>
      <c r="U295" s="8" t="s">
        <v>1571</v>
      </c>
      <c r="V295">
        <v>650</v>
      </c>
      <c r="W295">
        <v>390</v>
      </c>
      <c r="X295">
        <v>1235</v>
      </c>
      <c r="Y295">
        <v>455</v>
      </c>
    </row>
    <row r="296" spans="1:25" x14ac:dyDescent="0.3">
      <c r="A296" s="8" t="s">
        <v>556</v>
      </c>
      <c r="B296" s="14">
        <v>46149</v>
      </c>
      <c r="C296" s="8" t="s">
        <v>200</v>
      </c>
      <c r="D296" s="8" t="s">
        <v>29</v>
      </c>
      <c r="E296" s="8" t="s">
        <v>24</v>
      </c>
      <c r="F296">
        <v>4</v>
      </c>
      <c r="G296">
        <v>11200</v>
      </c>
      <c r="H296">
        <v>0.15</v>
      </c>
      <c r="I296" s="8" t="s">
        <v>17</v>
      </c>
      <c r="J296" s="8" t="s">
        <v>31</v>
      </c>
      <c r="K296" s="8" t="s">
        <v>55</v>
      </c>
      <c r="L296">
        <v>38080</v>
      </c>
      <c r="M296" s="8" t="s">
        <v>20</v>
      </c>
      <c r="N296">
        <v>38080</v>
      </c>
      <c r="O296" s="8" t="s">
        <v>1701</v>
      </c>
      <c r="P296" s="8" t="s">
        <v>1560</v>
      </c>
      <c r="Q296" s="8" t="s">
        <v>1559</v>
      </c>
      <c r="R296" s="8" t="s">
        <v>1561</v>
      </c>
      <c r="S296" s="8" t="s">
        <v>1542</v>
      </c>
      <c r="T296" s="8" t="s">
        <v>1574</v>
      </c>
      <c r="U296" s="8" t="s">
        <v>1575</v>
      </c>
      <c r="V296">
        <v>11200</v>
      </c>
      <c r="W296">
        <v>8300</v>
      </c>
      <c r="X296">
        <v>38080</v>
      </c>
      <c r="Y296">
        <v>4880</v>
      </c>
    </row>
    <row r="297" spans="1:25" x14ac:dyDescent="0.3">
      <c r="A297" s="8" t="s">
        <v>557</v>
      </c>
      <c r="B297" s="14">
        <v>46082</v>
      </c>
      <c r="C297" s="8" t="s">
        <v>73</v>
      </c>
      <c r="D297" s="8" t="s">
        <v>152</v>
      </c>
      <c r="E297" s="8" t="s">
        <v>36</v>
      </c>
      <c r="F297">
        <v>3</v>
      </c>
      <c r="G297">
        <v>1400</v>
      </c>
      <c r="H297">
        <v>0.2</v>
      </c>
      <c r="I297" s="8" t="s">
        <v>66</v>
      </c>
      <c r="J297" s="8" t="s">
        <v>18</v>
      </c>
      <c r="K297" s="8" t="s">
        <v>67</v>
      </c>
      <c r="L297">
        <v>3360</v>
      </c>
      <c r="M297" s="8" t="s">
        <v>1702</v>
      </c>
      <c r="N297">
        <v>3360</v>
      </c>
      <c r="O297" s="8" t="s">
        <v>1701</v>
      </c>
      <c r="P297" s="8" t="s">
        <v>1553</v>
      </c>
      <c r="Q297" s="8" t="s">
        <v>1554</v>
      </c>
      <c r="R297" s="8" t="s">
        <v>59</v>
      </c>
      <c r="S297" s="8" t="s">
        <v>1542</v>
      </c>
      <c r="T297" s="8" t="s">
        <v>1577</v>
      </c>
      <c r="U297" s="8" t="s">
        <v>1571</v>
      </c>
      <c r="V297">
        <v>1400</v>
      </c>
      <c r="W297">
        <v>780</v>
      </c>
      <c r="X297">
        <v>0</v>
      </c>
      <c r="Y297">
        <v>-2340</v>
      </c>
    </row>
    <row r="298" spans="1:25" x14ac:dyDescent="0.3">
      <c r="A298" s="8" t="s">
        <v>558</v>
      </c>
      <c r="B298" s="14">
        <v>46075</v>
      </c>
      <c r="C298" s="8" t="s">
        <v>559</v>
      </c>
      <c r="D298" s="8" t="s">
        <v>152</v>
      </c>
      <c r="E298" s="8" t="s">
        <v>24</v>
      </c>
      <c r="F298">
        <v>2</v>
      </c>
      <c r="G298">
        <v>11200</v>
      </c>
      <c r="H298">
        <v>0</v>
      </c>
      <c r="I298" s="8" t="s">
        <v>116</v>
      </c>
      <c r="J298" s="8" t="s">
        <v>31</v>
      </c>
      <c r="K298" s="8" t="s">
        <v>1698</v>
      </c>
      <c r="L298">
        <v>22400</v>
      </c>
      <c r="M298" s="8" t="s">
        <v>52</v>
      </c>
      <c r="N298">
        <v>22400</v>
      </c>
      <c r="O298" s="8" t="s">
        <v>1701</v>
      </c>
      <c r="P298" s="8" t="s">
        <v>1553</v>
      </c>
      <c r="Q298" s="8" t="s">
        <v>1554</v>
      </c>
      <c r="R298" s="8" t="s">
        <v>59</v>
      </c>
      <c r="S298" s="8" t="s">
        <v>1542</v>
      </c>
      <c r="T298" s="8" t="s">
        <v>1574</v>
      </c>
      <c r="U298" s="8" t="s">
        <v>1575</v>
      </c>
      <c r="V298">
        <v>11200</v>
      </c>
      <c r="W298">
        <v>8300</v>
      </c>
      <c r="X298">
        <v>0</v>
      </c>
      <c r="Y298">
        <v>-16600</v>
      </c>
    </row>
    <row r="299" spans="1:25" x14ac:dyDescent="0.3">
      <c r="A299" s="8" t="s">
        <v>560</v>
      </c>
      <c r="B299" s="14">
        <v>46156</v>
      </c>
      <c r="C299" s="8" t="s">
        <v>561</v>
      </c>
      <c r="D299" s="8" t="s">
        <v>70</v>
      </c>
      <c r="E299" s="8" t="s">
        <v>85</v>
      </c>
      <c r="F299">
        <v>5</v>
      </c>
      <c r="G299">
        <v>46075</v>
      </c>
      <c r="H299">
        <v>0.1</v>
      </c>
      <c r="I299" s="8" t="s">
        <v>116</v>
      </c>
      <c r="J299" s="8" t="s">
        <v>71</v>
      </c>
      <c r="K299" s="8" t="s">
        <v>55</v>
      </c>
      <c r="L299">
        <v>207337.5</v>
      </c>
      <c r="M299" s="8" t="s">
        <v>42</v>
      </c>
      <c r="N299">
        <v>207337.5</v>
      </c>
      <c r="O299" s="8" t="s">
        <v>1701</v>
      </c>
      <c r="P299" s="8" t="s">
        <v>1550</v>
      </c>
      <c r="Q299" s="8" t="s">
        <v>1549</v>
      </c>
      <c r="R299" s="8" t="s">
        <v>32</v>
      </c>
      <c r="S299" s="8" t="s">
        <v>1542</v>
      </c>
      <c r="T299" s="8" t="s">
        <v>1585</v>
      </c>
      <c r="U299" s="8" t="s">
        <v>1586</v>
      </c>
      <c r="V299">
        <v>48500</v>
      </c>
      <c r="W299">
        <v>41200</v>
      </c>
      <c r="X299">
        <v>0</v>
      </c>
      <c r="Y299">
        <v>-206000</v>
      </c>
    </row>
    <row r="300" spans="1:25" x14ac:dyDescent="0.3">
      <c r="A300" s="8" t="s">
        <v>562</v>
      </c>
      <c r="B300" s="14">
        <v>46174</v>
      </c>
      <c r="C300" s="8" t="s">
        <v>192</v>
      </c>
      <c r="D300" s="8" t="s">
        <v>40</v>
      </c>
      <c r="E300" s="8" t="s">
        <v>16</v>
      </c>
      <c r="F300">
        <v>2</v>
      </c>
      <c r="G300">
        <v>650</v>
      </c>
      <c r="H300">
        <v>0</v>
      </c>
      <c r="I300" s="8" t="s">
        <v>17</v>
      </c>
      <c r="J300" s="8" t="s">
        <v>18</v>
      </c>
      <c r="K300" s="8" t="s">
        <v>67</v>
      </c>
      <c r="L300">
        <v>1300</v>
      </c>
      <c r="M300" s="8" t="s">
        <v>138</v>
      </c>
      <c r="N300">
        <v>1300</v>
      </c>
      <c r="O300" s="8" t="s">
        <v>1701</v>
      </c>
      <c r="P300" s="8" t="s">
        <v>1555</v>
      </c>
      <c r="Q300" s="8" t="s">
        <v>1554</v>
      </c>
      <c r="R300" s="8" t="s">
        <v>82</v>
      </c>
      <c r="S300" s="8" t="s">
        <v>1542</v>
      </c>
      <c r="T300" s="8" t="s">
        <v>1570</v>
      </c>
      <c r="U300" s="8" t="s">
        <v>1571</v>
      </c>
      <c r="V300">
        <v>650</v>
      </c>
      <c r="W300">
        <v>390</v>
      </c>
      <c r="X300">
        <v>1300</v>
      </c>
      <c r="Y300">
        <v>520</v>
      </c>
    </row>
    <row r="301" spans="1:25" x14ac:dyDescent="0.3">
      <c r="A301" s="8" t="s">
        <v>563</v>
      </c>
      <c r="B301" s="14">
        <v>46138</v>
      </c>
      <c r="C301" s="8" t="s">
        <v>101</v>
      </c>
      <c r="D301" s="8" t="s">
        <v>45</v>
      </c>
      <c r="E301" s="8" t="s">
        <v>24</v>
      </c>
      <c r="F301">
        <v>1</v>
      </c>
      <c r="G301">
        <v>10640</v>
      </c>
      <c r="H301">
        <v>0</v>
      </c>
      <c r="I301" s="8" t="s">
        <v>17</v>
      </c>
      <c r="J301" s="8" t="s">
        <v>31</v>
      </c>
      <c r="K301" s="8" t="s">
        <v>41</v>
      </c>
      <c r="L301">
        <v>10640</v>
      </c>
      <c r="M301" s="8" t="s">
        <v>56</v>
      </c>
      <c r="N301">
        <v>10640</v>
      </c>
      <c r="O301" s="8" t="s">
        <v>1701</v>
      </c>
      <c r="P301" s="8" t="s">
        <v>1547</v>
      </c>
      <c r="Q301" s="8" t="s">
        <v>1541</v>
      </c>
      <c r="R301" s="8" t="s">
        <v>56</v>
      </c>
      <c r="S301" s="8" t="s">
        <v>1542</v>
      </c>
      <c r="T301" s="8" t="s">
        <v>1574</v>
      </c>
      <c r="U301" s="8" t="s">
        <v>1575</v>
      </c>
      <c r="V301">
        <v>11200</v>
      </c>
      <c r="W301">
        <v>8300</v>
      </c>
      <c r="X301">
        <v>10640</v>
      </c>
      <c r="Y301">
        <v>2340</v>
      </c>
    </row>
    <row r="302" spans="1:25" x14ac:dyDescent="0.3">
      <c r="A302" s="8" t="s">
        <v>564</v>
      </c>
      <c r="B302" s="14">
        <v>46142</v>
      </c>
      <c r="C302" s="8" t="s">
        <v>84</v>
      </c>
      <c r="D302" s="8" t="s">
        <v>35</v>
      </c>
      <c r="E302" s="8" t="s">
        <v>161</v>
      </c>
      <c r="F302">
        <v>1</v>
      </c>
      <c r="G302">
        <v>2600</v>
      </c>
      <c r="H302">
        <v>0.05</v>
      </c>
      <c r="I302" s="8" t="s">
        <v>116</v>
      </c>
      <c r="J302" s="8" t="s">
        <v>47</v>
      </c>
      <c r="K302" s="8" t="s">
        <v>55</v>
      </c>
      <c r="L302">
        <v>2470</v>
      </c>
      <c r="M302" s="8" t="s">
        <v>26</v>
      </c>
      <c r="N302">
        <v>2470</v>
      </c>
      <c r="O302" s="8" t="s">
        <v>1701</v>
      </c>
      <c r="P302" s="8" t="s">
        <v>1548</v>
      </c>
      <c r="Q302" s="8" t="s">
        <v>1549</v>
      </c>
      <c r="R302" s="8" t="s">
        <v>42</v>
      </c>
      <c r="S302" s="8" t="s">
        <v>1542</v>
      </c>
      <c r="T302" s="8" t="s">
        <v>1578</v>
      </c>
      <c r="U302" s="8" t="s">
        <v>1571</v>
      </c>
      <c r="V302">
        <v>2600</v>
      </c>
      <c r="W302">
        <v>1750</v>
      </c>
      <c r="X302">
        <v>0</v>
      </c>
      <c r="Y302">
        <v>-1750</v>
      </c>
    </row>
    <row r="303" spans="1:25" x14ac:dyDescent="0.3">
      <c r="A303" s="8" t="s">
        <v>565</v>
      </c>
      <c r="B303" s="14">
        <v>46053</v>
      </c>
      <c r="C303" s="8" t="s">
        <v>566</v>
      </c>
      <c r="D303" s="8" t="s">
        <v>15</v>
      </c>
      <c r="E303" s="8" t="s">
        <v>30</v>
      </c>
      <c r="F303">
        <v>4</v>
      </c>
      <c r="G303">
        <v>1710</v>
      </c>
      <c r="H303">
        <v>0.05</v>
      </c>
      <c r="I303" s="8" t="s">
        <v>17</v>
      </c>
      <c r="J303" s="8" t="s">
        <v>47</v>
      </c>
      <c r="K303" s="8" t="s">
        <v>41</v>
      </c>
      <c r="L303">
        <v>6498</v>
      </c>
      <c r="M303" s="8" t="s">
        <v>42</v>
      </c>
      <c r="N303">
        <v>6498</v>
      </c>
      <c r="O303" s="8" t="s">
        <v>1701</v>
      </c>
      <c r="P303" s="8" t="s">
        <v>1543</v>
      </c>
      <c r="Q303" s="8" t="s">
        <v>1541</v>
      </c>
      <c r="R303" s="8" t="s">
        <v>52</v>
      </c>
      <c r="S303" s="8" t="s">
        <v>1542</v>
      </c>
      <c r="T303" s="8" t="s">
        <v>1573</v>
      </c>
      <c r="U303" s="8" t="s">
        <v>1571</v>
      </c>
      <c r="V303">
        <v>1800</v>
      </c>
      <c r="W303">
        <v>1120</v>
      </c>
      <c r="X303">
        <v>6498</v>
      </c>
      <c r="Y303">
        <v>2018</v>
      </c>
    </row>
    <row r="304" spans="1:25" x14ac:dyDescent="0.3">
      <c r="A304" s="8" t="s">
        <v>567</v>
      </c>
      <c r="B304" s="14">
        <v>46086</v>
      </c>
      <c r="C304" s="8" t="s">
        <v>568</v>
      </c>
      <c r="D304" s="8" t="s">
        <v>35</v>
      </c>
      <c r="E304" s="8" t="s">
        <v>161</v>
      </c>
      <c r="F304">
        <v>2</v>
      </c>
      <c r="G304">
        <v>2600</v>
      </c>
      <c r="H304">
        <v>0.2</v>
      </c>
      <c r="I304" s="8" t="s">
        <v>17</v>
      </c>
      <c r="J304" s="8" t="s">
        <v>18</v>
      </c>
      <c r="K304" s="8" t="s">
        <v>41</v>
      </c>
      <c r="L304">
        <v>4160</v>
      </c>
      <c r="M304" s="8" t="s">
        <v>82</v>
      </c>
      <c r="N304">
        <v>4160</v>
      </c>
      <c r="O304" s="8" t="s">
        <v>1701</v>
      </c>
      <c r="P304" s="8" t="s">
        <v>1548</v>
      </c>
      <c r="Q304" s="8" t="s">
        <v>1549</v>
      </c>
      <c r="R304" s="8" t="s">
        <v>42</v>
      </c>
      <c r="S304" s="8" t="s">
        <v>1542</v>
      </c>
      <c r="T304" s="8" t="s">
        <v>1578</v>
      </c>
      <c r="U304" s="8" t="s">
        <v>1571</v>
      </c>
      <c r="V304">
        <v>2600</v>
      </c>
      <c r="W304">
        <v>1750</v>
      </c>
      <c r="X304">
        <v>4160</v>
      </c>
      <c r="Y304">
        <v>660</v>
      </c>
    </row>
    <row r="305" spans="1:25" x14ac:dyDescent="0.3">
      <c r="A305" s="8" t="s">
        <v>569</v>
      </c>
      <c r="B305" s="14">
        <v>46163</v>
      </c>
      <c r="C305" s="8" t="s">
        <v>306</v>
      </c>
      <c r="D305" s="8" t="s">
        <v>23</v>
      </c>
      <c r="E305" s="8" t="s">
        <v>63</v>
      </c>
      <c r="F305">
        <v>2</v>
      </c>
      <c r="G305">
        <v>2090</v>
      </c>
      <c r="H305">
        <v>0</v>
      </c>
      <c r="I305" s="8" t="s">
        <v>17</v>
      </c>
      <c r="J305" s="8" t="s">
        <v>71</v>
      </c>
      <c r="K305" s="8" t="s">
        <v>41</v>
      </c>
      <c r="L305">
        <v>4180</v>
      </c>
      <c r="M305" s="8" t="s">
        <v>32</v>
      </c>
      <c r="N305">
        <v>4180</v>
      </c>
      <c r="O305" s="8" t="s">
        <v>1701</v>
      </c>
      <c r="P305" s="8" t="s">
        <v>1545</v>
      </c>
      <c r="Q305" s="8" t="s">
        <v>1541</v>
      </c>
      <c r="R305" s="8" t="s">
        <v>1546</v>
      </c>
      <c r="S305" s="8" t="s">
        <v>1542</v>
      </c>
      <c r="T305" s="8" t="s">
        <v>1572</v>
      </c>
      <c r="U305" s="8" t="s">
        <v>1571</v>
      </c>
      <c r="V305">
        <v>2200</v>
      </c>
      <c r="W305">
        <v>1450</v>
      </c>
      <c r="X305">
        <v>4180</v>
      </c>
      <c r="Y305">
        <v>1280</v>
      </c>
    </row>
    <row r="306" spans="1:25" x14ac:dyDescent="0.3">
      <c r="A306" s="8" t="s">
        <v>570</v>
      </c>
      <c r="B306" s="14">
        <v>46118</v>
      </c>
      <c r="C306" s="8" t="s">
        <v>122</v>
      </c>
      <c r="D306" s="8" t="s">
        <v>95</v>
      </c>
      <c r="E306" s="8" t="s">
        <v>74</v>
      </c>
      <c r="F306">
        <v>8</v>
      </c>
      <c r="G306">
        <v>2400</v>
      </c>
      <c r="H306">
        <v>0</v>
      </c>
      <c r="I306" s="8" t="s">
        <v>17</v>
      </c>
      <c r="J306" s="8" t="s">
        <v>31</v>
      </c>
      <c r="K306" s="8" t="s">
        <v>1698</v>
      </c>
      <c r="L306">
        <v>19200</v>
      </c>
      <c r="M306" s="8" t="s">
        <v>52</v>
      </c>
      <c r="N306">
        <v>19200</v>
      </c>
      <c r="O306" s="8" t="s">
        <v>1701</v>
      </c>
      <c r="P306" s="8" t="s">
        <v>1556</v>
      </c>
      <c r="Q306" s="8" t="s">
        <v>1554</v>
      </c>
      <c r="R306" s="8" t="s">
        <v>1557</v>
      </c>
      <c r="S306" s="8" t="s">
        <v>1542</v>
      </c>
      <c r="T306" s="8" t="s">
        <v>1584</v>
      </c>
      <c r="U306" s="8" t="s">
        <v>1583</v>
      </c>
      <c r="V306">
        <v>2400</v>
      </c>
      <c r="W306">
        <v>1480</v>
      </c>
      <c r="X306">
        <v>19200</v>
      </c>
      <c r="Y306">
        <v>7360</v>
      </c>
    </row>
    <row r="307" spans="1:25" x14ac:dyDescent="0.3">
      <c r="A307" s="8" t="s">
        <v>571</v>
      </c>
      <c r="B307" s="14">
        <v>46188</v>
      </c>
      <c r="C307" s="8" t="s">
        <v>572</v>
      </c>
      <c r="D307" s="8" t="s">
        <v>62</v>
      </c>
      <c r="E307" s="8" t="s">
        <v>30</v>
      </c>
      <c r="F307">
        <v>1</v>
      </c>
      <c r="G307">
        <v>1890</v>
      </c>
      <c r="H307">
        <v>0.05</v>
      </c>
      <c r="I307" s="8" t="s">
        <v>17</v>
      </c>
      <c r="J307" s="8" t="s">
        <v>71</v>
      </c>
      <c r="K307" s="8" t="s">
        <v>25</v>
      </c>
      <c r="L307">
        <v>1795.5</v>
      </c>
      <c r="M307" s="8" t="s">
        <v>32</v>
      </c>
      <c r="N307">
        <v>1795.5</v>
      </c>
      <c r="O307" s="8" t="s">
        <v>1701</v>
      </c>
      <c r="P307" s="8" t="s">
        <v>1551</v>
      </c>
      <c r="Q307" s="8" t="s">
        <v>1549</v>
      </c>
      <c r="R307" s="8" t="s">
        <v>1552</v>
      </c>
      <c r="S307" s="8" t="s">
        <v>1542</v>
      </c>
      <c r="T307" s="8" t="s">
        <v>1573</v>
      </c>
      <c r="U307" s="8" t="s">
        <v>1571</v>
      </c>
      <c r="V307">
        <v>1800</v>
      </c>
      <c r="W307">
        <v>1120</v>
      </c>
      <c r="X307">
        <v>1795.5</v>
      </c>
      <c r="Y307">
        <v>675.5</v>
      </c>
    </row>
    <row r="308" spans="1:25" x14ac:dyDescent="0.3">
      <c r="A308" s="8" t="s">
        <v>573</v>
      </c>
      <c r="B308" s="14">
        <v>46124</v>
      </c>
      <c r="C308" s="8" t="s">
        <v>484</v>
      </c>
      <c r="D308" s="8" t="s">
        <v>62</v>
      </c>
      <c r="E308" s="8" t="s">
        <v>16</v>
      </c>
      <c r="F308">
        <v>2</v>
      </c>
      <c r="G308">
        <v>650</v>
      </c>
      <c r="H308">
        <v>0.1</v>
      </c>
      <c r="I308" s="8" t="s">
        <v>17</v>
      </c>
      <c r="J308" s="8" t="s">
        <v>47</v>
      </c>
      <c r="K308" s="8" t="s">
        <v>67</v>
      </c>
      <c r="L308">
        <v>1170</v>
      </c>
      <c r="M308" s="8" t="s">
        <v>56</v>
      </c>
      <c r="N308">
        <v>1170</v>
      </c>
      <c r="O308" s="8" t="s">
        <v>1701</v>
      </c>
      <c r="P308" s="8" t="s">
        <v>1551</v>
      </c>
      <c r="Q308" s="8" t="s">
        <v>1549</v>
      </c>
      <c r="R308" s="8" t="s">
        <v>1552</v>
      </c>
      <c r="S308" s="8" t="s">
        <v>1542</v>
      </c>
      <c r="T308" s="8" t="s">
        <v>1570</v>
      </c>
      <c r="U308" s="8" t="s">
        <v>1571</v>
      </c>
      <c r="V308">
        <v>650</v>
      </c>
      <c r="W308">
        <v>390</v>
      </c>
      <c r="X308">
        <v>1170</v>
      </c>
      <c r="Y308">
        <v>390</v>
      </c>
    </row>
    <row r="309" spans="1:25" x14ac:dyDescent="0.3">
      <c r="A309" s="8" t="s">
        <v>574</v>
      </c>
      <c r="B309" s="14">
        <v>46061</v>
      </c>
      <c r="C309" s="8" t="s">
        <v>328</v>
      </c>
      <c r="D309" s="8" t="s">
        <v>168</v>
      </c>
      <c r="E309" s="8" t="s">
        <v>183</v>
      </c>
      <c r="F309">
        <v>3</v>
      </c>
      <c r="G309">
        <v>3360</v>
      </c>
      <c r="H309">
        <v>0</v>
      </c>
      <c r="I309" s="8" t="s">
        <v>17</v>
      </c>
      <c r="J309" s="8" t="s">
        <v>18</v>
      </c>
      <c r="K309" s="8" t="s">
        <v>1698</v>
      </c>
      <c r="L309">
        <v>10080</v>
      </c>
      <c r="M309" s="8" t="s">
        <v>42</v>
      </c>
      <c r="N309">
        <v>10080</v>
      </c>
      <c r="O309" s="8" t="s">
        <v>1701</v>
      </c>
      <c r="P309" s="8" t="s">
        <v>1540</v>
      </c>
      <c r="Q309" s="8" t="s">
        <v>1541</v>
      </c>
      <c r="R309" s="8" t="s">
        <v>20</v>
      </c>
      <c r="S309" s="8" t="s">
        <v>1542</v>
      </c>
      <c r="T309" s="8" t="s">
        <v>1582</v>
      </c>
      <c r="U309" s="8" t="s">
        <v>1583</v>
      </c>
      <c r="V309">
        <v>3200</v>
      </c>
      <c r="W309">
        <v>2050</v>
      </c>
      <c r="X309">
        <v>10080</v>
      </c>
      <c r="Y309">
        <v>3930</v>
      </c>
    </row>
    <row r="310" spans="1:25" x14ac:dyDescent="0.3">
      <c r="A310" s="8" t="s">
        <v>575</v>
      </c>
      <c r="B310" s="14">
        <v>46094</v>
      </c>
      <c r="C310" s="8" t="s">
        <v>576</v>
      </c>
      <c r="D310" s="8" t="s">
        <v>70</v>
      </c>
      <c r="E310" s="8" t="s">
        <v>30</v>
      </c>
      <c r="F310">
        <v>2</v>
      </c>
      <c r="G310">
        <v>1800</v>
      </c>
      <c r="H310">
        <v>0.2</v>
      </c>
      <c r="I310" s="8" t="s">
        <v>66</v>
      </c>
      <c r="J310" s="8" t="s">
        <v>18</v>
      </c>
      <c r="K310" s="8" t="s">
        <v>67</v>
      </c>
      <c r="L310">
        <v>2880</v>
      </c>
      <c r="M310" s="8" t="s">
        <v>56</v>
      </c>
      <c r="N310">
        <v>2880</v>
      </c>
      <c r="O310" s="8" t="s">
        <v>1701</v>
      </c>
      <c r="P310" s="8" t="s">
        <v>1550</v>
      </c>
      <c r="Q310" s="8" t="s">
        <v>1549</v>
      </c>
      <c r="R310" s="8" t="s">
        <v>32</v>
      </c>
      <c r="S310" s="8" t="s">
        <v>1542</v>
      </c>
      <c r="T310" s="8" t="s">
        <v>1573</v>
      </c>
      <c r="U310" s="8" t="s">
        <v>1571</v>
      </c>
      <c r="V310">
        <v>1800</v>
      </c>
      <c r="W310">
        <v>1120</v>
      </c>
      <c r="X310">
        <v>0</v>
      </c>
      <c r="Y310">
        <v>-2240</v>
      </c>
    </row>
    <row r="311" spans="1:25" x14ac:dyDescent="0.3">
      <c r="A311" s="8" t="s">
        <v>577</v>
      </c>
      <c r="B311" s="14">
        <v>46162</v>
      </c>
      <c r="C311" s="8" t="s">
        <v>473</v>
      </c>
      <c r="D311" s="8" t="s">
        <v>29</v>
      </c>
      <c r="E311" s="8" t="s">
        <v>46</v>
      </c>
      <c r="F311">
        <v>2</v>
      </c>
      <c r="G311">
        <v>8190</v>
      </c>
      <c r="H311">
        <v>0.15</v>
      </c>
      <c r="I311" s="8" t="s">
        <v>17</v>
      </c>
      <c r="J311" s="8" t="s">
        <v>71</v>
      </c>
      <c r="K311" s="8" t="s">
        <v>1698</v>
      </c>
      <c r="L311">
        <v>13923</v>
      </c>
      <c r="M311" s="8" t="s">
        <v>138</v>
      </c>
      <c r="N311">
        <v>13923</v>
      </c>
      <c r="O311" s="8" t="s">
        <v>1701</v>
      </c>
      <c r="P311" s="8" t="s">
        <v>1560</v>
      </c>
      <c r="Q311" s="8" t="s">
        <v>1559</v>
      </c>
      <c r="R311" s="8" t="s">
        <v>1561</v>
      </c>
      <c r="S311" s="8" t="s">
        <v>1542</v>
      </c>
      <c r="T311" s="8" t="s">
        <v>1579</v>
      </c>
      <c r="U311" s="8" t="s">
        <v>1580</v>
      </c>
      <c r="V311">
        <v>7800</v>
      </c>
      <c r="W311">
        <v>5200</v>
      </c>
      <c r="X311">
        <v>13923</v>
      </c>
      <c r="Y311">
        <v>3523</v>
      </c>
    </row>
    <row r="312" spans="1:25" x14ac:dyDescent="0.3">
      <c r="A312" s="8" t="s">
        <v>578</v>
      </c>
      <c r="B312" s="14">
        <v>46175</v>
      </c>
      <c r="C312" s="8" t="s">
        <v>528</v>
      </c>
      <c r="D312" s="8" t="s">
        <v>23</v>
      </c>
      <c r="E312" s="8" t="s">
        <v>16</v>
      </c>
      <c r="F312">
        <v>5</v>
      </c>
      <c r="G312">
        <v>682.5</v>
      </c>
      <c r="H312">
        <v>0.05</v>
      </c>
      <c r="I312" s="8" t="s">
        <v>17</v>
      </c>
      <c r="J312" s="8" t="s">
        <v>71</v>
      </c>
      <c r="K312" s="8" t="s">
        <v>41</v>
      </c>
      <c r="L312">
        <v>3241.88</v>
      </c>
      <c r="M312" s="8" t="s">
        <v>42</v>
      </c>
      <c r="N312">
        <v>3241.875</v>
      </c>
      <c r="O312" s="8" t="s">
        <v>1701</v>
      </c>
      <c r="P312" s="8" t="s">
        <v>1545</v>
      </c>
      <c r="Q312" s="8" t="s">
        <v>1541</v>
      </c>
      <c r="R312" s="8" t="s">
        <v>1546</v>
      </c>
      <c r="S312" s="8" t="s">
        <v>1542</v>
      </c>
      <c r="T312" s="8" t="s">
        <v>1570</v>
      </c>
      <c r="U312" s="8" t="s">
        <v>1571</v>
      </c>
      <c r="V312">
        <v>650</v>
      </c>
      <c r="W312">
        <v>390</v>
      </c>
      <c r="X312">
        <v>3241.875</v>
      </c>
      <c r="Y312">
        <v>1291.875</v>
      </c>
    </row>
    <row r="313" spans="1:25" x14ac:dyDescent="0.3">
      <c r="A313" s="8" t="s">
        <v>579</v>
      </c>
      <c r="B313" s="14">
        <v>46086</v>
      </c>
      <c r="C313" s="8" t="s">
        <v>319</v>
      </c>
      <c r="D313" s="8" t="s">
        <v>95</v>
      </c>
      <c r="E313" s="8" t="s">
        <v>24</v>
      </c>
      <c r="F313">
        <v>1</v>
      </c>
      <c r="G313">
        <v>11200</v>
      </c>
      <c r="H313">
        <v>0.2</v>
      </c>
      <c r="I313" s="8" t="s">
        <v>17</v>
      </c>
      <c r="J313" s="8" t="s">
        <v>47</v>
      </c>
      <c r="K313" s="8" t="s">
        <v>41</v>
      </c>
      <c r="L313">
        <v>8960</v>
      </c>
      <c r="M313" s="8" t="s">
        <v>59</v>
      </c>
      <c r="N313">
        <v>8960</v>
      </c>
      <c r="O313" s="8" t="s">
        <v>1701</v>
      </c>
      <c r="P313" s="8" t="s">
        <v>1556</v>
      </c>
      <c r="Q313" s="8" t="s">
        <v>1554</v>
      </c>
      <c r="R313" s="8" t="s">
        <v>1557</v>
      </c>
      <c r="S313" s="8" t="s">
        <v>1542</v>
      </c>
      <c r="T313" s="8" t="s">
        <v>1574</v>
      </c>
      <c r="U313" s="8" t="s">
        <v>1575</v>
      </c>
      <c r="V313">
        <v>11200</v>
      </c>
      <c r="W313">
        <v>8300</v>
      </c>
      <c r="X313">
        <v>8960</v>
      </c>
      <c r="Y313">
        <v>660</v>
      </c>
    </row>
    <row r="314" spans="1:25" x14ac:dyDescent="0.3">
      <c r="A314" s="8" t="s">
        <v>580</v>
      </c>
      <c r="B314" s="14">
        <v>46083</v>
      </c>
      <c r="C314" s="8" t="s">
        <v>581</v>
      </c>
      <c r="D314" s="8" t="s">
        <v>40</v>
      </c>
      <c r="E314" s="8" t="s">
        <v>36</v>
      </c>
      <c r="F314">
        <v>4</v>
      </c>
      <c r="G314">
        <v>1330</v>
      </c>
      <c r="H314">
        <v>0.2</v>
      </c>
      <c r="I314" s="8" t="s">
        <v>17</v>
      </c>
      <c r="J314" s="8" t="s">
        <v>71</v>
      </c>
      <c r="K314" s="8" t="s">
        <v>25</v>
      </c>
      <c r="L314">
        <v>4256</v>
      </c>
      <c r="M314" s="8" t="s">
        <v>52</v>
      </c>
      <c r="N314">
        <v>4256</v>
      </c>
      <c r="O314" s="8" t="s">
        <v>1701</v>
      </c>
      <c r="P314" s="8" t="s">
        <v>1555</v>
      </c>
      <c r="Q314" s="8" t="s">
        <v>1554</v>
      </c>
      <c r="R314" s="8" t="s">
        <v>82</v>
      </c>
      <c r="S314" s="8" t="s">
        <v>1542</v>
      </c>
      <c r="T314" s="8" t="s">
        <v>1577</v>
      </c>
      <c r="U314" s="8" t="s">
        <v>1571</v>
      </c>
      <c r="V314">
        <v>1400</v>
      </c>
      <c r="W314">
        <v>780</v>
      </c>
      <c r="X314">
        <v>4256</v>
      </c>
      <c r="Y314">
        <v>1136</v>
      </c>
    </row>
    <row r="315" spans="1:25" x14ac:dyDescent="0.3">
      <c r="A315" s="8" t="s">
        <v>582</v>
      </c>
      <c r="B315" s="14">
        <v>46149</v>
      </c>
      <c r="C315" s="8" t="s">
        <v>22</v>
      </c>
      <c r="D315" s="8" t="s">
        <v>152</v>
      </c>
      <c r="E315" s="8" t="s">
        <v>135</v>
      </c>
      <c r="F315">
        <v>1</v>
      </c>
      <c r="G315">
        <v>16800</v>
      </c>
      <c r="H315">
        <v>0</v>
      </c>
      <c r="I315" s="8" t="s">
        <v>17</v>
      </c>
      <c r="J315" s="8" t="s">
        <v>31</v>
      </c>
      <c r="K315" s="8" t="s">
        <v>25</v>
      </c>
      <c r="L315">
        <v>16800</v>
      </c>
      <c r="M315" s="8" t="s">
        <v>56</v>
      </c>
      <c r="N315">
        <v>16800</v>
      </c>
      <c r="O315" s="8" t="s">
        <v>1701</v>
      </c>
      <c r="P315" s="8" t="s">
        <v>1553</v>
      </c>
      <c r="Q315" s="8" t="s">
        <v>1554</v>
      </c>
      <c r="R315" s="8" t="s">
        <v>59</v>
      </c>
      <c r="S315" s="8" t="s">
        <v>1542</v>
      </c>
      <c r="T315" s="8" t="s">
        <v>1576</v>
      </c>
      <c r="U315" s="8" t="s">
        <v>1575</v>
      </c>
      <c r="V315">
        <v>16800</v>
      </c>
      <c r="W315">
        <v>12600</v>
      </c>
      <c r="X315">
        <v>16800</v>
      </c>
      <c r="Y315">
        <v>4200</v>
      </c>
    </row>
    <row r="316" spans="1:25" x14ac:dyDescent="0.3">
      <c r="A316" s="8" t="s">
        <v>583</v>
      </c>
      <c r="B316" s="14">
        <v>46023</v>
      </c>
      <c r="C316" s="8" t="s">
        <v>271</v>
      </c>
      <c r="D316" s="8" t="s">
        <v>35</v>
      </c>
      <c r="E316" s="8" t="s">
        <v>183</v>
      </c>
      <c r="F316">
        <v>1</v>
      </c>
      <c r="G316">
        <v>3200</v>
      </c>
      <c r="H316">
        <v>0</v>
      </c>
      <c r="I316" s="8" t="s">
        <v>17</v>
      </c>
      <c r="J316" s="8" t="s">
        <v>31</v>
      </c>
      <c r="K316" s="8" t="s">
        <v>1698</v>
      </c>
      <c r="L316">
        <v>3200</v>
      </c>
      <c r="M316" s="8" t="s">
        <v>59</v>
      </c>
      <c r="N316">
        <v>3200</v>
      </c>
      <c r="O316" s="8" t="s">
        <v>1701</v>
      </c>
      <c r="P316" s="8" t="s">
        <v>1548</v>
      </c>
      <c r="Q316" s="8" t="s">
        <v>1549</v>
      </c>
      <c r="R316" s="8" t="s">
        <v>42</v>
      </c>
      <c r="S316" s="8" t="s">
        <v>1542</v>
      </c>
      <c r="T316" s="8" t="s">
        <v>1582</v>
      </c>
      <c r="U316" s="8" t="s">
        <v>1583</v>
      </c>
      <c r="V316">
        <v>3200</v>
      </c>
      <c r="W316">
        <v>2050</v>
      </c>
      <c r="X316">
        <v>3200</v>
      </c>
      <c r="Y316">
        <v>1150</v>
      </c>
    </row>
    <row r="317" spans="1:25" x14ac:dyDescent="0.3">
      <c r="A317" s="8" t="s">
        <v>584</v>
      </c>
      <c r="B317" s="14">
        <v>46173</v>
      </c>
      <c r="C317" s="8" t="s">
        <v>438</v>
      </c>
      <c r="D317" s="8" t="s">
        <v>123</v>
      </c>
      <c r="E317" s="8" t="s">
        <v>30</v>
      </c>
      <c r="F317">
        <v>4</v>
      </c>
      <c r="G317">
        <v>1710</v>
      </c>
      <c r="H317">
        <v>0.15</v>
      </c>
      <c r="I317" s="8" t="s">
        <v>66</v>
      </c>
      <c r="J317" s="8" t="s">
        <v>18</v>
      </c>
      <c r="K317" s="8" t="s">
        <v>25</v>
      </c>
      <c r="L317">
        <v>5814</v>
      </c>
      <c r="M317" s="8" t="s">
        <v>42</v>
      </c>
      <c r="N317">
        <v>5814</v>
      </c>
      <c r="O317" s="8" t="s">
        <v>1701</v>
      </c>
      <c r="P317" s="8" t="s">
        <v>1558</v>
      </c>
      <c r="Q317" s="8" t="s">
        <v>1559</v>
      </c>
      <c r="R317" s="8" t="s">
        <v>138</v>
      </c>
      <c r="S317" s="8" t="s">
        <v>1542</v>
      </c>
      <c r="T317" s="8" t="s">
        <v>1573</v>
      </c>
      <c r="U317" s="8" t="s">
        <v>1571</v>
      </c>
      <c r="V317">
        <v>1800</v>
      </c>
      <c r="W317">
        <v>1120</v>
      </c>
      <c r="X317">
        <v>0</v>
      </c>
      <c r="Y317">
        <v>-4480</v>
      </c>
    </row>
    <row r="318" spans="1:25" x14ac:dyDescent="0.3">
      <c r="A318" s="8" t="s">
        <v>585</v>
      </c>
      <c r="B318" s="14">
        <v>46109</v>
      </c>
      <c r="C318" s="8" t="s">
        <v>586</v>
      </c>
      <c r="D318" s="8" t="s">
        <v>45</v>
      </c>
      <c r="E318" s="8" t="s">
        <v>36</v>
      </c>
      <c r="F318">
        <v>1</v>
      </c>
      <c r="G318">
        <v>1470</v>
      </c>
      <c r="H318">
        <v>0</v>
      </c>
      <c r="I318" s="8" t="s">
        <v>17</v>
      </c>
      <c r="J318" s="8" t="s">
        <v>47</v>
      </c>
      <c r="K318" s="8" t="s">
        <v>41</v>
      </c>
      <c r="L318">
        <v>1470</v>
      </c>
      <c r="M318" s="8" t="s">
        <v>82</v>
      </c>
      <c r="N318">
        <v>1470</v>
      </c>
      <c r="O318" s="8" t="s">
        <v>1701</v>
      </c>
      <c r="P318" s="8" t="s">
        <v>1547</v>
      </c>
      <c r="Q318" s="8" t="s">
        <v>1541</v>
      </c>
      <c r="R318" s="8" t="s">
        <v>56</v>
      </c>
      <c r="S318" s="8" t="s">
        <v>1542</v>
      </c>
      <c r="T318" s="8" t="s">
        <v>1577</v>
      </c>
      <c r="U318" s="8" t="s">
        <v>1571</v>
      </c>
      <c r="V318">
        <v>1400</v>
      </c>
      <c r="W318">
        <v>780</v>
      </c>
      <c r="X318">
        <v>1470</v>
      </c>
      <c r="Y318">
        <v>690</v>
      </c>
    </row>
    <row r="319" spans="1:25" x14ac:dyDescent="0.3">
      <c r="A319" s="8" t="s">
        <v>587</v>
      </c>
      <c r="B319" s="14">
        <v>46200</v>
      </c>
      <c r="C319" s="8" t="s">
        <v>34</v>
      </c>
      <c r="D319" s="8" t="s">
        <v>77</v>
      </c>
      <c r="E319" s="8" t="s">
        <v>183</v>
      </c>
      <c r="F319">
        <v>4</v>
      </c>
      <c r="G319">
        <v>3200</v>
      </c>
      <c r="H319">
        <v>0</v>
      </c>
      <c r="I319" s="8" t="s">
        <v>17</v>
      </c>
      <c r="J319" s="8" t="s">
        <v>47</v>
      </c>
      <c r="K319" s="8" t="s">
        <v>67</v>
      </c>
      <c r="L319">
        <v>12800</v>
      </c>
      <c r="M319" s="8" t="s">
        <v>59</v>
      </c>
      <c r="N319">
        <v>12800</v>
      </c>
      <c r="O319" s="8" t="s">
        <v>1701</v>
      </c>
      <c r="P319" s="8" t="s">
        <v>1564</v>
      </c>
      <c r="Q319" s="8" t="s">
        <v>1563</v>
      </c>
      <c r="R319" s="8" t="s">
        <v>1565</v>
      </c>
      <c r="S319" s="8" t="s">
        <v>1542</v>
      </c>
      <c r="T319" s="8" t="s">
        <v>1582</v>
      </c>
      <c r="U319" s="8" t="s">
        <v>1583</v>
      </c>
      <c r="V319">
        <v>3200</v>
      </c>
      <c r="W319">
        <v>2050</v>
      </c>
      <c r="X319">
        <v>12800</v>
      </c>
      <c r="Y319">
        <v>4600</v>
      </c>
    </row>
    <row r="320" spans="1:25" x14ac:dyDescent="0.3">
      <c r="A320" s="8" t="s">
        <v>588</v>
      </c>
      <c r="B320" s="14">
        <v>46068</v>
      </c>
      <c r="C320" s="8" t="s">
        <v>348</v>
      </c>
      <c r="D320" s="8" t="s">
        <v>123</v>
      </c>
      <c r="E320" s="8" t="s">
        <v>16</v>
      </c>
      <c r="F320">
        <v>8</v>
      </c>
      <c r="G320">
        <v>617.5</v>
      </c>
      <c r="H320">
        <v>0.15</v>
      </c>
      <c r="I320" s="8" t="s">
        <v>17</v>
      </c>
      <c r="J320" s="8" t="s">
        <v>47</v>
      </c>
      <c r="K320" s="8" t="s">
        <v>25</v>
      </c>
      <c r="L320">
        <v>4199</v>
      </c>
      <c r="M320" s="8" t="s">
        <v>52</v>
      </c>
      <c r="N320">
        <v>4199</v>
      </c>
      <c r="O320" s="8" t="s">
        <v>1701</v>
      </c>
      <c r="P320" s="8" t="s">
        <v>1558</v>
      </c>
      <c r="Q320" s="8" t="s">
        <v>1559</v>
      </c>
      <c r="R320" s="8" t="s">
        <v>138</v>
      </c>
      <c r="S320" s="8" t="s">
        <v>1542</v>
      </c>
      <c r="T320" s="8" t="s">
        <v>1570</v>
      </c>
      <c r="U320" s="8" t="s">
        <v>1571</v>
      </c>
      <c r="V320">
        <v>650</v>
      </c>
      <c r="W320">
        <v>390</v>
      </c>
      <c r="X320">
        <v>4199</v>
      </c>
      <c r="Y320">
        <v>1079</v>
      </c>
    </row>
    <row r="321" spans="1:25" x14ac:dyDescent="0.3">
      <c r="A321" s="8" t="s">
        <v>589</v>
      </c>
      <c r="B321" s="14">
        <v>46186</v>
      </c>
      <c r="C321" s="8" t="s">
        <v>127</v>
      </c>
      <c r="D321" s="8" t="s">
        <v>40</v>
      </c>
      <c r="E321" s="8" t="s">
        <v>63</v>
      </c>
      <c r="F321">
        <v>8</v>
      </c>
      <c r="G321">
        <v>2090</v>
      </c>
      <c r="H321">
        <v>0</v>
      </c>
      <c r="I321" s="8" t="s">
        <v>17</v>
      </c>
      <c r="J321" s="8" t="s">
        <v>47</v>
      </c>
      <c r="K321" s="8" t="s">
        <v>67</v>
      </c>
      <c r="L321">
        <v>16720</v>
      </c>
      <c r="M321" s="8" t="s">
        <v>59</v>
      </c>
      <c r="N321">
        <v>16720</v>
      </c>
      <c r="O321" s="8" t="s">
        <v>1701</v>
      </c>
      <c r="P321" s="8" t="s">
        <v>1555</v>
      </c>
      <c r="Q321" s="8" t="s">
        <v>1554</v>
      </c>
      <c r="R321" s="8" t="s">
        <v>82</v>
      </c>
      <c r="S321" s="8" t="s">
        <v>1542</v>
      </c>
      <c r="T321" s="8" t="s">
        <v>1572</v>
      </c>
      <c r="U321" s="8" t="s">
        <v>1571</v>
      </c>
      <c r="V321">
        <v>2200</v>
      </c>
      <c r="W321">
        <v>1450</v>
      </c>
      <c r="X321">
        <v>16720</v>
      </c>
      <c r="Y321">
        <v>5120</v>
      </c>
    </row>
    <row r="322" spans="1:25" x14ac:dyDescent="0.3">
      <c r="A322" s="8" t="s">
        <v>590</v>
      </c>
      <c r="B322" s="14">
        <v>46185</v>
      </c>
      <c r="C322" s="8" t="s">
        <v>154</v>
      </c>
      <c r="D322" s="8" t="s">
        <v>77</v>
      </c>
      <c r="E322" s="8" t="s">
        <v>63</v>
      </c>
      <c r="F322">
        <v>4</v>
      </c>
      <c r="G322">
        <v>2200</v>
      </c>
      <c r="H322">
        <v>0.2</v>
      </c>
      <c r="I322" s="8" t="s">
        <v>17</v>
      </c>
      <c r="J322" s="8" t="s">
        <v>31</v>
      </c>
      <c r="K322" s="8" t="s">
        <v>67</v>
      </c>
      <c r="L322">
        <v>7040</v>
      </c>
      <c r="M322" s="8" t="s">
        <v>52</v>
      </c>
      <c r="N322">
        <v>7040</v>
      </c>
      <c r="O322" s="8" t="s">
        <v>1701</v>
      </c>
      <c r="P322" s="8" t="s">
        <v>1564</v>
      </c>
      <c r="Q322" s="8" t="s">
        <v>1563</v>
      </c>
      <c r="R322" s="8" t="s">
        <v>1565</v>
      </c>
      <c r="S322" s="8" t="s">
        <v>1542</v>
      </c>
      <c r="T322" s="8" t="s">
        <v>1572</v>
      </c>
      <c r="U322" s="8" t="s">
        <v>1571</v>
      </c>
      <c r="V322">
        <v>2200</v>
      </c>
      <c r="W322">
        <v>1450</v>
      </c>
      <c r="X322">
        <v>7040</v>
      </c>
      <c r="Y322">
        <v>1240</v>
      </c>
    </row>
    <row r="323" spans="1:25" x14ac:dyDescent="0.3">
      <c r="A323" s="8" t="s">
        <v>591</v>
      </c>
      <c r="B323" s="14">
        <v>46086</v>
      </c>
      <c r="C323" s="8" t="s">
        <v>592</v>
      </c>
      <c r="D323" s="8" t="s">
        <v>123</v>
      </c>
      <c r="E323" s="8" t="s">
        <v>63</v>
      </c>
      <c r="F323">
        <v>2</v>
      </c>
      <c r="G323">
        <v>2090</v>
      </c>
      <c r="H323">
        <v>0</v>
      </c>
      <c r="I323" s="8" t="s">
        <v>17</v>
      </c>
      <c r="J323" s="8" t="s">
        <v>18</v>
      </c>
      <c r="K323" s="8" t="s">
        <v>55</v>
      </c>
      <c r="L323">
        <v>4180</v>
      </c>
      <c r="M323" s="8" t="s">
        <v>59</v>
      </c>
      <c r="N323">
        <v>4180</v>
      </c>
      <c r="O323" s="8" t="s">
        <v>1701</v>
      </c>
      <c r="P323" s="8" t="s">
        <v>1558</v>
      </c>
      <c r="Q323" s="8" t="s">
        <v>1559</v>
      </c>
      <c r="R323" s="8" t="s">
        <v>138</v>
      </c>
      <c r="S323" s="8" t="s">
        <v>1542</v>
      </c>
      <c r="T323" s="8" t="s">
        <v>1572</v>
      </c>
      <c r="U323" s="8" t="s">
        <v>1571</v>
      </c>
      <c r="V323">
        <v>2200</v>
      </c>
      <c r="W323">
        <v>1450</v>
      </c>
      <c r="X323">
        <v>4180</v>
      </c>
      <c r="Y323">
        <v>1280</v>
      </c>
    </row>
    <row r="324" spans="1:25" x14ac:dyDescent="0.3">
      <c r="A324" s="8" t="s">
        <v>593</v>
      </c>
      <c r="B324" s="14">
        <v>46128</v>
      </c>
      <c r="C324" s="8" t="s">
        <v>594</v>
      </c>
      <c r="D324" s="8" t="s">
        <v>62</v>
      </c>
      <c r="E324" s="8" t="s">
        <v>161</v>
      </c>
      <c r="F324">
        <v>2</v>
      </c>
      <c r="G324">
        <v>2730</v>
      </c>
      <c r="H324">
        <v>0.1</v>
      </c>
      <c r="I324" s="8" t="s">
        <v>17</v>
      </c>
      <c r="J324" s="8" t="s">
        <v>71</v>
      </c>
      <c r="K324" s="8" t="s">
        <v>55</v>
      </c>
      <c r="L324">
        <v>4914</v>
      </c>
      <c r="M324" s="8" t="s">
        <v>42</v>
      </c>
      <c r="N324">
        <v>4914</v>
      </c>
      <c r="O324" s="8" t="s">
        <v>1701</v>
      </c>
      <c r="P324" s="8" t="s">
        <v>1551</v>
      </c>
      <c r="Q324" s="8" t="s">
        <v>1549</v>
      </c>
      <c r="R324" s="8" t="s">
        <v>1552</v>
      </c>
      <c r="S324" s="8" t="s">
        <v>1542</v>
      </c>
      <c r="T324" s="8" t="s">
        <v>1578</v>
      </c>
      <c r="U324" s="8" t="s">
        <v>1571</v>
      </c>
      <c r="V324">
        <v>2600</v>
      </c>
      <c r="W324">
        <v>1750</v>
      </c>
      <c r="X324">
        <v>4914</v>
      </c>
      <c r="Y324">
        <v>1414</v>
      </c>
    </row>
    <row r="325" spans="1:25" x14ac:dyDescent="0.3">
      <c r="A325" s="8" t="s">
        <v>595</v>
      </c>
      <c r="B325" s="14">
        <v>46031</v>
      </c>
      <c r="C325" s="8" t="s">
        <v>596</v>
      </c>
      <c r="D325" s="8" t="s">
        <v>45</v>
      </c>
      <c r="E325" s="8" t="s">
        <v>16</v>
      </c>
      <c r="F325">
        <v>2</v>
      </c>
      <c r="G325">
        <v>650</v>
      </c>
      <c r="H325">
        <v>0</v>
      </c>
      <c r="I325" s="8" t="s">
        <v>17</v>
      </c>
      <c r="J325" s="8" t="s">
        <v>71</v>
      </c>
      <c r="K325" s="8" t="s">
        <v>1698</v>
      </c>
      <c r="L325">
        <v>1300</v>
      </c>
      <c r="M325" s="8" t="s">
        <v>82</v>
      </c>
      <c r="N325">
        <v>1300</v>
      </c>
      <c r="O325" s="8" t="s">
        <v>1701</v>
      </c>
      <c r="P325" s="8" t="s">
        <v>1547</v>
      </c>
      <c r="Q325" s="8" t="s">
        <v>1541</v>
      </c>
      <c r="R325" s="8" t="s">
        <v>56</v>
      </c>
      <c r="S325" s="8" t="s">
        <v>1542</v>
      </c>
      <c r="T325" s="8" t="s">
        <v>1570</v>
      </c>
      <c r="U325" s="8" t="s">
        <v>1571</v>
      </c>
      <c r="V325">
        <v>650</v>
      </c>
      <c r="W325">
        <v>390</v>
      </c>
      <c r="X325">
        <v>1300</v>
      </c>
      <c r="Y325">
        <v>520</v>
      </c>
    </row>
    <row r="326" spans="1:25" x14ac:dyDescent="0.3">
      <c r="A326" s="8" t="s">
        <v>597</v>
      </c>
      <c r="B326" s="14">
        <v>46046</v>
      </c>
      <c r="C326" s="8" t="s">
        <v>165</v>
      </c>
      <c r="D326" s="8" t="s">
        <v>35</v>
      </c>
      <c r="E326" s="8" t="s">
        <v>183</v>
      </c>
      <c r="F326">
        <v>10</v>
      </c>
      <c r="G326">
        <v>3360</v>
      </c>
      <c r="H326">
        <v>0.1</v>
      </c>
      <c r="I326" s="8" t="s">
        <v>17</v>
      </c>
      <c r="J326" s="8" t="s">
        <v>31</v>
      </c>
      <c r="K326" s="8" t="s">
        <v>41</v>
      </c>
      <c r="L326">
        <v>30240</v>
      </c>
      <c r="M326" s="8" t="s">
        <v>20</v>
      </c>
      <c r="N326">
        <v>30240</v>
      </c>
      <c r="O326" s="8" t="s">
        <v>1701</v>
      </c>
      <c r="P326" s="8" t="s">
        <v>1548</v>
      </c>
      <c r="Q326" s="8" t="s">
        <v>1549</v>
      </c>
      <c r="R326" s="8" t="s">
        <v>42</v>
      </c>
      <c r="S326" s="8" t="s">
        <v>1542</v>
      </c>
      <c r="T326" s="8" t="s">
        <v>1582</v>
      </c>
      <c r="U326" s="8" t="s">
        <v>1583</v>
      </c>
      <c r="V326">
        <v>3200</v>
      </c>
      <c r="W326">
        <v>2050</v>
      </c>
      <c r="X326">
        <v>30240</v>
      </c>
      <c r="Y326">
        <v>9740</v>
      </c>
    </row>
    <row r="327" spans="1:25" x14ac:dyDescent="0.3">
      <c r="A327" s="8" t="s">
        <v>598</v>
      </c>
      <c r="B327" s="14">
        <v>46048</v>
      </c>
      <c r="C327" s="8" t="s">
        <v>554</v>
      </c>
      <c r="D327" s="8" t="s">
        <v>35</v>
      </c>
      <c r="E327" s="8" t="s">
        <v>24</v>
      </c>
      <c r="F327">
        <v>10</v>
      </c>
      <c r="G327">
        <v>11200</v>
      </c>
      <c r="H327">
        <v>0.1</v>
      </c>
      <c r="I327" s="8" t="s">
        <v>17</v>
      </c>
      <c r="J327" s="8" t="s">
        <v>47</v>
      </c>
      <c r="K327" s="8" t="s">
        <v>41</v>
      </c>
      <c r="L327">
        <v>100800</v>
      </c>
      <c r="M327" s="8" t="s">
        <v>42</v>
      </c>
      <c r="N327">
        <v>100800</v>
      </c>
      <c r="O327" s="8" t="s">
        <v>1701</v>
      </c>
      <c r="P327" s="8" t="s">
        <v>1548</v>
      </c>
      <c r="Q327" s="8" t="s">
        <v>1549</v>
      </c>
      <c r="R327" s="8" t="s">
        <v>42</v>
      </c>
      <c r="S327" s="8" t="s">
        <v>1542</v>
      </c>
      <c r="T327" s="8" t="s">
        <v>1574</v>
      </c>
      <c r="U327" s="8" t="s">
        <v>1575</v>
      </c>
      <c r="V327">
        <v>11200</v>
      </c>
      <c r="W327">
        <v>8300</v>
      </c>
      <c r="X327">
        <v>100800</v>
      </c>
      <c r="Y327">
        <v>17800</v>
      </c>
    </row>
    <row r="328" spans="1:25" x14ac:dyDescent="0.3">
      <c r="A328" s="8" t="s">
        <v>599</v>
      </c>
      <c r="B328" s="14">
        <v>46035</v>
      </c>
      <c r="C328" s="8" t="s">
        <v>120</v>
      </c>
      <c r="D328" s="8" t="s">
        <v>70</v>
      </c>
      <c r="E328" s="8" t="s">
        <v>183</v>
      </c>
      <c r="F328">
        <v>2</v>
      </c>
      <c r="G328">
        <v>3200</v>
      </c>
      <c r="H328">
        <v>0.1</v>
      </c>
      <c r="I328" s="8" t="s">
        <v>17</v>
      </c>
      <c r="J328" s="8" t="s">
        <v>18</v>
      </c>
      <c r="K328" s="8" t="s">
        <v>1698</v>
      </c>
      <c r="L328">
        <v>5760</v>
      </c>
      <c r="M328" s="8" t="s">
        <v>26</v>
      </c>
      <c r="N328">
        <v>5760</v>
      </c>
      <c r="O328" s="8" t="s">
        <v>1701</v>
      </c>
      <c r="P328" s="8" t="s">
        <v>1550</v>
      </c>
      <c r="Q328" s="8" t="s">
        <v>1549</v>
      </c>
      <c r="R328" s="8" t="s">
        <v>32</v>
      </c>
      <c r="S328" s="8" t="s">
        <v>1542</v>
      </c>
      <c r="T328" s="8" t="s">
        <v>1582</v>
      </c>
      <c r="U328" s="8" t="s">
        <v>1583</v>
      </c>
      <c r="V328">
        <v>3200</v>
      </c>
      <c r="W328">
        <v>2050</v>
      </c>
      <c r="X328">
        <v>5760</v>
      </c>
      <c r="Y328">
        <v>1660</v>
      </c>
    </row>
    <row r="329" spans="1:25" x14ac:dyDescent="0.3">
      <c r="A329" s="8" t="s">
        <v>600</v>
      </c>
      <c r="B329" s="14">
        <v>46192</v>
      </c>
      <c r="C329" s="8" t="s">
        <v>601</v>
      </c>
      <c r="D329" s="8" t="s">
        <v>95</v>
      </c>
      <c r="E329" s="8" t="s">
        <v>183</v>
      </c>
      <c r="F329">
        <v>2</v>
      </c>
      <c r="G329">
        <v>3200</v>
      </c>
      <c r="H329">
        <v>0</v>
      </c>
      <c r="I329" s="8" t="s">
        <v>17</v>
      </c>
      <c r="J329" s="8" t="s">
        <v>31</v>
      </c>
      <c r="K329" s="8" t="s">
        <v>55</v>
      </c>
      <c r="L329">
        <v>6400</v>
      </c>
      <c r="M329" s="8" t="s">
        <v>42</v>
      </c>
      <c r="N329">
        <v>6400</v>
      </c>
      <c r="O329" s="8" t="s">
        <v>1701</v>
      </c>
      <c r="P329" s="8" t="s">
        <v>1556</v>
      </c>
      <c r="Q329" s="8" t="s">
        <v>1554</v>
      </c>
      <c r="R329" s="8" t="s">
        <v>1557</v>
      </c>
      <c r="S329" s="8" t="s">
        <v>1542</v>
      </c>
      <c r="T329" s="8" t="s">
        <v>1582</v>
      </c>
      <c r="U329" s="8" t="s">
        <v>1583</v>
      </c>
      <c r="V329">
        <v>3200</v>
      </c>
      <c r="W329">
        <v>2050</v>
      </c>
      <c r="X329">
        <v>6400</v>
      </c>
      <c r="Y329">
        <v>2300</v>
      </c>
    </row>
    <row r="330" spans="1:25" x14ac:dyDescent="0.3">
      <c r="A330" s="8" t="s">
        <v>602</v>
      </c>
      <c r="B330" s="14">
        <v>46101</v>
      </c>
      <c r="C330" s="8" t="s">
        <v>198</v>
      </c>
      <c r="D330" s="8" t="s">
        <v>29</v>
      </c>
      <c r="E330" s="8" t="s">
        <v>161</v>
      </c>
      <c r="F330">
        <v>2</v>
      </c>
      <c r="G330">
        <v>2730</v>
      </c>
      <c r="H330">
        <v>0.2</v>
      </c>
      <c r="I330" s="8" t="s">
        <v>17</v>
      </c>
      <c r="J330" s="8" t="s">
        <v>47</v>
      </c>
      <c r="K330" s="8" t="s">
        <v>55</v>
      </c>
      <c r="L330">
        <v>4368</v>
      </c>
      <c r="M330" s="8" t="s">
        <v>138</v>
      </c>
      <c r="N330">
        <v>4368</v>
      </c>
      <c r="O330" s="8" t="s">
        <v>1701</v>
      </c>
      <c r="P330" s="8" t="s">
        <v>1560</v>
      </c>
      <c r="Q330" s="8" t="s">
        <v>1559</v>
      </c>
      <c r="R330" s="8" t="s">
        <v>1561</v>
      </c>
      <c r="S330" s="8" t="s">
        <v>1542</v>
      </c>
      <c r="T330" s="8" t="s">
        <v>1578</v>
      </c>
      <c r="U330" s="8" t="s">
        <v>1571</v>
      </c>
      <c r="V330">
        <v>2600</v>
      </c>
      <c r="W330">
        <v>1750</v>
      </c>
      <c r="X330">
        <v>4368</v>
      </c>
      <c r="Y330">
        <v>868</v>
      </c>
    </row>
    <row r="331" spans="1:25" x14ac:dyDescent="0.3">
      <c r="A331" s="8" t="s">
        <v>603</v>
      </c>
      <c r="B331" s="14">
        <v>46070</v>
      </c>
      <c r="C331" s="8" t="s">
        <v>426</v>
      </c>
      <c r="D331" s="8" t="s">
        <v>62</v>
      </c>
      <c r="E331" s="8" t="s">
        <v>16</v>
      </c>
      <c r="F331">
        <v>1</v>
      </c>
      <c r="G331">
        <v>650</v>
      </c>
      <c r="H331">
        <v>0.1</v>
      </c>
      <c r="I331" s="8" t="s">
        <v>17</v>
      </c>
      <c r="J331" s="8" t="s">
        <v>31</v>
      </c>
      <c r="K331" s="8" t="s">
        <v>1698</v>
      </c>
      <c r="L331">
        <v>585</v>
      </c>
      <c r="M331" s="8" t="s">
        <v>42</v>
      </c>
      <c r="N331">
        <v>585</v>
      </c>
      <c r="O331" s="8" t="s">
        <v>1701</v>
      </c>
      <c r="P331" s="8" t="s">
        <v>1551</v>
      </c>
      <c r="Q331" s="8" t="s">
        <v>1549</v>
      </c>
      <c r="R331" s="8" t="s">
        <v>1552</v>
      </c>
      <c r="S331" s="8" t="s">
        <v>1542</v>
      </c>
      <c r="T331" s="8" t="s">
        <v>1570</v>
      </c>
      <c r="U331" s="8" t="s">
        <v>1571</v>
      </c>
      <c r="V331">
        <v>650</v>
      </c>
      <c r="W331">
        <v>390</v>
      </c>
      <c r="X331">
        <v>585</v>
      </c>
      <c r="Y331">
        <v>195</v>
      </c>
    </row>
    <row r="332" spans="1:25" x14ac:dyDescent="0.3">
      <c r="A332" s="8" t="s">
        <v>604</v>
      </c>
      <c r="B332" s="14">
        <v>46194</v>
      </c>
      <c r="C332" s="8" t="s">
        <v>319</v>
      </c>
      <c r="D332" s="8" t="s">
        <v>35</v>
      </c>
      <c r="E332" s="8" t="s">
        <v>51</v>
      </c>
      <c r="F332">
        <v>2</v>
      </c>
      <c r="G332">
        <v>17575</v>
      </c>
      <c r="H332">
        <v>0.15</v>
      </c>
      <c r="I332" s="8" t="s">
        <v>17</v>
      </c>
      <c r="J332" s="8" t="s">
        <v>18</v>
      </c>
      <c r="K332" s="8" t="s">
        <v>25</v>
      </c>
      <c r="L332">
        <v>29877.5</v>
      </c>
      <c r="M332" s="8" t="s">
        <v>56</v>
      </c>
      <c r="N332">
        <v>29877.5</v>
      </c>
      <c r="O332" s="8" t="s">
        <v>1701</v>
      </c>
      <c r="P332" s="8" t="s">
        <v>1548</v>
      </c>
      <c r="Q332" s="8" t="s">
        <v>1549</v>
      </c>
      <c r="R332" s="8" t="s">
        <v>42</v>
      </c>
      <c r="S332" s="8" t="s">
        <v>1542</v>
      </c>
      <c r="T332" s="8" t="s">
        <v>1581</v>
      </c>
      <c r="U332" s="8" t="s">
        <v>1580</v>
      </c>
      <c r="V332">
        <v>18500</v>
      </c>
      <c r="W332">
        <v>13900</v>
      </c>
      <c r="X332">
        <v>29877.5</v>
      </c>
      <c r="Y332">
        <v>2077.5</v>
      </c>
    </row>
    <row r="333" spans="1:25" x14ac:dyDescent="0.3">
      <c r="A333" s="8" t="s">
        <v>605</v>
      </c>
      <c r="B333" s="14">
        <v>46169</v>
      </c>
      <c r="C333" s="8" t="s">
        <v>376</v>
      </c>
      <c r="D333" s="8" t="s">
        <v>77</v>
      </c>
      <c r="E333" s="8" t="s">
        <v>24</v>
      </c>
      <c r="F333">
        <v>2</v>
      </c>
      <c r="G333">
        <v>10640</v>
      </c>
      <c r="H333">
        <v>0</v>
      </c>
      <c r="I333" s="8" t="s">
        <v>17</v>
      </c>
      <c r="J333" s="8" t="s">
        <v>71</v>
      </c>
      <c r="K333" s="8" t="s">
        <v>1698</v>
      </c>
      <c r="L333">
        <v>21280</v>
      </c>
      <c r="M333" s="8" t="s">
        <v>56</v>
      </c>
      <c r="N333">
        <v>21280</v>
      </c>
      <c r="O333" s="8" t="s">
        <v>1701</v>
      </c>
      <c r="P333" s="8" t="s">
        <v>1564</v>
      </c>
      <c r="Q333" s="8" t="s">
        <v>1563</v>
      </c>
      <c r="R333" s="8" t="s">
        <v>1565</v>
      </c>
      <c r="S333" s="8" t="s">
        <v>1542</v>
      </c>
      <c r="T333" s="8" t="s">
        <v>1574</v>
      </c>
      <c r="U333" s="8" t="s">
        <v>1575</v>
      </c>
      <c r="V333">
        <v>11200</v>
      </c>
      <c r="W333">
        <v>8300</v>
      </c>
      <c r="X333">
        <v>21280</v>
      </c>
      <c r="Y333">
        <v>4680</v>
      </c>
    </row>
    <row r="334" spans="1:25" x14ac:dyDescent="0.3">
      <c r="A334" s="8" t="s">
        <v>606</v>
      </c>
      <c r="B334" s="14">
        <v>46067</v>
      </c>
      <c r="C334" s="8" t="s">
        <v>607</v>
      </c>
      <c r="D334" s="8" t="s">
        <v>50</v>
      </c>
      <c r="E334" s="8" t="s">
        <v>24</v>
      </c>
      <c r="F334">
        <v>4</v>
      </c>
      <c r="G334">
        <v>10640</v>
      </c>
      <c r="H334">
        <v>0</v>
      </c>
      <c r="I334" s="8" t="s">
        <v>17</v>
      </c>
      <c r="J334" s="8" t="s">
        <v>71</v>
      </c>
      <c r="K334" s="8" t="s">
        <v>41</v>
      </c>
      <c r="L334">
        <v>42560</v>
      </c>
      <c r="M334" s="8" t="s">
        <v>48</v>
      </c>
      <c r="N334">
        <v>42560</v>
      </c>
      <c r="O334" s="8" t="s">
        <v>1701</v>
      </c>
      <c r="P334" s="8" t="s">
        <v>1544</v>
      </c>
      <c r="Q334" s="8" t="s">
        <v>1541</v>
      </c>
      <c r="R334" s="8" t="s">
        <v>26</v>
      </c>
      <c r="S334" s="8" t="s">
        <v>1542</v>
      </c>
      <c r="T334" s="8" t="s">
        <v>1574</v>
      </c>
      <c r="U334" s="8" t="s">
        <v>1575</v>
      </c>
      <c r="V334">
        <v>11200</v>
      </c>
      <c r="W334">
        <v>8300</v>
      </c>
      <c r="X334">
        <v>42560</v>
      </c>
      <c r="Y334">
        <v>9360</v>
      </c>
    </row>
    <row r="335" spans="1:25" x14ac:dyDescent="0.3">
      <c r="A335" s="8" t="s">
        <v>608</v>
      </c>
      <c r="B335" s="14">
        <v>46089</v>
      </c>
      <c r="C335" s="8" t="s">
        <v>405</v>
      </c>
      <c r="D335" s="8" t="s">
        <v>35</v>
      </c>
      <c r="E335" s="8" t="s">
        <v>85</v>
      </c>
      <c r="F335">
        <v>5</v>
      </c>
      <c r="G335">
        <v>50925</v>
      </c>
      <c r="H335">
        <v>0</v>
      </c>
      <c r="I335" s="8" t="s">
        <v>17</v>
      </c>
      <c r="J335" s="8" t="s">
        <v>47</v>
      </c>
      <c r="K335" s="8" t="s">
        <v>25</v>
      </c>
      <c r="L335">
        <v>254625</v>
      </c>
      <c r="M335" s="8" t="s">
        <v>56</v>
      </c>
      <c r="N335">
        <v>254625</v>
      </c>
      <c r="O335" s="8" t="s">
        <v>1701</v>
      </c>
      <c r="P335" s="8" t="s">
        <v>1548</v>
      </c>
      <c r="Q335" s="8" t="s">
        <v>1549</v>
      </c>
      <c r="R335" s="8" t="s">
        <v>42</v>
      </c>
      <c r="S335" s="8" t="s">
        <v>1542</v>
      </c>
      <c r="T335" s="8" t="s">
        <v>1585</v>
      </c>
      <c r="U335" s="8" t="s">
        <v>1586</v>
      </c>
      <c r="V335">
        <v>48500</v>
      </c>
      <c r="W335">
        <v>41200</v>
      </c>
      <c r="X335">
        <v>254625</v>
      </c>
      <c r="Y335">
        <v>48625</v>
      </c>
    </row>
    <row r="336" spans="1:25" x14ac:dyDescent="0.3">
      <c r="A336" s="8" t="s">
        <v>609</v>
      </c>
      <c r="B336" s="14">
        <v>46026</v>
      </c>
      <c r="C336" s="8" t="s">
        <v>252</v>
      </c>
      <c r="D336" s="8" t="s">
        <v>29</v>
      </c>
      <c r="E336" s="8" t="s">
        <v>85</v>
      </c>
      <c r="F336">
        <v>3</v>
      </c>
      <c r="G336">
        <v>46075</v>
      </c>
      <c r="H336">
        <v>0.15</v>
      </c>
      <c r="I336" s="8" t="s">
        <v>17</v>
      </c>
      <c r="J336" s="8" t="s">
        <v>71</v>
      </c>
      <c r="K336" s="8" t="s">
        <v>41</v>
      </c>
      <c r="L336">
        <v>117491.25</v>
      </c>
      <c r="M336" s="8" t="s">
        <v>48</v>
      </c>
      <c r="N336">
        <v>117491.25</v>
      </c>
      <c r="O336" s="8" t="s">
        <v>1701</v>
      </c>
      <c r="P336" s="8" t="s">
        <v>1560</v>
      </c>
      <c r="Q336" s="8" t="s">
        <v>1559</v>
      </c>
      <c r="R336" s="8" t="s">
        <v>1561</v>
      </c>
      <c r="S336" s="8" t="s">
        <v>1542</v>
      </c>
      <c r="T336" s="8" t="s">
        <v>1585</v>
      </c>
      <c r="U336" s="8" t="s">
        <v>1586</v>
      </c>
      <c r="V336">
        <v>48500</v>
      </c>
      <c r="W336">
        <v>41200</v>
      </c>
      <c r="X336">
        <v>117491.25</v>
      </c>
      <c r="Y336">
        <v>-6108.75</v>
      </c>
    </row>
    <row r="337" spans="1:25" x14ac:dyDescent="0.3">
      <c r="A337" s="8" t="s">
        <v>610</v>
      </c>
      <c r="B337" s="14">
        <v>46173</v>
      </c>
      <c r="C337" s="8" t="s">
        <v>190</v>
      </c>
      <c r="D337" s="8" t="s">
        <v>40</v>
      </c>
      <c r="E337" s="8" t="s">
        <v>63</v>
      </c>
      <c r="F337">
        <v>8</v>
      </c>
      <c r="G337">
        <v>2200</v>
      </c>
      <c r="H337">
        <v>0.15</v>
      </c>
      <c r="I337" s="8" t="s">
        <v>17</v>
      </c>
      <c r="J337" s="8" t="s">
        <v>18</v>
      </c>
      <c r="K337" s="8" t="s">
        <v>67</v>
      </c>
      <c r="L337">
        <v>14960</v>
      </c>
      <c r="M337" s="8" t="s">
        <v>32</v>
      </c>
      <c r="N337">
        <v>14960</v>
      </c>
      <c r="O337" s="8" t="s">
        <v>1701</v>
      </c>
      <c r="P337" s="8" t="s">
        <v>1555</v>
      </c>
      <c r="Q337" s="8" t="s">
        <v>1554</v>
      </c>
      <c r="R337" s="8" t="s">
        <v>82</v>
      </c>
      <c r="S337" s="8" t="s">
        <v>1542</v>
      </c>
      <c r="T337" s="8" t="s">
        <v>1572</v>
      </c>
      <c r="U337" s="8" t="s">
        <v>1571</v>
      </c>
      <c r="V337">
        <v>2200</v>
      </c>
      <c r="W337">
        <v>1450</v>
      </c>
      <c r="X337">
        <v>14960</v>
      </c>
      <c r="Y337">
        <v>3360</v>
      </c>
    </row>
    <row r="338" spans="1:25" x14ac:dyDescent="0.3">
      <c r="A338" s="8" t="s">
        <v>611</v>
      </c>
      <c r="B338" s="14">
        <v>46190</v>
      </c>
      <c r="C338" s="8" t="s">
        <v>475</v>
      </c>
      <c r="D338" s="8" t="s">
        <v>62</v>
      </c>
      <c r="E338" s="8" t="s">
        <v>183</v>
      </c>
      <c r="F338">
        <v>3</v>
      </c>
      <c r="G338">
        <v>3360</v>
      </c>
      <c r="H338">
        <v>0</v>
      </c>
      <c r="I338" s="8" t="s">
        <v>17</v>
      </c>
      <c r="J338" s="8" t="s">
        <v>18</v>
      </c>
      <c r="K338" s="8" t="s">
        <v>1698</v>
      </c>
      <c r="L338">
        <v>10080</v>
      </c>
      <c r="M338" s="8" t="s">
        <v>32</v>
      </c>
      <c r="N338">
        <v>10080</v>
      </c>
      <c r="O338" s="8" t="s">
        <v>1701</v>
      </c>
      <c r="P338" s="8" t="s">
        <v>1551</v>
      </c>
      <c r="Q338" s="8" t="s">
        <v>1549</v>
      </c>
      <c r="R338" s="8" t="s">
        <v>1552</v>
      </c>
      <c r="S338" s="8" t="s">
        <v>1542</v>
      </c>
      <c r="T338" s="8" t="s">
        <v>1582</v>
      </c>
      <c r="U338" s="8" t="s">
        <v>1583</v>
      </c>
      <c r="V338">
        <v>3200</v>
      </c>
      <c r="W338">
        <v>2050</v>
      </c>
      <c r="X338">
        <v>10080</v>
      </c>
      <c r="Y338">
        <v>3930</v>
      </c>
    </row>
    <row r="339" spans="1:25" x14ac:dyDescent="0.3">
      <c r="A339" s="8" t="s">
        <v>612</v>
      </c>
      <c r="B339" s="14">
        <v>46107</v>
      </c>
      <c r="C339" s="8" t="s">
        <v>613</v>
      </c>
      <c r="D339" s="8" t="s">
        <v>123</v>
      </c>
      <c r="E339" s="8" t="s">
        <v>24</v>
      </c>
      <c r="F339">
        <v>1</v>
      </c>
      <c r="G339">
        <v>11200</v>
      </c>
      <c r="H339">
        <v>0.1</v>
      </c>
      <c r="I339" s="8" t="s">
        <v>80</v>
      </c>
      <c r="J339" s="8" t="s">
        <v>47</v>
      </c>
      <c r="K339" s="8" t="s">
        <v>67</v>
      </c>
      <c r="L339">
        <v>10080</v>
      </c>
      <c r="M339" s="8" t="s">
        <v>26</v>
      </c>
      <c r="N339">
        <v>10080</v>
      </c>
      <c r="O339" s="8" t="s">
        <v>1701</v>
      </c>
      <c r="P339" s="8" t="s">
        <v>1558</v>
      </c>
      <c r="Q339" s="8" t="s">
        <v>1559</v>
      </c>
      <c r="R339" s="8" t="s">
        <v>138</v>
      </c>
      <c r="S339" s="8" t="s">
        <v>1542</v>
      </c>
      <c r="T339" s="8" t="s">
        <v>1574</v>
      </c>
      <c r="U339" s="8" t="s">
        <v>1575</v>
      </c>
      <c r="V339">
        <v>11200</v>
      </c>
      <c r="W339">
        <v>8300</v>
      </c>
      <c r="X339">
        <v>0</v>
      </c>
      <c r="Y339">
        <v>-8300</v>
      </c>
    </row>
    <row r="340" spans="1:25" x14ac:dyDescent="0.3">
      <c r="A340" s="8" t="s">
        <v>614</v>
      </c>
      <c r="B340" s="14">
        <v>46094</v>
      </c>
      <c r="C340" s="8" t="s">
        <v>421</v>
      </c>
      <c r="D340" s="8" t="s">
        <v>90</v>
      </c>
      <c r="E340" s="8" t="s">
        <v>46</v>
      </c>
      <c r="F340">
        <v>5</v>
      </c>
      <c r="G340">
        <v>7800</v>
      </c>
      <c r="H340">
        <v>0.2</v>
      </c>
      <c r="I340" s="8" t="s">
        <v>17</v>
      </c>
      <c r="J340" s="8" t="s">
        <v>47</v>
      </c>
      <c r="K340" s="8" t="s">
        <v>55</v>
      </c>
      <c r="L340">
        <v>31200</v>
      </c>
      <c r="M340" s="8" t="s">
        <v>138</v>
      </c>
      <c r="N340">
        <v>31200</v>
      </c>
      <c r="O340" s="8" t="s">
        <v>1701</v>
      </c>
      <c r="P340" s="8" t="s">
        <v>1562</v>
      </c>
      <c r="Q340" s="8" t="s">
        <v>1563</v>
      </c>
      <c r="R340" s="8" t="s">
        <v>48</v>
      </c>
      <c r="S340" s="8" t="s">
        <v>1542</v>
      </c>
      <c r="T340" s="8" t="s">
        <v>1579</v>
      </c>
      <c r="U340" s="8" t="s">
        <v>1580</v>
      </c>
      <c r="V340">
        <v>7800</v>
      </c>
      <c r="W340">
        <v>5200</v>
      </c>
      <c r="X340">
        <v>31200</v>
      </c>
      <c r="Y340">
        <v>5200</v>
      </c>
    </row>
    <row r="341" spans="1:25" x14ac:dyDescent="0.3">
      <c r="A341" s="8" t="s">
        <v>615</v>
      </c>
      <c r="B341" s="14">
        <v>46091</v>
      </c>
      <c r="C341" s="8" t="s">
        <v>616</v>
      </c>
      <c r="D341" s="8" t="s">
        <v>123</v>
      </c>
      <c r="E341" s="8" t="s">
        <v>161</v>
      </c>
      <c r="F341">
        <v>3</v>
      </c>
      <c r="G341">
        <v>2600</v>
      </c>
      <c r="H341">
        <v>0</v>
      </c>
      <c r="I341" s="8" t="s">
        <v>17</v>
      </c>
      <c r="J341" s="8" t="s">
        <v>18</v>
      </c>
      <c r="K341" s="8" t="s">
        <v>25</v>
      </c>
      <c r="L341">
        <v>7800</v>
      </c>
      <c r="M341" s="8" t="s">
        <v>138</v>
      </c>
      <c r="N341">
        <v>7800</v>
      </c>
      <c r="O341" s="8" t="s">
        <v>1701</v>
      </c>
      <c r="P341" s="8" t="s">
        <v>1558</v>
      </c>
      <c r="Q341" s="8" t="s">
        <v>1559</v>
      </c>
      <c r="R341" s="8" t="s">
        <v>138</v>
      </c>
      <c r="S341" s="8" t="s">
        <v>1542</v>
      </c>
      <c r="T341" s="8" t="s">
        <v>1578</v>
      </c>
      <c r="U341" s="8" t="s">
        <v>1571</v>
      </c>
      <c r="V341">
        <v>2600</v>
      </c>
      <c r="W341">
        <v>1750</v>
      </c>
      <c r="X341">
        <v>7800</v>
      </c>
      <c r="Y341">
        <v>2550</v>
      </c>
    </row>
    <row r="342" spans="1:25" x14ac:dyDescent="0.3">
      <c r="A342" s="8" t="s">
        <v>617</v>
      </c>
      <c r="B342" s="14">
        <v>46037</v>
      </c>
      <c r="C342" s="8" t="s">
        <v>378</v>
      </c>
      <c r="D342" s="8" t="s">
        <v>152</v>
      </c>
      <c r="E342" s="8" t="s">
        <v>30</v>
      </c>
      <c r="F342">
        <v>1</v>
      </c>
      <c r="G342">
        <v>1800</v>
      </c>
      <c r="H342">
        <v>0.2</v>
      </c>
      <c r="I342" s="8" t="s">
        <v>17</v>
      </c>
      <c r="J342" s="8" t="s">
        <v>71</v>
      </c>
      <c r="K342" s="8" t="s">
        <v>41</v>
      </c>
      <c r="L342">
        <v>1440</v>
      </c>
      <c r="M342" s="8" t="s">
        <v>52</v>
      </c>
      <c r="N342">
        <v>1440</v>
      </c>
      <c r="O342" s="8" t="s">
        <v>1701</v>
      </c>
      <c r="P342" s="8" t="s">
        <v>1553</v>
      </c>
      <c r="Q342" s="8" t="s">
        <v>1554</v>
      </c>
      <c r="R342" s="8" t="s">
        <v>59</v>
      </c>
      <c r="S342" s="8" t="s">
        <v>1542</v>
      </c>
      <c r="T342" s="8" t="s">
        <v>1573</v>
      </c>
      <c r="U342" s="8" t="s">
        <v>1571</v>
      </c>
      <c r="V342">
        <v>1800</v>
      </c>
      <c r="W342">
        <v>1120</v>
      </c>
      <c r="X342">
        <v>1440</v>
      </c>
      <c r="Y342">
        <v>320</v>
      </c>
    </row>
    <row r="343" spans="1:25" x14ac:dyDescent="0.3">
      <c r="A343" s="8" t="s">
        <v>618</v>
      </c>
      <c r="B343" s="14">
        <v>46037</v>
      </c>
      <c r="C343" s="8" t="s">
        <v>619</v>
      </c>
      <c r="D343" s="8" t="s">
        <v>23</v>
      </c>
      <c r="E343" s="8" t="s">
        <v>16</v>
      </c>
      <c r="F343">
        <v>2</v>
      </c>
      <c r="G343">
        <v>650</v>
      </c>
      <c r="H343">
        <v>0.05</v>
      </c>
      <c r="I343" s="8" t="s">
        <v>17</v>
      </c>
      <c r="J343" s="8" t="s">
        <v>18</v>
      </c>
      <c r="K343" s="8" t="s">
        <v>25</v>
      </c>
      <c r="L343">
        <v>1235</v>
      </c>
      <c r="M343" s="8" t="s">
        <v>32</v>
      </c>
      <c r="N343">
        <v>1235</v>
      </c>
      <c r="O343" s="8" t="s">
        <v>1701</v>
      </c>
      <c r="P343" s="8" t="s">
        <v>1545</v>
      </c>
      <c r="Q343" s="8" t="s">
        <v>1541</v>
      </c>
      <c r="R343" s="8" t="s">
        <v>1546</v>
      </c>
      <c r="S343" s="8" t="s">
        <v>1542</v>
      </c>
      <c r="T343" s="8" t="s">
        <v>1570</v>
      </c>
      <c r="U343" s="8" t="s">
        <v>1571</v>
      </c>
      <c r="V343">
        <v>650</v>
      </c>
      <c r="W343">
        <v>390</v>
      </c>
      <c r="X343">
        <v>1235</v>
      </c>
      <c r="Y343">
        <v>455</v>
      </c>
    </row>
    <row r="344" spans="1:25" x14ac:dyDescent="0.3">
      <c r="A344" s="8" t="s">
        <v>620</v>
      </c>
      <c r="B344" s="14">
        <v>46185</v>
      </c>
      <c r="C344" s="8" t="s">
        <v>310</v>
      </c>
      <c r="D344" s="8" t="s">
        <v>77</v>
      </c>
      <c r="E344" s="8" t="s">
        <v>63</v>
      </c>
      <c r="F344">
        <v>3</v>
      </c>
      <c r="G344">
        <v>2310</v>
      </c>
      <c r="H344">
        <v>0</v>
      </c>
      <c r="I344" s="8" t="s">
        <v>17</v>
      </c>
      <c r="J344" s="8" t="s">
        <v>18</v>
      </c>
      <c r="K344" s="8" t="s">
        <v>25</v>
      </c>
      <c r="L344">
        <v>6930</v>
      </c>
      <c r="M344" s="8" t="s">
        <v>82</v>
      </c>
      <c r="N344">
        <v>6930</v>
      </c>
      <c r="O344" s="8" t="s">
        <v>1701</v>
      </c>
      <c r="P344" s="8" t="s">
        <v>1564</v>
      </c>
      <c r="Q344" s="8" t="s">
        <v>1563</v>
      </c>
      <c r="R344" s="8" t="s">
        <v>1565</v>
      </c>
      <c r="S344" s="8" t="s">
        <v>1542</v>
      </c>
      <c r="T344" s="8" t="s">
        <v>1572</v>
      </c>
      <c r="U344" s="8" t="s">
        <v>1571</v>
      </c>
      <c r="V344">
        <v>2200</v>
      </c>
      <c r="W344">
        <v>1450</v>
      </c>
      <c r="X344">
        <v>6930</v>
      </c>
      <c r="Y344">
        <v>2580</v>
      </c>
    </row>
    <row r="345" spans="1:25" x14ac:dyDescent="0.3">
      <c r="A345" s="8" t="s">
        <v>621</v>
      </c>
      <c r="B345" s="14">
        <v>46112</v>
      </c>
      <c r="C345" s="8" t="s">
        <v>321</v>
      </c>
      <c r="D345" s="8" t="s">
        <v>35</v>
      </c>
      <c r="E345" s="8" t="s">
        <v>30</v>
      </c>
      <c r="F345">
        <v>4</v>
      </c>
      <c r="G345">
        <v>1710</v>
      </c>
      <c r="H345">
        <v>0.05</v>
      </c>
      <c r="I345" s="8" t="s">
        <v>17</v>
      </c>
      <c r="J345" s="8" t="s">
        <v>31</v>
      </c>
      <c r="K345" s="8" t="s">
        <v>55</v>
      </c>
      <c r="L345">
        <v>6498</v>
      </c>
      <c r="M345" s="8" t="s">
        <v>20</v>
      </c>
      <c r="N345">
        <v>6498</v>
      </c>
      <c r="O345" s="8" t="s">
        <v>1701</v>
      </c>
      <c r="P345" s="8" t="s">
        <v>1548</v>
      </c>
      <c r="Q345" s="8" t="s">
        <v>1549</v>
      </c>
      <c r="R345" s="8" t="s">
        <v>42</v>
      </c>
      <c r="S345" s="8" t="s">
        <v>1542</v>
      </c>
      <c r="T345" s="8" t="s">
        <v>1573</v>
      </c>
      <c r="U345" s="8" t="s">
        <v>1571</v>
      </c>
      <c r="V345">
        <v>1800</v>
      </c>
      <c r="W345">
        <v>1120</v>
      </c>
      <c r="X345">
        <v>6498</v>
      </c>
      <c r="Y345">
        <v>2018</v>
      </c>
    </row>
    <row r="346" spans="1:25" x14ac:dyDescent="0.3">
      <c r="A346" s="8" t="s">
        <v>622</v>
      </c>
      <c r="B346" s="14">
        <v>46064</v>
      </c>
      <c r="C346" s="8" t="s">
        <v>623</v>
      </c>
      <c r="D346" s="8" t="s">
        <v>90</v>
      </c>
      <c r="E346" s="8" t="s">
        <v>183</v>
      </c>
      <c r="F346">
        <v>4</v>
      </c>
      <c r="G346">
        <v>3200</v>
      </c>
      <c r="H346">
        <v>0</v>
      </c>
      <c r="I346" s="8" t="s">
        <v>66</v>
      </c>
      <c r="J346" s="8" t="s">
        <v>47</v>
      </c>
      <c r="K346" s="8" t="s">
        <v>55</v>
      </c>
      <c r="L346">
        <v>12800</v>
      </c>
      <c r="M346" s="8" t="s">
        <v>82</v>
      </c>
      <c r="N346">
        <v>12800</v>
      </c>
      <c r="O346" s="8" t="s">
        <v>1701</v>
      </c>
      <c r="P346" s="8" t="s">
        <v>1562</v>
      </c>
      <c r="Q346" s="8" t="s">
        <v>1563</v>
      </c>
      <c r="R346" s="8" t="s">
        <v>48</v>
      </c>
      <c r="S346" s="8" t="s">
        <v>1542</v>
      </c>
      <c r="T346" s="8" t="s">
        <v>1582</v>
      </c>
      <c r="U346" s="8" t="s">
        <v>1583</v>
      </c>
      <c r="V346">
        <v>3200</v>
      </c>
      <c r="W346">
        <v>2050</v>
      </c>
      <c r="X346">
        <v>0</v>
      </c>
      <c r="Y346">
        <v>-8200</v>
      </c>
    </row>
    <row r="347" spans="1:25" x14ac:dyDescent="0.3">
      <c r="A347" s="8" t="s">
        <v>624</v>
      </c>
      <c r="B347" s="14">
        <v>46028</v>
      </c>
      <c r="C347" s="8" t="s">
        <v>338</v>
      </c>
      <c r="D347" s="8" t="s">
        <v>90</v>
      </c>
      <c r="E347" s="8" t="s">
        <v>74</v>
      </c>
      <c r="F347">
        <v>1</v>
      </c>
      <c r="G347">
        <v>2280</v>
      </c>
      <c r="H347">
        <v>0</v>
      </c>
      <c r="I347" s="8" t="s">
        <v>17</v>
      </c>
      <c r="J347" s="8" t="s">
        <v>47</v>
      </c>
      <c r="K347" s="8" t="s">
        <v>25</v>
      </c>
      <c r="L347">
        <v>2280</v>
      </c>
      <c r="M347" s="8" t="s">
        <v>26</v>
      </c>
      <c r="N347">
        <v>2280</v>
      </c>
      <c r="O347" s="8" t="s">
        <v>1701</v>
      </c>
      <c r="P347" s="8" t="s">
        <v>1562</v>
      </c>
      <c r="Q347" s="8" t="s">
        <v>1563</v>
      </c>
      <c r="R347" s="8" t="s">
        <v>48</v>
      </c>
      <c r="S347" s="8" t="s">
        <v>1542</v>
      </c>
      <c r="T347" s="8" t="s">
        <v>1584</v>
      </c>
      <c r="U347" s="8" t="s">
        <v>1583</v>
      </c>
      <c r="V347">
        <v>2400</v>
      </c>
      <c r="W347">
        <v>1480</v>
      </c>
      <c r="X347">
        <v>2280</v>
      </c>
      <c r="Y347">
        <v>800</v>
      </c>
    </row>
    <row r="348" spans="1:25" x14ac:dyDescent="0.3">
      <c r="A348" s="8" t="s">
        <v>625</v>
      </c>
      <c r="B348" s="14">
        <v>46187</v>
      </c>
      <c r="C348" s="8" t="s">
        <v>144</v>
      </c>
      <c r="D348" s="8" t="s">
        <v>45</v>
      </c>
      <c r="E348" s="8" t="s">
        <v>161</v>
      </c>
      <c r="F348">
        <v>5</v>
      </c>
      <c r="G348">
        <v>2600</v>
      </c>
      <c r="H348">
        <v>0.05</v>
      </c>
      <c r="I348" s="8" t="s">
        <v>17</v>
      </c>
      <c r="J348" s="8" t="s">
        <v>47</v>
      </c>
      <c r="K348" s="8" t="s">
        <v>25</v>
      </c>
      <c r="L348">
        <v>12350</v>
      </c>
      <c r="M348" s="8" t="s">
        <v>48</v>
      </c>
      <c r="N348">
        <v>12350</v>
      </c>
      <c r="O348" s="8" t="s">
        <v>1701</v>
      </c>
      <c r="P348" s="8" t="s">
        <v>1547</v>
      </c>
      <c r="Q348" s="8" t="s">
        <v>1541</v>
      </c>
      <c r="R348" s="8" t="s">
        <v>56</v>
      </c>
      <c r="S348" s="8" t="s">
        <v>1542</v>
      </c>
      <c r="T348" s="8" t="s">
        <v>1578</v>
      </c>
      <c r="U348" s="8" t="s">
        <v>1571</v>
      </c>
      <c r="V348">
        <v>2600</v>
      </c>
      <c r="W348">
        <v>1750</v>
      </c>
      <c r="X348">
        <v>12350</v>
      </c>
      <c r="Y348">
        <v>3600</v>
      </c>
    </row>
    <row r="349" spans="1:25" x14ac:dyDescent="0.3">
      <c r="A349" s="8" t="s">
        <v>626</v>
      </c>
      <c r="B349" s="14">
        <v>46124</v>
      </c>
      <c r="C349" s="8" t="s">
        <v>554</v>
      </c>
      <c r="D349" s="8" t="s">
        <v>40</v>
      </c>
      <c r="E349" s="8" t="s">
        <v>63</v>
      </c>
      <c r="F349">
        <v>1</v>
      </c>
      <c r="G349">
        <v>2200</v>
      </c>
      <c r="H349">
        <v>0.2</v>
      </c>
      <c r="I349" s="8" t="s">
        <v>116</v>
      </c>
      <c r="J349" s="8" t="s">
        <v>47</v>
      </c>
      <c r="K349" s="8" t="s">
        <v>1698</v>
      </c>
      <c r="L349">
        <v>1760</v>
      </c>
      <c r="M349" s="8" t="s">
        <v>56</v>
      </c>
      <c r="N349">
        <v>1760</v>
      </c>
      <c r="O349" s="8" t="s">
        <v>1701</v>
      </c>
      <c r="P349" s="8" t="s">
        <v>1555</v>
      </c>
      <c r="Q349" s="8" t="s">
        <v>1554</v>
      </c>
      <c r="R349" s="8" t="s">
        <v>82</v>
      </c>
      <c r="S349" s="8" t="s">
        <v>1542</v>
      </c>
      <c r="T349" s="8" t="s">
        <v>1572</v>
      </c>
      <c r="U349" s="8" t="s">
        <v>1571</v>
      </c>
      <c r="V349">
        <v>2200</v>
      </c>
      <c r="W349">
        <v>1450</v>
      </c>
      <c r="X349">
        <v>0</v>
      </c>
      <c r="Y349">
        <v>-1450</v>
      </c>
    </row>
    <row r="350" spans="1:25" x14ac:dyDescent="0.3">
      <c r="A350" s="8" t="s">
        <v>627</v>
      </c>
      <c r="B350" s="14">
        <v>46039</v>
      </c>
      <c r="C350" s="8" t="s">
        <v>628</v>
      </c>
      <c r="D350" s="8" t="s">
        <v>35</v>
      </c>
      <c r="E350" s="8" t="s">
        <v>135</v>
      </c>
      <c r="F350">
        <v>3</v>
      </c>
      <c r="G350">
        <v>16800</v>
      </c>
      <c r="H350">
        <v>0.05</v>
      </c>
      <c r="I350" s="8" t="s">
        <v>17</v>
      </c>
      <c r="J350" s="8" t="s">
        <v>71</v>
      </c>
      <c r="K350" s="8" t="s">
        <v>25</v>
      </c>
      <c r="L350">
        <v>47880</v>
      </c>
      <c r="M350" s="8" t="s">
        <v>52</v>
      </c>
      <c r="N350">
        <v>47880</v>
      </c>
      <c r="O350" s="8" t="s">
        <v>1701</v>
      </c>
      <c r="P350" s="8" t="s">
        <v>1548</v>
      </c>
      <c r="Q350" s="8" t="s">
        <v>1549</v>
      </c>
      <c r="R350" s="8" t="s">
        <v>42</v>
      </c>
      <c r="S350" s="8" t="s">
        <v>1542</v>
      </c>
      <c r="T350" s="8" t="s">
        <v>1576</v>
      </c>
      <c r="U350" s="8" t="s">
        <v>1575</v>
      </c>
      <c r="V350">
        <v>16800</v>
      </c>
      <c r="W350">
        <v>12600</v>
      </c>
      <c r="X350">
        <v>47880</v>
      </c>
      <c r="Y350">
        <v>10080</v>
      </c>
    </row>
    <row r="351" spans="1:25" x14ac:dyDescent="0.3">
      <c r="A351" s="8" t="s">
        <v>629</v>
      </c>
      <c r="B351" s="14">
        <v>46037</v>
      </c>
      <c r="C351" s="8" t="s">
        <v>353</v>
      </c>
      <c r="D351" s="8" t="s">
        <v>29</v>
      </c>
      <c r="E351" s="8" t="s">
        <v>183</v>
      </c>
      <c r="F351">
        <v>2</v>
      </c>
      <c r="G351">
        <v>3040</v>
      </c>
      <c r="H351">
        <v>0.05</v>
      </c>
      <c r="I351" s="8" t="s">
        <v>17</v>
      </c>
      <c r="J351" s="8" t="s">
        <v>47</v>
      </c>
      <c r="K351" s="8" t="s">
        <v>67</v>
      </c>
      <c r="L351">
        <v>5776</v>
      </c>
      <c r="M351" s="8" t="s">
        <v>32</v>
      </c>
      <c r="N351">
        <v>5776</v>
      </c>
      <c r="O351" s="8" t="s">
        <v>1701</v>
      </c>
      <c r="P351" s="8" t="s">
        <v>1560</v>
      </c>
      <c r="Q351" s="8" t="s">
        <v>1559</v>
      </c>
      <c r="R351" s="8" t="s">
        <v>1561</v>
      </c>
      <c r="S351" s="8" t="s">
        <v>1542</v>
      </c>
      <c r="T351" s="8" t="s">
        <v>1582</v>
      </c>
      <c r="U351" s="8" t="s">
        <v>1583</v>
      </c>
      <c r="V351">
        <v>3200</v>
      </c>
      <c r="W351">
        <v>2050</v>
      </c>
      <c r="X351">
        <v>5776</v>
      </c>
      <c r="Y351">
        <v>1676</v>
      </c>
    </row>
    <row r="352" spans="1:25" x14ac:dyDescent="0.3">
      <c r="A352" s="8" t="s">
        <v>630</v>
      </c>
      <c r="B352" s="14">
        <v>46126</v>
      </c>
      <c r="C352" s="8" t="s">
        <v>118</v>
      </c>
      <c r="D352" s="8" t="s">
        <v>70</v>
      </c>
      <c r="E352" s="8" t="s">
        <v>85</v>
      </c>
      <c r="F352">
        <v>1</v>
      </c>
      <c r="G352">
        <v>48500</v>
      </c>
      <c r="H352">
        <v>0.2</v>
      </c>
      <c r="I352" s="8" t="s">
        <v>116</v>
      </c>
      <c r="J352" s="8" t="s">
        <v>71</v>
      </c>
      <c r="K352" s="8" t="s">
        <v>25</v>
      </c>
      <c r="L352">
        <v>38800</v>
      </c>
      <c r="M352" s="8" t="s">
        <v>56</v>
      </c>
      <c r="N352">
        <v>38800</v>
      </c>
      <c r="O352" s="8" t="s">
        <v>1701</v>
      </c>
      <c r="P352" s="8" t="s">
        <v>1550</v>
      </c>
      <c r="Q352" s="8" t="s">
        <v>1549</v>
      </c>
      <c r="R352" s="8" t="s">
        <v>32</v>
      </c>
      <c r="S352" s="8" t="s">
        <v>1542</v>
      </c>
      <c r="T352" s="8" t="s">
        <v>1585</v>
      </c>
      <c r="U352" s="8" t="s">
        <v>1586</v>
      </c>
      <c r="V352">
        <v>48500</v>
      </c>
      <c r="W352">
        <v>41200</v>
      </c>
      <c r="X352">
        <v>0</v>
      </c>
      <c r="Y352">
        <v>-41200</v>
      </c>
    </row>
    <row r="353" spans="1:25" x14ac:dyDescent="0.3">
      <c r="A353" s="8" t="s">
        <v>631</v>
      </c>
      <c r="B353" s="14">
        <v>46194</v>
      </c>
      <c r="C353" s="8" t="s">
        <v>355</v>
      </c>
      <c r="D353" s="8" t="s">
        <v>35</v>
      </c>
      <c r="E353" s="8" t="s">
        <v>51</v>
      </c>
      <c r="F353">
        <v>2</v>
      </c>
      <c r="G353">
        <v>18500</v>
      </c>
      <c r="H353">
        <v>0</v>
      </c>
      <c r="I353" s="8" t="s">
        <v>66</v>
      </c>
      <c r="J353" s="8" t="s">
        <v>31</v>
      </c>
      <c r="K353" s="8" t="s">
        <v>55</v>
      </c>
      <c r="L353">
        <v>37000</v>
      </c>
      <c r="M353" s="8" t="s">
        <v>59</v>
      </c>
      <c r="N353">
        <v>37000</v>
      </c>
      <c r="O353" s="8" t="s">
        <v>1701</v>
      </c>
      <c r="P353" s="8" t="s">
        <v>1548</v>
      </c>
      <c r="Q353" s="8" t="s">
        <v>1549</v>
      </c>
      <c r="R353" s="8" t="s">
        <v>42</v>
      </c>
      <c r="S353" s="8" t="s">
        <v>1542</v>
      </c>
      <c r="T353" s="8" t="s">
        <v>1581</v>
      </c>
      <c r="U353" s="8" t="s">
        <v>1580</v>
      </c>
      <c r="V353">
        <v>18500</v>
      </c>
      <c r="W353">
        <v>13900</v>
      </c>
      <c r="X353">
        <v>0</v>
      </c>
      <c r="Y353">
        <v>-27800</v>
      </c>
    </row>
    <row r="354" spans="1:25" x14ac:dyDescent="0.3">
      <c r="A354" s="8" t="s">
        <v>632</v>
      </c>
      <c r="B354" s="14">
        <v>46089</v>
      </c>
      <c r="C354" s="8" t="s">
        <v>304</v>
      </c>
      <c r="D354" s="8" t="s">
        <v>123</v>
      </c>
      <c r="E354" s="8" t="s">
        <v>51</v>
      </c>
      <c r="F354">
        <v>4</v>
      </c>
      <c r="G354">
        <v>18500</v>
      </c>
      <c r="H354">
        <v>0</v>
      </c>
      <c r="I354" s="8" t="s">
        <v>80</v>
      </c>
      <c r="J354" s="8" t="s">
        <v>71</v>
      </c>
      <c r="K354" s="8" t="s">
        <v>67</v>
      </c>
      <c r="L354">
        <v>74000</v>
      </c>
      <c r="M354" s="8" t="s">
        <v>52</v>
      </c>
      <c r="N354">
        <v>74000</v>
      </c>
      <c r="O354" s="8" t="s">
        <v>1701</v>
      </c>
      <c r="P354" s="8" t="s">
        <v>1558</v>
      </c>
      <c r="Q354" s="8" t="s">
        <v>1559</v>
      </c>
      <c r="R354" s="8" t="s">
        <v>138</v>
      </c>
      <c r="S354" s="8" t="s">
        <v>1542</v>
      </c>
      <c r="T354" s="8" t="s">
        <v>1581</v>
      </c>
      <c r="U354" s="8" t="s">
        <v>1580</v>
      </c>
      <c r="V354">
        <v>18500</v>
      </c>
      <c r="W354">
        <v>13900</v>
      </c>
      <c r="X354">
        <v>0</v>
      </c>
      <c r="Y354">
        <v>-55600</v>
      </c>
    </row>
    <row r="355" spans="1:25" x14ac:dyDescent="0.3">
      <c r="A355" s="8" t="s">
        <v>634</v>
      </c>
      <c r="B355" s="14">
        <v>46181</v>
      </c>
      <c r="C355" s="8" t="s">
        <v>635</v>
      </c>
      <c r="D355" s="8" t="s">
        <v>15</v>
      </c>
      <c r="E355" s="8" t="s">
        <v>46</v>
      </c>
      <c r="F355">
        <v>5</v>
      </c>
      <c r="G355">
        <v>8190</v>
      </c>
      <c r="H355">
        <v>0.15</v>
      </c>
      <c r="I355" s="8" t="s">
        <v>17</v>
      </c>
      <c r="J355" s="8" t="s">
        <v>18</v>
      </c>
      <c r="K355" s="8" t="s">
        <v>1698</v>
      </c>
      <c r="L355">
        <v>34807.5</v>
      </c>
      <c r="M355" s="8" t="s">
        <v>59</v>
      </c>
      <c r="N355">
        <v>34807.5</v>
      </c>
      <c r="O355" s="8" t="s">
        <v>1701</v>
      </c>
      <c r="P355" s="8" t="s">
        <v>1543</v>
      </c>
      <c r="Q355" s="8" t="s">
        <v>1541</v>
      </c>
      <c r="R355" s="8" t="s">
        <v>52</v>
      </c>
      <c r="S355" s="8" t="s">
        <v>1542</v>
      </c>
      <c r="T355" s="8" t="s">
        <v>1579</v>
      </c>
      <c r="U355" s="8" t="s">
        <v>1580</v>
      </c>
      <c r="V355">
        <v>7800</v>
      </c>
      <c r="W355">
        <v>5200</v>
      </c>
      <c r="X355">
        <v>34807.5</v>
      </c>
      <c r="Y355">
        <v>8807.5</v>
      </c>
    </row>
    <row r="356" spans="1:25" x14ac:dyDescent="0.3">
      <c r="A356" s="8" t="s">
        <v>636</v>
      </c>
      <c r="B356" s="14">
        <v>46058</v>
      </c>
      <c r="C356" s="8" t="s">
        <v>475</v>
      </c>
      <c r="D356" s="8" t="s">
        <v>23</v>
      </c>
      <c r="E356" s="8" t="s">
        <v>36</v>
      </c>
      <c r="F356">
        <v>2</v>
      </c>
      <c r="G356">
        <v>1470</v>
      </c>
      <c r="H356">
        <v>0.15</v>
      </c>
      <c r="I356" s="8" t="s">
        <v>66</v>
      </c>
      <c r="J356" s="8" t="s">
        <v>47</v>
      </c>
      <c r="K356" s="8" t="s">
        <v>41</v>
      </c>
      <c r="L356">
        <v>2499</v>
      </c>
      <c r="M356" s="8" t="s">
        <v>42</v>
      </c>
      <c r="N356">
        <v>2499</v>
      </c>
      <c r="O356" s="8" t="s">
        <v>1701</v>
      </c>
      <c r="P356" s="8" t="s">
        <v>1545</v>
      </c>
      <c r="Q356" s="8" t="s">
        <v>1541</v>
      </c>
      <c r="R356" s="8" t="s">
        <v>1546</v>
      </c>
      <c r="S356" s="8" t="s">
        <v>1542</v>
      </c>
      <c r="T356" s="8" t="s">
        <v>1577</v>
      </c>
      <c r="U356" s="8" t="s">
        <v>1571</v>
      </c>
      <c r="V356">
        <v>1400</v>
      </c>
      <c r="W356">
        <v>780</v>
      </c>
      <c r="X356">
        <v>0</v>
      </c>
      <c r="Y356">
        <v>-1560</v>
      </c>
    </row>
    <row r="357" spans="1:25" x14ac:dyDescent="0.3">
      <c r="A357" s="8" t="s">
        <v>637</v>
      </c>
      <c r="B357" s="14">
        <v>46147</v>
      </c>
      <c r="C357" s="8" t="s">
        <v>84</v>
      </c>
      <c r="D357" s="8" t="s">
        <v>35</v>
      </c>
      <c r="E357" s="8" t="s">
        <v>74</v>
      </c>
      <c r="F357">
        <v>10</v>
      </c>
      <c r="G357">
        <v>2280</v>
      </c>
      <c r="H357">
        <v>0.05</v>
      </c>
      <c r="I357" s="8" t="s">
        <v>17</v>
      </c>
      <c r="J357" s="8" t="s">
        <v>47</v>
      </c>
      <c r="K357" s="8" t="s">
        <v>41</v>
      </c>
      <c r="L357">
        <v>21660</v>
      </c>
      <c r="M357" s="8" t="s">
        <v>59</v>
      </c>
      <c r="N357">
        <v>21660</v>
      </c>
      <c r="O357" s="8" t="s">
        <v>1701</v>
      </c>
      <c r="P357" s="8" t="s">
        <v>1548</v>
      </c>
      <c r="Q357" s="8" t="s">
        <v>1549</v>
      </c>
      <c r="R357" s="8" t="s">
        <v>42</v>
      </c>
      <c r="S357" s="8" t="s">
        <v>1542</v>
      </c>
      <c r="T357" s="8" t="s">
        <v>1584</v>
      </c>
      <c r="U357" s="8" t="s">
        <v>1583</v>
      </c>
      <c r="V357">
        <v>2400</v>
      </c>
      <c r="W357">
        <v>1480</v>
      </c>
      <c r="X357">
        <v>21660</v>
      </c>
      <c r="Y357">
        <v>6860</v>
      </c>
    </row>
    <row r="358" spans="1:25" x14ac:dyDescent="0.3">
      <c r="A358" s="8" t="s">
        <v>638</v>
      </c>
      <c r="B358" s="14">
        <v>46170</v>
      </c>
      <c r="C358" s="8" t="s">
        <v>522</v>
      </c>
      <c r="D358" s="8" t="s">
        <v>29</v>
      </c>
      <c r="E358" s="8" t="s">
        <v>30</v>
      </c>
      <c r="F358">
        <v>2</v>
      </c>
      <c r="G358">
        <v>1890</v>
      </c>
      <c r="H358">
        <v>0</v>
      </c>
      <c r="I358" s="8" t="s">
        <v>17</v>
      </c>
      <c r="J358" s="8" t="s">
        <v>18</v>
      </c>
      <c r="K358" s="8" t="s">
        <v>55</v>
      </c>
      <c r="L358">
        <v>3780</v>
      </c>
      <c r="M358" s="8" t="s">
        <v>56</v>
      </c>
      <c r="N358">
        <v>3780</v>
      </c>
      <c r="O358" s="8" t="s">
        <v>1701</v>
      </c>
      <c r="P358" s="8" t="s">
        <v>1560</v>
      </c>
      <c r="Q358" s="8" t="s">
        <v>1559</v>
      </c>
      <c r="R358" s="8" t="s">
        <v>1561</v>
      </c>
      <c r="S358" s="8" t="s">
        <v>1542</v>
      </c>
      <c r="T358" s="8" t="s">
        <v>1573</v>
      </c>
      <c r="U358" s="8" t="s">
        <v>1571</v>
      </c>
      <c r="V358">
        <v>1800</v>
      </c>
      <c r="W358">
        <v>1120</v>
      </c>
      <c r="X358">
        <v>3780</v>
      </c>
      <c r="Y358">
        <v>1540</v>
      </c>
    </row>
    <row r="359" spans="1:25" x14ac:dyDescent="0.3">
      <c r="A359" s="8" t="s">
        <v>639</v>
      </c>
      <c r="B359" s="14">
        <v>46121</v>
      </c>
      <c r="C359" s="8" t="s">
        <v>315</v>
      </c>
      <c r="D359" s="8" t="s">
        <v>168</v>
      </c>
      <c r="E359" s="8" t="s">
        <v>16</v>
      </c>
      <c r="F359">
        <v>2</v>
      </c>
      <c r="G359">
        <v>617.5</v>
      </c>
      <c r="H359">
        <v>0.2</v>
      </c>
      <c r="I359" s="8" t="s">
        <v>17</v>
      </c>
      <c r="J359" s="8" t="s">
        <v>71</v>
      </c>
      <c r="K359" s="8" t="s">
        <v>1698</v>
      </c>
      <c r="L359">
        <v>988</v>
      </c>
      <c r="M359" s="8" t="s">
        <v>20</v>
      </c>
      <c r="N359">
        <v>988</v>
      </c>
      <c r="O359" s="8" t="s">
        <v>1701</v>
      </c>
      <c r="P359" s="8" t="s">
        <v>1540</v>
      </c>
      <c r="Q359" s="8" t="s">
        <v>1541</v>
      </c>
      <c r="R359" s="8" t="s">
        <v>20</v>
      </c>
      <c r="S359" s="8" t="s">
        <v>1542</v>
      </c>
      <c r="T359" s="8" t="s">
        <v>1570</v>
      </c>
      <c r="U359" s="8" t="s">
        <v>1571</v>
      </c>
      <c r="V359">
        <v>650</v>
      </c>
      <c r="W359">
        <v>390</v>
      </c>
      <c r="X359">
        <v>988</v>
      </c>
      <c r="Y359">
        <v>208</v>
      </c>
    </row>
    <row r="360" spans="1:25" x14ac:dyDescent="0.3">
      <c r="A360" s="8" t="s">
        <v>640</v>
      </c>
      <c r="B360" s="14">
        <v>46183</v>
      </c>
      <c r="C360" s="8" t="s">
        <v>230</v>
      </c>
      <c r="D360" s="8" t="s">
        <v>123</v>
      </c>
      <c r="E360" s="8" t="s">
        <v>24</v>
      </c>
      <c r="F360">
        <v>1</v>
      </c>
      <c r="G360">
        <v>10640</v>
      </c>
      <c r="H360">
        <v>0.05</v>
      </c>
      <c r="I360" s="8" t="s">
        <v>17</v>
      </c>
      <c r="J360" s="8" t="s">
        <v>47</v>
      </c>
      <c r="K360" s="8" t="s">
        <v>41</v>
      </c>
      <c r="L360">
        <v>10108</v>
      </c>
      <c r="M360" s="8" t="s">
        <v>42</v>
      </c>
      <c r="N360">
        <v>10108</v>
      </c>
      <c r="O360" s="8" t="s">
        <v>1701</v>
      </c>
      <c r="P360" s="8" t="s">
        <v>1558</v>
      </c>
      <c r="Q360" s="8" t="s">
        <v>1559</v>
      </c>
      <c r="R360" s="8" t="s">
        <v>138</v>
      </c>
      <c r="S360" s="8" t="s">
        <v>1542</v>
      </c>
      <c r="T360" s="8" t="s">
        <v>1574</v>
      </c>
      <c r="U360" s="8" t="s">
        <v>1575</v>
      </c>
      <c r="V360">
        <v>11200</v>
      </c>
      <c r="W360">
        <v>8300</v>
      </c>
      <c r="X360">
        <v>10108</v>
      </c>
      <c r="Y360">
        <v>1808</v>
      </c>
    </row>
    <row r="361" spans="1:25" x14ac:dyDescent="0.3">
      <c r="A361" s="8" t="s">
        <v>641</v>
      </c>
      <c r="B361" s="14">
        <v>46034</v>
      </c>
      <c r="C361" s="8" t="s">
        <v>607</v>
      </c>
      <c r="D361" s="8" t="s">
        <v>45</v>
      </c>
      <c r="E361" s="8" t="s">
        <v>135</v>
      </c>
      <c r="F361">
        <v>2</v>
      </c>
      <c r="G361">
        <v>16800</v>
      </c>
      <c r="H361">
        <v>0.15</v>
      </c>
      <c r="I361" s="8" t="s">
        <v>17</v>
      </c>
      <c r="J361" s="8" t="s">
        <v>71</v>
      </c>
      <c r="K361" s="8" t="s">
        <v>67</v>
      </c>
      <c r="L361">
        <v>28560</v>
      </c>
      <c r="M361" s="8" t="s">
        <v>56</v>
      </c>
      <c r="N361">
        <v>28560</v>
      </c>
      <c r="O361" s="8" t="s">
        <v>1701</v>
      </c>
      <c r="P361" s="8" t="s">
        <v>1547</v>
      </c>
      <c r="Q361" s="8" t="s">
        <v>1541</v>
      </c>
      <c r="R361" s="8" t="s">
        <v>56</v>
      </c>
      <c r="S361" s="8" t="s">
        <v>1542</v>
      </c>
      <c r="T361" s="8" t="s">
        <v>1576</v>
      </c>
      <c r="U361" s="8" t="s">
        <v>1575</v>
      </c>
      <c r="V361">
        <v>16800</v>
      </c>
      <c r="W361">
        <v>12600</v>
      </c>
      <c r="X361">
        <v>28560</v>
      </c>
      <c r="Y361">
        <v>3360</v>
      </c>
    </row>
    <row r="362" spans="1:25" x14ac:dyDescent="0.3">
      <c r="A362" s="8" t="s">
        <v>642</v>
      </c>
      <c r="B362" s="14">
        <v>46114</v>
      </c>
      <c r="C362" s="8" t="s">
        <v>1702</v>
      </c>
      <c r="D362" s="8" t="s">
        <v>29</v>
      </c>
      <c r="E362" s="8" t="s">
        <v>24</v>
      </c>
      <c r="F362">
        <v>1</v>
      </c>
      <c r="G362">
        <v>11200</v>
      </c>
      <c r="H362">
        <v>0.1</v>
      </c>
      <c r="I362" s="8" t="s">
        <v>17</v>
      </c>
      <c r="J362" s="8" t="s">
        <v>71</v>
      </c>
      <c r="K362" s="8" t="s">
        <v>1698</v>
      </c>
      <c r="L362">
        <v>10080</v>
      </c>
      <c r="M362" s="8" t="s">
        <v>48</v>
      </c>
      <c r="N362">
        <v>10080</v>
      </c>
      <c r="O362" s="8" t="s">
        <v>1701</v>
      </c>
      <c r="P362" s="8" t="s">
        <v>1560</v>
      </c>
      <c r="Q362" s="8" t="s">
        <v>1559</v>
      </c>
      <c r="R362" s="8" t="s">
        <v>1561</v>
      </c>
      <c r="S362" s="8" t="s">
        <v>1542</v>
      </c>
      <c r="T362" s="8" t="s">
        <v>1574</v>
      </c>
      <c r="U362" s="8" t="s">
        <v>1575</v>
      </c>
      <c r="V362">
        <v>11200</v>
      </c>
      <c r="W362">
        <v>8300</v>
      </c>
      <c r="X362">
        <v>10080</v>
      </c>
      <c r="Y362">
        <v>1780</v>
      </c>
    </row>
    <row r="363" spans="1:25" x14ac:dyDescent="0.3">
      <c r="A363" s="8" t="s">
        <v>643</v>
      </c>
      <c r="B363" s="14">
        <v>46152</v>
      </c>
      <c r="C363" s="8" t="s">
        <v>243</v>
      </c>
      <c r="D363" s="8" t="s">
        <v>50</v>
      </c>
      <c r="E363" s="8" t="s">
        <v>63</v>
      </c>
      <c r="F363">
        <v>2</v>
      </c>
      <c r="G363">
        <v>2310</v>
      </c>
      <c r="H363">
        <v>0.2</v>
      </c>
      <c r="I363" s="8" t="s">
        <v>17</v>
      </c>
      <c r="J363" s="8" t="s">
        <v>31</v>
      </c>
      <c r="K363" s="8" t="s">
        <v>25</v>
      </c>
      <c r="L363">
        <v>3696</v>
      </c>
      <c r="M363" s="8" t="s">
        <v>20</v>
      </c>
      <c r="N363">
        <v>3696</v>
      </c>
      <c r="O363" s="8" t="s">
        <v>1701</v>
      </c>
      <c r="P363" s="8" t="s">
        <v>1544</v>
      </c>
      <c r="Q363" s="8" t="s">
        <v>1541</v>
      </c>
      <c r="R363" s="8" t="s">
        <v>26</v>
      </c>
      <c r="S363" s="8" t="s">
        <v>1542</v>
      </c>
      <c r="T363" s="8" t="s">
        <v>1572</v>
      </c>
      <c r="U363" s="8" t="s">
        <v>1571</v>
      </c>
      <c r="V363">
        <v>2200</v>
      </c>
      <c r="W363">
        <v>1450</v>
      </c>
      <c r="X363">
        <v>3696</v>
      </c>
      <c r="Y363">
        <v>796</v>
      </c>
    </row>
    <row r="364" spans="1:25" x14ac:dyDescent="0.3">
      <c r="A364" s="8" t="s">
        <v>644</v>
      </c>
      <c r="B364" s="14">
        <v>46192</v>
      </c>
      <c r="C364" s="8" t="s">
        <v>357</v>
      </c>
      <c r="D364" s="8" t="s">
        <v>15</v>
      </c>
      <c r="E364" s="8" t="s">
        <v>74</v>
      </c>
      <c r="F364">
        <v>4</v>
      </c>
      <c r="G364">
        <v>2520</v>
      </c>
      <c r="H364">
        <v>0</v>
      </c>
      <c r="I364" s="8" t="s">
        <v>17</v>
      </c>
      <c r="J364" s="8" t="s">
        <v>18</v>
      </c>
      <c r="K364" s="8" t="s">
        <v>1698</v>
      </c>
      <c r="L364">
        <v>10080</v>
      </c>
      <c r="M364" s="8" t="s">
        <v>82</v>
      </c>
      <c r="N364">
        <v>10080</v>
      </c>
      <c r="O364" s="8" t="s">
        <v>1701</v>
      </c>
      <c r="P364" s="8" t="s">
        <v>1543</v>
      </c>
      <c r="Q364" s="8" t="s">
        <v>1541</v>
      </c>
      <c r="R364" s="8" t="s">
        <v>52</v>
      </c>
      <c r="S364" s="8" t="s">
        <v>1542</v>
      </c>
      <c r="T364" s="8" t="s">
        <v>1584</v>
      </c>
      <c r="U364" s="8" t="s">
        <v>1583</v>
      </c>
      <c r="V364">
        <v>2400</v>
      </c>
      <c r="W364">
        <v>1480</v>
      </c>
      <c r="X364">
        <v>10080</v>
      </c>
      <c r="Y364">
        <v>4160</v>
      </c>
    </row>
    <row r="365" spans="1:25" x14ac:dyDescent="0.3">
      <c r="A365" s="8" t="s">
        <v>645</v>
      </c>
      <c r="B365" s="14">
        <v>46087</v>
      </c>
      <c r="C365" s="8" t="s">
        <v>142</v>
      </c>
      <c r="D365" s="8" t="s">
        <v>62</v>
      </c>
      <c r="E365" s="8" t="s">
        <v>85</v>
      </c>
      <c r="F365">
        <v>1</v>
      </c>
      <c r="G365">
        <v>46075</v>
      </c>
      <c r="H365">
        <v>0.2</v>
      </c>
      <c r="I365" s="8" t="s">
        <v>17</v>
      </c>
      <c r="J365" s="8" t="s">
        <v>18</v>
      </c>
      <c r="K365" s="8" t="s">
        <v>1698</v>
      </c>
      <c r="L365">
        <v>36860</v>
      </c>
      <c r="M365" s="8" t="s">
        <v>82</v>
      </c>
      <c r="N365">
        <v>36860</v>
      </c>
      <c r="O365" s="8" t="s">
        <v>1701</v>
      </c>
      <c r="P365" s="8" t="s">
        <v>1551</v>
      </c>
      <c r="Q365" s="8" t="s">
        <v>1549</v>
      </c>
      <c r="R365" s="8" t="s">
        <v>1552</v>
      </c>
      <c r="S365" s="8" t="s">
        <v>1542</v>
      </c>
      <c r="T365" s="8" t="s">
        <v>1585</v>
      </c>
      <c r="U365" s="8" t="s">
        <v>1586</v>
      </c>
      <c r="V365">
        <v>48500</v>
      </c>
      <c r="W365">
        <v>41200</v>
      </c>
      <c r="X365">
        <v>36860</v>
      </c>
      <c r="Y365">
        <v>-4340</v>
      </c>
    </row>
    <row r="366" spans="1:25" x14ac:dyDescent="0.3">
      <c r="A366" s="8" t="s">
        <v>646</v>
      </c>
      <c r="B366" s="14">
        <v>46092</v>
      </c>
      <c r="C366" s="8" t="s">
        <v>440</v>
      </c>
      <c r="D366" s="8" t="s">
        <v>40</v>
      </c>
      <c r="E366" s="8" t="s">
        <v>183</v>
      </c>
      <c r="F366">
        <v>3</v>
      </c>
      <c r="G366">
        <v>3040</v>
      </c>
      <c r="H366">
        <v>0.1</v>
      </c>
      <c r="I366" s="8" t="s">
        <v>66</v>
      </c>
      <c r="J366" s="8" t="s">
        <v>47</v>
      </c>
      <c r="K366" s="8" t="s">
        <v>1698</v>
      </c>
      <c r="L366">
        <v>8208</v>
      </c>
      <c r="M366" s="8" t="s">
        <v>42</v>
      </c>
      <c r="N366">
        <v>8208</v>
      </c>
      <c r="O366" s="8" t="s">
        <v>1701</v>
      </c>
      <c r="P366" s="8" t="s">
        <v>1555</v>
      </c>
      <c r="Q366" s="8" t="s">
        <v>1554</v>
      </c>
      <c r="R366" s="8" t="s">
        <v>82</v>
      </c>
      <c r="S366" s="8" t="s">
        <v>1542</v>
      </c>
      <c r="T366" s="8" t="s">
        <v>1582</v>
      </c>
      <c r="U366" s="8" t="s">
        <v>1583</v>
      </c>
      <c r="V366">
        <v>3200</v>
      </c>
      <c r="W366">
        <v>2050</v>
      </c>
      <c r="X366">
        <v>0</v>
      </c>
      <c r="Y366">
        <v>-6150</v>
      </c>
    </row>
    <row r="367" spans="1:25" x14ac:dyDescent="0.3">
      <c r="A367" s="8" t="s">
        <v>647</v>
      </c>
      <c r="B367" s="14">
        <v>46150</v>
      </c>
      <c r="C367" s="8" t="s">
        <v>528</v>
      </c>
      <c r="D367" s="8" t="s">
        <v>23</v>
      </c>
      <c r="E367" s="8" t="s">
        <v>183</v>
      </c>
      <c r="F367">
        <v>1</v>
      </c>
      <c r="G367">
        <v>3200</v>
      </c>
      <c r="H367">
        <v>0.05</v>
      </c>
      <c r="I367" s="8" t="s">
        <v>66</v>
      </c>
      <c r="J367" s="8" t="s">
        <v>18</v>
      </c>
      <c r="K367" s="8" t="s">
        <v>67</v>
      </c>
      <c r="L367">
        <v>3040</v>
      </c>
      <c r="M367" s="8" t="s">
        <v>59</v>
      </c>
      <c r="N367">
        <v>3040</v>
      </c>
      <c r="O367" s="8" t="s">
        <v>1701</v>
      </c>
      <c r="P367" s="8" t="s">
        <v>1545</v>
      </c>
      <c r="Q367" s="8" t="s">
        <v>1541</v>
      </c>
      <c r="R367" s="8" t="s">
        <v>1546</v>
      </c>
      <c r="S367" s="8" t="s">
        <v>1542</v>
      </c>
      <c r="T367" s="8" t="s">
        <v>1582</v>
      </c>
      <c r="U367" s="8" t="s">
        <v>1583</v>
      </c>
      <c r="V367">
        <v>3200</v>
      </c>
      <c r="W367">
        <v>2050</v>
      </c>
      <c r="X367">
        <v>0</v>
      </c>
      <c r="Y367">
        <v>-2050</v>
      </c>
    </row>
    <row r="368" spans="1:25" x14ac:dyDescent="0.3">
      <c r="A368" s="8" t="s">
        <v>648</v>
      </c>
      <c r="B368" s="14">
        <v>46033</v>
      </c>
      <c r="C368" s="8" t="s">
        <v>264</v>
      </c>
      <c r="D368" s="8" t="s">
        <v>152</v>
      </c>
      <c r="E368" s="8" t="s">
        <v>46</v>
      </c>
      <c r="F368">
        <v>5</v>
      </c>
      <c r="G368">
        <v>7800</v>
      </c>
      <c r="H368">
        <v>0.2</v>
      </c>
      <c r="I368" s="8" t="s">
        <v>80</v>
      </c>
      <c r="J368" s="8" t="s">
        <v>31</v>
      </c>
      <c r="K368" s="8" t="s">
        <v>1698</v>
      </c>
      <c r="L368">
        <v>31200</v>
      </c>
      <c r="M368" s="8" t="s">
        <v>42</v>
      </c>
      <c r="N368">
        <v>31200</v>
      </c>
      <c r="O368" s="8" t="s">
        <v>1701</v>
      </c>
      <c r="P368" s="8" t="s">
        <v>1553</v>
      </c>
      <c r="Q368" s="8" t="s">
        <v>1554</v>
      </c>
      <c r="R368" s="8" t="s">
        <v>59</v>
      </c>
      <c r="S368" s="8" t="s">
        <v>1542</v>
      </c>
      <c r="T368" s="8" t="s">
        <v>1579</v>
      </c>
      <c r="U368" s="8" t="s">
        <v>1580</v>
      </c>
      <c r="V368">
        <v>7800</v>
      </c>
      <c r="W368">
        <v>5200</v>
      </c>
      <c r="X368">
        <v>0</v>
      </c>
      <c r="Y368">
        <v>-26000</v>
      </c>
    </row>
    <row r="369" spans="1:25" x14ac:dyDescent="0.3">
      <c r="A369" s="8" t="s">
        <v>649</v>
      </c>
      <c r="B369" s="14">
        <v>46051</v>
      </c>
      <c r="C369" s="8" t="s">
        <v>194</v>
      </c>
      <c r="D369" s="8" t="s">
        <v>90</v>
      </c>
      <c r="E369" s="8" t="s">
        <v>183</v>
      </c>
      <c r="F369">
        <v>3</v>
      </c>
      <c r="G369">
        <v>3040</v>
      </c>
      <c r="H369">
        <v>0</v>
      </c>
      <c r="I369" s="8" t="s">
        <v>80</v>
      </c>
      <c r="J369" s="8" t="s">
        <v>47</v>
      </c>
      <c r="K369" s="8" t="s">
        <v>41</v>
      </c>
      <c r="L369">
        <v>9120</v>
      </c>
      <c r="M369" s="8" t="s">
        <v>56</v>
      </c>
      <c r="N369">
        <v>9120</v>
      </c>
      <c r="O369" s="8" t="s">
        <v>1701</v>
      </c>
      <c r="P369" s="8" t="s">
        <v>1562</v>
      </c>
      <c r="Q369" s="8" t="s">
        <v>1563</v>
      </c>
      <c r="R369" s="8" t="s">
        <v>48</v>
      </c>
      <c r="S369" s="8" t="s">
        <v>1542</v>
      </c>
      <c r="T369" s="8" t="s">
        <v>1582</v>
      </c>
      <c r="U369" s="8" t="s">
        <v>1583</v>
      </c>
      <c r="V369">
        <v>3200</v>
      </c>
      <c r="W369">
        <v>2050</v>
      </c>
      <c r="X369">
        <v>0</v>
      </c>
      <c r="Y369">
        <v>-6150</v>
      </c>
    </row>
    <row r="370" spans="1:25" x14ac:dyDescent="0.3">
      <c r="A370" s="8" t="s">
        <v>650</v>
      </c>
      <c r="B370" s="14">
        <v>46098</v>
      </c>
      <c r="C370" s="8" t="s">
        <v>651</v>
      </c>
      <c r="D370" s="8" t="s">
        <v>45</v>
      </c>
      <c r="E370" s="8" t="s">
        <v>46</v>
      </c>
      <c r="F370">
        <v>1</v>
      </c>
      <c r="G370">
        <v>7800</v>
      </c>
      <c r="H370">
        <v>0</v>
      </c>
      <c r="I370" s="8" t="s">
        <v>66</v>
      </c>
      <c r="J370" s="8" t="s">
        <v>47</v>
      </c>
      <c r="K370" s="8" t="s">
        <v>55</v>
      </c>
      <c r="L370">
        <v>7800</v>
      </c>
      <c r="M370" s="8" t="s">
        <v>42</v>
      </c>
      <c r="N370">
        <v>7800</v>
      </c>
      <c r="O370" s="8" t="s">
        <v>1701</v>
      </c>
      <c r="P370" s="8" t="s">
        <v>1547</v>
      </c>
      <c r="Q370" s="8" t="s">
        <v>1541</v>
      </c>
      <c r="R370" s="8" t="s">
        <v>56</v>
      </c>
      <c r="S370" s="8" t="s">
        <v>1542</v>
      </c>
      <c r="T370" s="8" t="s">
        <v>1579</v>
      </c>
      <c r="U370" s="8" t="s">
        <v>1580</v>
      </c>
      <c r="V370">
        <v>7800</v>
      </c>
      <c r="W370">
        <v>5200</v>
      </c>
      <c r="X370">
        <v>0</v>
      </c>
      <c r="Y370">
        <v>-5200</v>
      </c>
    </row>
    <row r="371" spans="1:25" x14ac:dyDescent="0.3">
      <c r="A371" s="8" t="s">
        <v>652</v>
      </c>
      <c r="B371" s="14">
        <v>46047</v>
      </c>
      <c r="C371" s="8" t="s">
        <v>215</v>
      </c>
      <c r="D371" s="8" t="s">
        <v>90</v>
      </c>
      <c r="E371" s="8" t="s">
        <v>16</v>
      </c>
      <c r="F371">
        <v>1</v>
      </c>
      <c r="G371">
        <v>650</v>
      </c>
      <c r="H371">
        <v>0</v>
      </c>
      <c r="I371" s="8" t="s">
        <v>17</v>
      </c>
      <c r="J371" s="8" t="s">
        <v>47</v>
      </c>
      <c r="K371" s="8" t="s">
        <v>55</v>
      </c>
      <c r="L371">
        <v>650</v>
      </c>
      <c r="M371" s="8" t="s">
        <v>48</v>
      </c>
      <c r="N371">
        <v>650</v>
      </c>
      <c r="O371" s="8" t="s">
        <v>1701</v>
      </c>
      <c r="P371" s="8" t="s">
        <v>1562</v>
      </c>
      <c r="Q371" s="8" t="s">
        <v>1563</v>
      </c>
      <c r="R371" s="8" t="s">
        <v>48</v>
      </c>
      <c r="S371" s="8" t="s">
        <v>1542</v>
      </c>
      <c r="T371" s="8" t="s">
        <v>1570</v>
      </c>
      <c r="U371" s="8" t="s">
        <v>1571</v>
      </c>
      <c r="V371">
        <v>650</v>
      </c>
      <c r="W371">
        <v>390</v>
      </c>
      <c r="X371">
        <v>650</v>
      </c>
      <c r="Y371">
        <v>260</v>
      </c>
    </row>
    <row r="372" spans="1:25" x14ac:dyDescent="0.3">
      <c r="A372" s="8" t="s">
        <v>653</v>
      </c>
      <c r="B372" s="14">
        <v>46091</v>
      </c>
      <c r="C372" s="8" t="s">
        <v>58</v>
      </c>
      <c r="D372" s="8" t="s">
        <v>77</v>
      </c>
      <c r="E372" s="8" t="s">
        <v>85</v>
      </c>
      <c r="F372">
        <v>1</v>
      </c>
      <c r="G372">
        <v>50925</v>
      </c>
      <c r="I372" s="8" t="s">
        <v>17</v>
      </c>
      <c r="J372" s="8" t="s">
        <v>18</v>
      </c>
      <c r="K372" s="8" t="s">
        <v>67</v>
      </c>
      <c r="L372">
        <v>48378.75</v>
      </c>
      <c r="M372" s="8" t="s">
        <v>32</v>
      </c>
      <c r="O372" s="8" t="s">
        <v>1703</v>
      </c>
      <c r="P372" s="8" t="s">
        <v>1564</v>
      </c>
      <c r="Q372" s="8" t="s">
        <v>1563</v>
      </c>
      <c r="R372" s="8" t="s">
        <v>1565</v>
      </c>
      <c r="S372" s="8" t="s">
        <v>1542</v>
      </c>
      <c r="T372" s="8" t="s">
        <v>1585</v>
      </c>
      <c r="U372" s="8" t="s">
        <v>1586</v>
      </c>
      <c r="V372">
        <v>48500</v>
      </c>
      <c r="W372">
        <v>41200</v>
      </c>
      <c r="X372">
        <v>0</v>
      </c>
      <c r="Y372">
        <v>-41200</v>
      </c>
    </row>
    <row r="373" spans="1:25" x14ac:dyDescent="0.3">
      <c r="A373" s="8" t="s">
        <v>654</v>
      </c>
      <c r="B373" s="14">
        <v>46199</v>
      </c>
      <c r="C373" s="8" t="s">
        <v>655</v>
      </c>
      <c r="D373" s="8" t="s">
        <v>90</v>
      </c>
      <c r="E373" s="8" t="s">
        <v>46</v>
      </c>
      <c r="F373">
        <v>4</v>
      </c>
      <c r="G373">
        <v>7800</v>
      </c>
      <c r="H373">
        <v>0.2</v>
      </c>
      <c r="I373" s="8" t="s">
        <v>66</v>
      </c>
      <c r="J373" s="8" t="s">
        <v>71</v>
      </c>
      <c r="K373" s="8" t="s">
        <v>1698</v>
      </c>
      <c r="L373">
        <v>24960</v>
      </c>
      <c r="M373" s="8" t="s">
        <v>59</v>
      </c>
      <c r="N373">
        <v>24960</v>
      </c>
      <c r="O373" s="8" t="s">
        <v>1701</v>
      </c>
      <c r="P373" s="8" t="s">
        <v>1562</v>
      </c>
      <c r="Q373" s="8" t="s">
        <v>1563</v>
      </c>
      <c r="R373" s="8" t="s">
        <v>48</v>
      </c>
      <c r="S373" s="8" t="s">
        <v>1542</v>
      </c>
      <c r="T373" s="8" t="s">
        <v>1579</v>
      </c>
      <c r="U373" s="8" t="s">
        <v>1580</v>
      </c>
      <c r="V373">
        <v>7800</v>
      </c>
      <c r="W373">
        <v>5200</v>
      </c>
      <c r="X373">
        <v>0</v>
      </c>
      <c r="Y373">
        <v>-20800</v>
      </c>
    </row>
    <row r="374" spans="1:25" x14ac:dyDescent="0.3">
      <c r="A374" s="8" t="s">
        <v>656</v>
      </c>
      <c r="B374" s="14">
        <v>46049</v>
      </c>
      <c r="C374" s="8" t="s">
        <v>202</v>
      </c>
      <c r="D374" s="8" t="s">
        <v>70</v>
      </c>
      <c r="E374" s="8" t="s">
        <v>183</v>
      </c>
      <c r="F374">
        <v>2</v>
      </c>
      <c r="G374">
        <v>3200</v>
      </c>
      <c r="H374">
        <v>0.15</v>
      </c>
      <c r="I374" s="8" t="s">
        <v>17</v>
      </c>
      <c r="J374" s="8" t="s">
        <v>47</v>
      </c>
      <c r="K374" s="8" t="s">
        <v>25</v>
      </c>
      <c r="L374">
        <v>5440</v>
      </c>
      <c r="M374" s="8" t="s">
        <v>20</v>
      </c>
      <c r="N374">
        <v>5440</v>
      </c>
      <c r="O374" s="8" t="s">
        <v>1701</v>
      </c>
      <c r="P374" s="8" t="s">
        <v>1550</v>
      </c>
      <c r="Q374" s="8" t="s">
        <v>1549</v>
      </c>
      <c r="R374" s="8" t="s">
        <v>32</v>
      </c>
      <c r="S374" s="8" t="s">
        <v>1542</v>
      </c>
      <c r="T374" s="8" t="s">
        <v>1582</v>
      </c>
      <c r="U374" s="8" t="s">
        <v>1583</v>
      </c>
      <c r="V374">
        <v>3200</v>
      </c>
      <c r="W374">
        <v>2050</v>
      </c>
      <c r="X374">
        <v>5440</v>
      </c>
      <c r="Y374">
        <v>1340</v>
      </c>
    </row>
    <row r="375" spans="1:25" x14ac:dyDescent="0.3">
      <c r="A375" s="8" t="s">
        <v>657</v>
      </c>
      <c r="B375" s="14">
        <v>46198</v>
      </c>
      <c r="C375" s="8" t="s">
        <v>655</v>
      </c>
      <c r="D375" s="8" t="s">
        <v>77</v>
      </c>
      <c r="E375" s="8" t="s">
        <v>85</v>
      </c>
      <c r="F375">
        <v>10</v>
      </c>
      <c r="G375">
        <v>50925</v>
      </c>
      <c r="H375">
        <v>0</v>
      </c>
      <c r="I375" s="8" t="s">
        <v>17</v>
      </c>
      <c r="J375" s="8" t="s">
        <v>18</v>
      </c>
      <c r="K375" s="8" t="s">
        <v>55</v>
      </c>
      <c r="L375">
        <v>509250</v>
      </c>
      <c r="M375" s="8" t="s">
        <v>20</v>
      </c>
      <c r="N375">
        <v>509250</v>
      </c>
      <c r="O375" s="8" t="s">
        <v>1701</v>
      </c>
      <c r="P375" s="8" t="s">
        <v>1564</v>
      </c>
      <c r="Q375" s="8" t="s">
        <v>1563</v>
      </c>
      <c r="R375" s="8" t="s">
        <v>1565</v>
      </c>
      <c r="S375" s="8" t="s">
        <v>1542</v>
      </c>
      <c r="T375" s="8" t="s">
        <v>1585</v>
      </c>
      <c r="U375" s="8" t="s">
        <v>1586</v>
      </c>
      <c r="V375">
        <v>48500</v>
      </c>
      <c r="W375">
        <v>41200</v>
      </c>
      <c r="X375">
        <v>509250</v>
      </c>
      <c r="Y375">
        <v>97250</v>
      </c>
    </row>
    <row r="376" spans="1:25" x14ac:dyDescent="0.3">
      <c r="A376" s="8" t="s">
        <v>658</v>
      </c>
      <c r="B376" s="14">
        <v>46039</v>
      </c>
      <c r="C376" s="8" t="s">
        <v>659</v>
      </c>
      <c r="D376" s="8" t="s">
        <v>45</v>
      </c>
      <c r="E376" s="8" t="s">
        <v>74</v>
      </c>
      <c r="F376">
        <v>2</v>
      </c>
      <c r="G376">
        <v>2400</v>
      </c>
      <c r="H376">
        <v>0.2</v>
      </c>
      <c r="I376" s="8" t="s">
        <v>66</v>
      </c>
      <c r="J376" s="8" t="s">
        <v>31</v>
      </c>
      <c r="K376" s="8" t="s">
        <v>55</v>
      </c>
      <c r="L376">
        <v>3840</v>
      </c>
      <c r="M376" s="8" t="s">
        <v>52</v>
      </c>
      <c r="N376">
        <v>3840</v>
      </c>
      <c r="O376" s="8" t="s">
        <v>1701</v>
      </c>
      <c r="P376" s="8" t="s">
        <v>1547</v>
      </c>
      <c r="Q376" s="8" t="s">
        <v>1541</v>
      </c>
      <c r="R376" s="8" t="s">
        <v>56</v>
      </c>
      <c r="S376" s="8" t="s">
        <v>1542</v>
      </c>
      <c r="T376" s="8" t="s">
        <v>1584</v>
      </c>
      <c r="U376" s="8" t="s">
        <v>1583</v>
      </c>
      <c r="V376">
        <v>2400</v>
      </c>
      <c r="W376">
        <v>1480</v>
      </c>
      <c r="X376">
        <v>0</v>
      </c>
      <c r="Y376">
        <v>-2960</v>
      </c>
    </row>
    <row r="377" spans="1:25" x14ac:dyDescent="0.3">
      <c r="A377" s="8" t="s">
        <v>660</v>
      </c>
      <c r="B377" s="14">
        <v>46146</v>
      </c>
      <c r="C377" s="8" t="s">
        <v>186</v>
      </c>
      <c r="D377" s="8" t="s">
        <v>35</v>
      </c>
      <c r="E377" s="8" t="s">
        <v>74</v>
      </c>
      <c r="F377">
        <v>3</v>
      </c>
      <c r="G377">
        <v>2280</v>
      </c>
      <c r="H377">
        <v>0.1</v>
      </c>
      <c r="I377" s="8" t="s">
        <v>17</v>
      </c>
      <c r="J377" s="8" t="s">
        <v>71</v>
      </c>
      <c r="K377" s="8" t="s">
        <v>25</v>
      </c>
      <c r="L377">
        <v>6156</v>
      </c>
      <c r="M377" s="8" t="s">
        <v>56</v>
      </c>
      <c r="N377">
        <v>6156</v>
      </c>
      <c r="O377" s="8" t="s">
        <v>1701</v>
      </c>
      <c r="P377" s="8" t="s">
        <v>1548</v>
      </c>
      <c r="Q377" s="8" t="s">
        <v>1549</v>
      </c>
      <c r="R377" s="8" t="s">
        <v>42</v>
      </c>
      <c r="S377" s="8" t="s">
        <v>1542</v>
      </c>
      <c r="T377" s="8" t="s">
        <v>1584</v>
      </c>
      <c r="U377" s="8" t="s">
        <v>1583</v>
      </c>
      <c r="V377">
        <v>2400</v>
      </c>
      <c r="W377">
        <v>1480</v>
      </c>
      <c r="X377">
        <v>6156</v>
      </c>
      <c r="Y377">
        <v>1716</v>
      </c>
    </row>
    <row r="378" spans="1:25" x14ac:dyDescent="0.3">
      <c r="A378" s="8" t="s">
        <v>661</v>
      </c>
      <c r="B378" s="14">
        <v>46149</v>
      </c>
      <c r="C378" s="8" t="s">
        <v>170</v>
      </c>
      <c r="D378" s="8" t="s">
        <v>90</v>
      </c>
      <c r="E378" s="8" t="s">
        <v>30</v>
      </c>
      <c r="F378">
        <v>1</v>
      </c>
      <c r="G378">
        <v>1800</v>
      </c>
      <c r="H378">
        <v>0.1</v>
      </c>
      <c r="I378" s="8" t="s">
        <v>17</v>
      </c>
      <c r="J378" s="8" t="s">
        <v>31</v>
      </c>
      <c r="K378" s="8" t="s">
        <v>25</v>
      </c>
      <c r="L378">
        <v>1620</v>
      </c>
      <c r="M378" s="8" t="s">
        <v>52</v>
      </c>
      <c r="N378">
        <v>1620</v>
      </c>
      <c r="O378" s="8" t="s">
        <v>1701</v>
      </c>
      <c r="P378" s="8" t="s">
        <v>1562</v>
      </c>
      <c r="Q378" s="8" t="s">
        <v>1563</v>
      </c>
      <c r="R378" s="8" t="s">
        <v>48</v>
      </c>
      <c r="S378" s="8" t="s">
        <v>1542</v>
      </c>
      <c r="T378" s="8" t="s">
        <v>1573</v>
      </c>
      <c r="U378" s="8" t="s">
        <v>1571</v>
      </c>
      <c r="V378">
        <v>1800</v>
      </c>
      <c r="W378">
        <v>1120</v>
      </c>
      <c r="X378">
        <v>1620</v>
      </c>
      <c r="Y378">
        <v>500</v>
      </c>
    </row>
    <row r="379" spans="1:25" x14ac:dyDescent="0.3">
      <c r="A379" s="8" t="s">
        <v>662</v>
      </c>
      <c r="B379" s="14">
        <v>46163</v>
      </c>
      <c r="C379" s="8" t="s">
        <v>188</v>
      </c>
      <c r="D379" s="8" t="s">
        <v>95</v>
      </c>
      <c r="E379" s="8" t="s">
        <v>161</v>
      </c>
      <c r="F379">
        <v>2</v>
      </c>
      <c r="G379">
        <v>2730</v>
      </c>
      <c r="H379">
        <v>0</v>
      </c>
      <c r="I379" s="8" t="s">
        <v>17</v>
      </c>
      <c r="J379" s="8" t="s">
        <v>31</v>
      </c>
      <c r="K379" s="8" t="s">
        <v>55</v>
      </c>
      <c r="L379">
        <v>5460</v>
      </c>
      <c r="M379" s="8" t="s">
        <v>56</v>
      </c>
      <c r="N379">
        <v>5460</v>
      </c>
      <c r="O379" s="8" t="s">
        <v>1701</v>
      </c>
      <c r="P379" s="8" t="s">
        <v>1556</v>
      </c>
      <c r="Q379" s="8" t="s">
        <v>1554</v>
      </c>
      <c r="R379" s="8" t="s">
        <v>1557</v>
      </c>
      <c r="S379" s="8" t="s">
        <v>1542</v>
      </c>
      <c r="T379" s="8" t="s">
        <v>1578</v>
      </c>
      <c r="U379" s="8" t="s">
        <v>1571</v>
      </c>
      <c r="V379">
        <v>2600</v>
      </c>
      <c r="W379">
        <v>1750</v>
      </c>
      <c r="X379">
        <v>5460</v>
      </c>
      <c r="Y379">
        <v>1960</v>
      </c>
    </row>
    <row r="380" spans="1:25" x14ac:dyDescent="0.3">
      <c r="A380" s="8" t="s">
        <v>663</v>
      </c>
      <c r="B380" s="14">
        <v>46103</v>
      </c>
      <c r="C380" s="8" t="s">
        <v>499</v>
      </c>
      <c r="D380" s="8" t="s">
        <v>15</v>
      </c>
      <c r="E380" s="8" t="s">
        <v>46</v>
      </c>
      <c r="F380">
        <v>4</v>
      </c>
      <c r="G380">
        <v>8190</v>
      </c>
      <c r="H380">
        <v>0</v>
      </c>
      <c r="I380" s="8" t="s">
        <v>17</v>
      </c>
      <c r="J380" s="8" t="s">
        <v>31</v>
      </c>
      <c r="K380" s="8" t="s">
        <v>1698</v>
      </c>
      <c r="L380">
        <v>32760</v>
      </c>
      <c r="M380" s="8" t="s">
        <v>48</v>
      </c>
      <c r="N380">
        <v>32760</v>
      </c>
      <c r="O380" s="8" t="s">
        <v>1701</v>
      </c>
      <c r="P380" s="8" t="s">
        <v>1543</v>
      </c>
      <c r="Q380" s="8" t="s">
        <v>1541</v>
      </c>
      <c r="R380" s="8" t="s">
        <v>52</v>
      </c>
      <c r="S380" s="8" t="s">
        <v>1542</v>
      </c>
      <c r="T380" s="8" t="s">
        <v>1579</v>
      </c>
      <c r="U380" s="8" t="s">
        <v>1580</v>
      </c>
      <c r="V380">
        <v>7800</v>
      </c>
      <c r="W380">
        <v>5200</v>
      </c>
      <c r="X380">
        <v>32760</v>
      </c>
      <c r="Y380">
        <v>11960</v>
      </c>
    </row>
    <row r="381" spans="1:25" x14ac:dyDescent="0.3">
      <c r="A381" s="8" t="s">
        <v>664</v>
      </c>
      <c r="B381" s="14">
        <v>46181</v>
      </c>
      <c r="C381" s="8" t="s">
        <v>227</v>
      </c>
      <c r="D381" s="8" t="s">
        <v>95</v>
      </c>
      <c r="E381" s="8" t="s">
        <v>135</v>
      </c>
      <c r="F381">
        <v>5</v>
      </c>
      <c r="G381">
        <v>17640</v>
      </c>
      <c r="H381">
        <v>0.15</v>
      </c>
      <c r="I381" s="8" t="s">
        <v>17</v>
      </c>
      <c r="J381" s="8" t="s">
        <v>47</v>
      </c>
      <c r="K381" s="8" t="s">
        <v>1698</v>
      </c>
      <c r="L381">
        <v>74970</v>
      </c>
      <c r="M381" s="8" t="s">
        <v>52</v>
      </c>
      <c r="N381">
        <v>74970</v>
      </c>
      <c r="O381" s="8" t="s">
        <v>1701</v>
      </c>
      <c r="P381" s="8" t="s">
        <v>1556</v>
      </c>
      <c r="Q381" s="8" t="s">
        <v>1554</v>
      </c>
      <c r="R381" s="8" t="s">
        <v>1557</v>
      </c>
      <c r="S381" s="8" t="s">
        <v>1542</v>
      </c>
      <c r="T381" s="8" t="s">
        <v>1576</v>
      </c>
      <c r="U381" s="8" t="s">
        <v>1575</v>
      </c>
      <c r="V381">
        <v>16800</v>
      </c>
      <c r="W381">
        <v>12600</v>
      </c>
      <c r="X381">
        <v>74970</v>
      </c>
      <c r="Y381">
        <v>11970</v>
      </c>
    </row>
    <row r="382" spans="1:25" x14ac:dyDescent="0.3">
      <c r="A382" s="8" t="s">
        <v>665</v>
      </c>
      <c r="B382" s="14">
        <v>46139</v>
      </c>
      <c r="C382" s="8" t="s">
        <v>84</v>
      </c>
      <c r="D382" s="8" t="s">
        <v>35</v>
      </c>
      <c r="E382" s="8" t="s">
        <v>51</v>
      </c>
      <c r="F382">
        <v>4</v>
      </c>
      <c r="G382">
        <v>18500</v>
      </c>
      <c r="H382">
        <v>0.15</v>
      </c>
      <c r="I382" s="8" t="s">
        <v>17</v>
      </c>
      <c r="J382" s="8" t="s">
        <v>31</v>
      </c>
      <c r="K382" s="8" t="s">
        <v>1698</v>
      </c>
      <c r="L382">
        <v>62900</v>
      </c>
      <c r="M382" s="8" t="s">
        <v>52</v>
      </c>
      <c r="N382">
        <v>62900</v>
      </c>
      <c r="O382" s="8" t="s">
        <v>1701</v>
      </c>
      <c r="P382" s="8" t="s">
        <v>1548</v>
      </c>
      <c r="Q382" s="8" t="s">
        <v>1549</v>
      </c>
      <c r="R382" s="8" t="s">
        <v>42</v>
      </c>
      <c r="S382" s="8" t="s">
        <v>1542</v>
      </c>
      <c r="T382" s="8" t="s">
        <v>1581</v>
      </c>
      <c r="U382" s="8" t="s">
        <v>1580</v>
      </c>
      <c r="V382">
        <v>18500</v>
      </c>
      <c r="W382">
        <v>13900</v>
      </c>
      <c r="X382">
        <v>62900</v>
      </c>
      <c r="Y382">
        <v>7300</v>
      </c>
    </row>
    <row r="383" spans="1:25" x14ac:dyDescent="0.3">
      <c r="A383" s="8" t="s">
        <v>666</v>
      </c>
      <c r="B383" s="14">
        <v>46023</v>
      </c>
      <c r="C383" s="8" t="s">
        <v>150</v>
      </c>
      <c r="D383" s="8" t="s">
        <v>35</v>
      </c>
      <c r="E383" s="8" t="s">
        <v>36</v>
      </c>
      <c r="F383">
        <v>4</v>
      </c>
      <c r="G383">
        <v>1400</v>
      </c>
      <c r="H383">
        <v>0.05</v>
      </c>
      <c r="I383" s="8" t="s">
        <v>17</v>
      </c>
      <c r="J383" s="8" t="s">
        <v>31</v>
      </c>
      <c r="K383" s="8" t="s">
        <v>41</v>
      </c>
      <c r="L383">
        <v>5320</v>
      </c>
      <c r="M383" s="8" t="s">
        <v>56</v>
      </c>
      <c r="N383">
        <v>5320</v>
      </c>
      <c r="O383" s="8" t="s">
        <v>1701</v>
      </c>
      <c r="P383" s="8" t="s">
        <v>1548</v>
      </c>
      <c r="Q383" s="8" t="s">
        <v>1549</v>
      </c>
      <c r="R383" s="8" t="s">
        <v>42</v>
      </c>
      <c r="S383" s="8" t="s">
        <v>1542</v>
      </c>
      <c r="T383" s="8" t="s">
        <v>1577</v>
      </c>
      <c r="U383" s="8" t="s">
        <v>1571</v>
      </c>
      <c r="V383">
        <v>1400</v>
      </c>
      <c r="W383">
        <v>780</v>
      </c>
      <c r="X383">
        <v>5320</v>
      </c>
      <c r="Y383">
        <v>2200</v>
      </c>
    </row>
    <row r="384" spans="1:25" x14ac:dyDescent="0.3">
      <c r="A384" s="8" t="s">
        <v>667</v>
      </c>
      <c r="B384" s="14">
        <v>46058</v>
      </c>
      <c r="C384" s="8" t="s">
        <v>628</v>
      </c>
      <c r="D384" s="8" t="s">
        <v>90</v>
      </c>
      <c r="E384" s="8" t="s">
        <v>85</v>
      </c>
      <c r="F384">
        <v>4</v>
      </c>
      <c r="G384">
        <v>48500</v>
      </c>
      <c r="H384">
        <v>0.1</v>
      </c>
      <c r="I384" s="8" t="s">
        <v>17</v>
      </c>
      <c r="J384" s="8" t="s">
        <v>31</v>
      </c>
      <c r="K384" s="8" t="s">
        <v>55</v>
      </c>
      <c r="L384">
        <v>174600</v>
      </c>
      <c r="M384" s="8" t="s">
        <v>52</v>
      </c>
      <c r="N384">
        <v>174600</v>
      </c>
      <c r="O384" s="8" t="s">
        <v>1701</v>
      </c>
      <c r="P384" s="8" t="s">
        <v>1562</v>
      </c>
      <c r="Q384" s="8" t="s">
        <v>1563</v>
      </c>
      <c r="R384" s="8" t="s">
        <v>48</v>
      </c>
      <c r="S384" s="8" t="s">
        <v>1542</v>
      </c>
      <c r="T384" s="8" t="s">
        <v>1585</v>
      </c>
      <c r="U384" s="8" t="s">
        <v>1586</v>
      </c>
      <c r="V384">
        <v>48500</v>
      </c>
      <c r="W384">
        <v>41200</v>
      </c>
      <c r="X384">
        <v>174600</v>
      </c>
      <c r="Y384">
        <v>9800</v>
      </c>
    </row>
    <row r="385" spans="1:25" x14ac:dyDescent="0.3">
      <c r="A385" s="8" t="s">
        <v>668</v>
      </c>
      <c r="B385" s="14">
        <v>46140</v>
      </c>
      <c r="C385" s="8" t="s">
        <v>669</v>
      </c>
      <c r="D385" s="8" t="s">
        <v>90</v>
      </c>
      <c r="E385" s="8" t="s">
        <v>24</v>
      </c>
      <c r="F385">
        <v>3</v>
      </c>
      <c r="G385">
        <v>10640</v>
      </c>
      <c r="H385">
        <v>0</v>
      </c>
      <c r="I385" s="8" t="s">
        <v>17</v>
      </c>
      <c r="J385" s="8" t="s">
        <v>18</v>
      </c>
      <c r="K385" s="8" t="s">
        <v>55</v>
      </c>
      <c r="L385">
        <v>31920</v>
      </c>
      <c r="M385" s="8" t="s">
        <v>48</v>
      </c>
      <c r="N385">
        <v>31920</v>
      </c>
      <c r="O385" s="8" t="s">
        <v>1701</v>
      </c>
      <c r="P385" s="8" t="s">
        <v>1562</v>
      </c>
      <c r="Q385" s="8" t="s">
        <v>1563</v>
      </c>
      <c r="R385" s="8" t="s">
        <v>48</v>
      </c>
      <c r="S385" s="8" t="s">
        <v>1542</v>
      </c>
      <c r="T385" s="8" t="s">
        <v>1574</v>
      </c>
      <c r="U385" s="8" t="s">
        <v>1575</v>
      </c>
      <c r="V385">
        <v>11200</v>
      </c>
      <c r="W385">
        <v>8300</v>
      </c>
      <c r="X385">
        <v>31920</v>
      </c>
      <c r="Y385">
        <v>7020</v>
      </c>
    </row>
    <row r="386" spans="1:25" x14ac:dyDescent="0.3">
      <c r="A386" s="8" t="s">
        <v>670</v>
      </c>
      <c r="B386" s="14">
        <v>46152</v>
      </c>
      <c r="C386" s="8" t="s">
        <v>407</v>
      </c>
      <c r="D386" s="8" t="s">
        <v>50</v>
      </c>
      <c r="E386" s="8" t="s">
        <v>46</v>
      </c>
      <c r="F386">
        <v>1</v>
      </c>
      <c r="G386">
        <v>8190</v>
      </c>
      <c r="H386">
        <v>0.2</v>
      </c>
      <c r="I386" s="8" t="s">
        <v>17</v>
      </c>
      <c r="J386" s="8" t="s">
        <v>71</v>
      </c>
      <c r="K386" s="8" t="s">
        <v>25</v>
      </c>
      <c r="L386">
        <v>6552</v>
      </c>
      <c r="M386" s="8" t="s">
        <v>59</v>
      </c>
      <c r="N386">
        <v>6552</v>
      </c>
      <c r="O386" s="8" t="s">
        <v>1701</v>
      </c>
      <c r="P386" s="8" t="s">
        <v>1544</v>
      </c>
      <c r="Q386" s="8" t="s">
        <v>1541</v>
      </c>
      <c r="R386" s="8" t="s">
        <v>26</v>
      </c>
      <c r="S386" s="8" t="s">
        <v>1542</v>
      </c>
      <c r="T386" s="8" t="s">
        <v>1579</v>
      </c>
      <c r="U386" s="8" t="s">
        <v>1580</v>
      </c>
      <c r="V386">
        <v>7800</v>
      </c>
      <c r="W386">
        <v>5200</v>
      </c>
      <c r="X386">
        <v>6552</v>
      </c>
      <c r="Y386">
        <v>1352</v>
      </c>
    </row>
    <row r="387" spans="1:25" x14ac:dyDescent="0.3">
      <c r="A387" s="8" t="s">
        <v>671</v>
      </c>
      <c r="B387" s="14">
        <v>46055</v>
      </c>
      <c r="C387" s="8" t="s">
        <v>163</v>
      </c>
      <c r="D387" s="8" t="s">
        <v>15</v>
      </c>
      <c r="E387" s="8" t="s">
        <v>161</v>
      </c>
      <c r="F387">
        <v>3</v>
      </c>
      <c r="G387">
        <v>2730</v>
      </c>
      <c r="H387">
        <v>0.15</v>
      </c>
      <c r="I387" s="8" t="s">
        <v>66</v>
      </c>
      <c r="J387" s="8" t="s">
        <v>71</v>
      </c>
      <c r="K387" s="8" t="s">
        <v>67</v>
      </c>
      <c r="L387">
        <v>6961.5</v>
      </c>
      <c r="M387" s="8" t="s">
        <v>32</v>
      </c>
      <c r="N387">
        <v>6961.5</v>
      </c>
      <c r="O387" s="8" t="s">
        <v>1701</v>
      </c>
      <c r="P387" s="8" t="s">
        <v>1543</v>
      </c>
      <c r="Q387" s="8" t="s">
        <v>1541</v>
      </c>
      <c r="R387" s="8" t="s">
        <v>52</v>
      </c>
      <c r="S387" s="8" t="s">
        <v>1542</v>
      </c>
      <c r="T387" s="8" t="s">
        <v>1578</v>
      </c>
      <c r="U387" s="8" t="s">
        <v>1571</v>
      </c>
      <c r="V387">
        <v>2600</v>
      </c>
      <c r="W387">
        <v>1750</v>
      </c>
      <c r="X387">
        <v>0</v>
      </c>
      <c r="Y387">
        <v>-5250</v>
      </c>
    </row>
    <row r="388" spans="1:25" x14ac:dyDescent="0.3">
      <c r="A388" s="8" t="s">
        <v>672</v>
      </c>
      <c r="B388" s="14"/>
      <c r="C388" s="8" t="s">
        <v>281</v>
      </c>
      <c r="D388" s="8" t="s">
        <v>45</v>
      </c>
      <c r="E388" s="8" t="s">
        <v>46</v>
      </c>
      <c r="F388">
        <v>4</v>
      </c>
      <c r="G388">
        <v>7800</v>
      </c>
      <c r="H388">
        <v>0</v>
      </c>
      <c r="I388" s="8" t="s">
        <v>17</v>
      </c>
      <c r="J388" s="8" t="s">
        <v>71</v>
      </c>
      <c r="K388" s="8" t="s">
        <v>41</v>
      </c>
      <c r="L388">
        <v>31200</v>
      </c>
      <c r="M388" s="8" t="s">
        <v>52</v>
      </c>
      <c r="N388">
        <v>31200</v>
      </c>
      <c r="O388" s="8" t="s">
        <v>1701</v>
      </c>
      <c r="P388" s="8" t="s">
        <v>1547</v>
      </c>
      <c r="Q388" s="8" t="s">
        <v>1541</v>
      </c>
      <c r="R388" s="8" t="s">
        <v>56</v>
      </c>
      <c r="S388" s="8" t="s">
        <v>1542</v>
      </c>
      <c r="T388" s="8" t="s">
        <v>1579</v>
      </c>
      <c r="U388" s="8" t="s">
        <v>1580</v>
      </c>
      <c r="V388">
        <v>7800</v>
      </c>
      <c r="W388">
        <v>5200</v>
      </c>
      <c r="X388">
        <v>31200</v>
      </c>
      <c r="Y388">
        <v>10400</v>
      </c>
    </row>
    <row r="389" spans="1:25" x14ac:dyDescent="0.3">
      <c r="A389" s="8" t="s">
        <v>674</v>
      </c>
      <c r="B389" s="14">
        <v>46182</v>
      </c>
      <c r="C389" s="8" t="s">
        <v>376</v>
      </c>
      <c r="D389" s="8" t="s">
        <v>123</v>
      </c>
      <c r="E389" s="8" t="s">
        <v>135</v>
      </c>
      <c r="F389">
        <v>3</v>
      </c>
      <c r="G389">
        <v>16800</v>
      </c>
      <c r="H389">
        <v>0.2</v>
      </c>
      <c r="I389" s="8" t="s">
        <v>17</v>
      </c>
      <c r="J389" s="8" t="s">
        <v>47</v>
      </c>
      <c r="K389" s="8" t="s">
        <v>1698</v>
      </c>
      <c r="L389">
        <v>40320</v>
      </c>
      <c r="M389" s="8" t="s">
        <v>138</v>
      </c>
      <c r="N389">
        <v>40320</v>
      </c>
      <c r="O389" s="8" t="s">
        <v>1701</v>
      </c>
      <c r="P389" s="8" t="s">
        <v>1558</v>
      </c>
      <c r="Q389" s="8" t="s">
        <v>1559</v>
      </c>
      <c r="R389" s="8" t="s">
        <v>138</v>
      </c>
      <c r="S389" s="8" t="s">
        <v>1542</v>
      </c>
      <c r="T389" s="8" t="s">
        <v>1576</v>
      </c>
      <c r="U389" s="8" t="s">
        <v>1575</v>
      </c>
      <c r="V389">
        <v>16800</v>
      </c>
      <c r="W389">
        <v>12600</v>
      </c>
      <c r="X389">
        <v>40320</v>
      </c>
      <c r="Y389">
        <v>2520</v>
      </c>
    </row>
    <row r="390" spans="1:25" x14ac:dyDescent="0.3">
      <c r="A390" s="8" t="s">
        <v>675</v>
      </c>
      <c r="B390" s="14">
        <v>46166</v>
      </c>
      <c r="C390" s="8" t="s">
        <v>61</v>
      </c>
      <c r="D390" s="8" t="s">
        <v>62</v>
      </c>
      <c r="E390" s="8" t="s">
        <v>183</v>
      </c>
      <c r="F390">
        <v>3</v>
      </c>
      <c r="G390">
        <v>3200</v>
      </c>
      <c r="H390">
        <v>0.2</v>
      </c>
      <c r="I390" s="8" t="s">
        <v>17</v>
      </c>
      <c r="J390" s="8" t="s">
        <v>31</v>
      </c>
      <c r="K390" s="8" t="s">
        <v>25</v>
      </c>
      <c r="L390">
        <v>7680</v>
      </c>
      <c r="M390" s="8" t="s">
        <v>42</v>
      </c>
      <c r="N390">
        <v>7680</v>
      </c>
      <c r="O390" s="8" t="s">
        <v>1701</v>
      </c>
      <c r="P390" s="8" t="s">
        <v>1551</v>
      </c>
      <c r="Q390" s="8" t="s">
        <v>1549</v>
      </c>
      <c r="R390" s="8" t="s">
        <v>1552</v>
      </c>
      <c r="S390" s="8" t="s">
        <v>1542</v>
      </c>
      <c r="T390" s="8" t="s">
        <v>1582</v>
      </c>
      <c r="U390" s="8" t="s">
        <v>1583</v>
      </c>
      <c r="V390">
        <v>3200</v>
      </c>
      <c r="W390">
        <v>2050</v>
      </c>
      <c r="X390">
        <v>7680</v>
      </c>
      <c r="Y390">
        <v>1530</v>
      </c>
    </row>
    <row r="391" spans="1:25" x14ac:dyDescent="0.3">
      <c r="A391" s="8" t="s">
        <v>676</v>
      </c>
      <c r="B391" s="14">
        <v>46029</v>
      </c>
      <c r="C391" s="8" t="s">
        <v>248</v>
      </c>
      <c r="D391" s="8" t="s">
        <v>70</v>
      </c>
      <c r="E391" s="8" t="s">
        <v>30</v>
      </c>
      <c r="F391">
        <v>1</v>
      </c>
      <c r="G391">
        <v>1800</v>
      </c>
      <c r="H391">
        <v>0</v>
      </c>
      <c r="I391" s="8" t="s">
        <v>17</v>
      </c>
      <c r="J391" s="8" t="s">
        <v>47</v>
      </c>
      <c r="K391" s="8" t="s">
        <v>41</v>
      </c>
      <c r="L391">
        <v>1800</v>
      </c>
      <c r="M391" s="8" t="s">
        <v>20</v>
      </c>
      <c r="N391">
        <v>1800</v>
      </c>
      <c r="O391" s="8" t="s">
        <v>1701</v>
      </c>
      <c r="P391" s="8" t="s">
        <v>1550</v>
      </c>
      <c r="Q391" s="8" t="s">
        <v>1549</v>
      </c>
      <c r="R391" s="8" t="s">
        <v>32</v>
      </c>
      <c r="S391" s="8" t="s">
        <v>1542</v>
      </c>
      <c r="T391" s="8" t="s">
        <v>1573</v>
      </c>
      <c r="U391" s="8" t="s">
        <v>1571</v>
      </c>
      <c r="V391">
        <v>1800</v>
      </c>
      <c r="W391">
        <v>1120</v>
      </c>
      <c r="X391">
        <v>1800</v>
      </c>
      <c r="Y391">
        <v>680</v>
      </c>
    </row>
    <row r="392" spans="1:25" x14ac:dyDescent="0.3">
      <c r="A392" s="8" t="s">
        <v>677</v>
      </c>
      <c r="B392" s="14">
        <v>46199</v>
      </c>
      <c r="C392" s="8" t="s">
        <v>177</v>
      </c>
      <c r="D392" s="8" t="s">
        <v>29</v>
      </c>
      <c r="E392" s="8" t="s">
        <v>135</v>
      </c>
      <c r="F392">
        <v>1</v>
      </c>
      <c r="G392">
        <v>17640</v>
      </c>
      <c r="H392">
        <v>0.15</v>
      </c>
      <c r="I392" s="8" t="s">
        <v>17</v>
      </c>
      <c r="J392" s="8" t="s">
        <v>71</v>
      </c>
      <c r="K392" s="8" t="s">
        <v>25</v>
      </c>
      <c r="L392">
        <v>14994</v>
      </c>
      <c r="M392" s="8" t="s">
        <v>32</v>
      </c>
      <c r="N392">
        <v>14994</v>
      </c>
      <c r="O392" s="8" t="s">
        <v>1701</v>
      </c>
      <c r="P392" s="8" t="s">
        <v>1560</v>
      </c>
      <c r="Q392" s="8" t="s">
        <v>1559</v>
      </c>
      <c r="R392" s="8" t="s">
        <v>1561</v>
      </c>
      <c r="S392" s="8" t="s">
        <v>1542</v>
      </c>
      <c r="T392" s="8" t="s">
        <v>1576</v>
      </c>
      <c r="U392" s="8" t="s">
        <v>1575</v>
      </c>
      <c r="V392">
        <v>16800</v>
      </c>
      <c r="W392">
        <v>12600</v>
      </c>
      <c r="X392">
        <v>14994</v>
      </c>
      <c r="Y392">
        <v>2394</v>
      </c>
    </row>
    <row r="393" spans="1:25" x14ac:dyDescent="0.3">
      <c r="A393" s="8" t="s">
        <v>678</v>
      </c>
      <c r="B393" s="14">
        <v>46083</v>
      </c>
      <c r="C393" s="8" t="s">
        <v>319</v>
      </c>
      <c r="D393" s="8" t="s">
        <v>152</v>
      </c>
      <c r="E393" s="8" t="s">
        <v>85</v>
      </c>
      <c r="F393">
        <v>1</v>
      </c>
      <c r="G393">
        <v>50925</v>
      </c>
      <c r="H393">
        <v>0.2</v>
      </c>
      <c r="I393" s="8" t="s">
        <v>17</v>
      </c>
      <c r="J393" s="8" t="s">
        <v>18</v>
      </c>
      <c r="K393" s="8" t="s">
        <v>67</v>
      </c>
      <c r="L393">
        <v>40740</v>
      </c>
      <c r="M393" s="8" t="s">
        <v>82</v>
      </c>
      <c r="N393">
        <v>40740</v>
      </c>
      <c r="O393" s="8" t="s">
        <v>1701</v>
      </c>
      <c r="P393" s="8" t="s">
        <v>1553</v>
      </c>
      <c r="Q393" s="8" t="s">
        <v>1554</v>
      </c>
      <c r="R393" s="8" t="s">
        <v>59</v>
      </c>
      <c r="S393" s="8" t="s">
        <v>1542</v>
      </c>
      <c r="T393" s="8" t="s">
        <v>1585</v>
      </c>
      <c r="U393" s="8" t="s">
        <v>1586</v>
      </c>
      <c r="V393">
        <v>48500</v>
      </c>
      <c r="W393">
        <v>41200</v>
      </c>
      <c r="X393">
        <v>40740</v>
      </c>
      <c r="Y393">
        <v>-460</v>
      </c>
    </row>
    <row r="394" spans="1:25" x14ac:dyDescent="0.3">
      <c r="A394" s="8" t="s">
        <v>679</v>
      </c>
      <c r="B394" s="14">
        <v>46036</v>
      </c>
      <c r="C394" s="8" t="s">
        <v>594</v>
      </c>
      <c r="D394" s="8" t="s">
        <v>168</v>
      </c>
      <c r="E394" s="8" t="s">
        <v>85</v>
      </c>
      <c r="F394">
        <v>1</v>
      </c>
      <c r="G394">
        <v>50925</v>
      </c>
      <c r="H394">
        <v>0.15</v>
      </c>
      <c r="I394" s="8" t="s">
        <v>66</v>
      </c>
      <c r="J394" s="8" t="s">
        <v>47</v>
      </c>
      <c r="K394" s="8" t="s">
        <v>25</v>
      </c>
      <c r="L394">
        <v>43286.25</v>
      </c>
      <c r="M394" s="8" t="s">
        <v>82</v>
      </c>
      <c r="N394">
        <v>43286.25</v>
      </c>
      <c r="O394" s="8" t="s">
        <v>1701</v>
      </c>
      <c r="P394" s="8" t="s">
        <v>1540</v>
      </c>
      <c r="Q394" s="8" t="s">
        <v>1541</v>
      </c>
      <c r="R394" s="8" t="s">
        <v>20</v>
      </c>
      <c r="S394" s="8" t="s">
        <v>1542</v>
      </c>
      <c r="T394" s="8" t="s">
        <v>1585</v>
      </c>
      <c r="U394" s="8" t="s">
        <v>1586</v>
      </c>
      <c r="V394">
        <v>48500</v>
      </c>
      <c r="W394">
        <v>41200</v>
      </c>
      <c r="X394">
        <v>0</v>
      </c>
      <c r="Y394">
        <v>-41200</v>
      </c>
    </row>
    <row r="395" spans="1:25" x14ac:dyDescent="0.3">
      <c r="A395" s="8" t="s">
        <v>680</v>
      </c>
      <c r="B395" s="14">
        <v>46177</v>
      </c>
      <c r="C395" s="8" t="s">
        <v>484</v>
      </c>
      <c r="D395" s="8" t="s">
        <v>23</v>
      </c>
      <c r="E395" s="8" t="s">
        <v>85</v>
      </c>
      <c r="F395">
        <v>8</v>
      </c>
      <c r="G395">
        <v>46075</v>
      </c>
      <c r="H395">
        <v>0.05</v>
      </c>
      <c r="I395" s="8" t="s">
        <v>17</v>
      </c>
      <c r="J395" s="8" t="s">
        <v>71</v>
      </c>
      <c r="K395" s="8" t="s">
        <v>25</v>
      </c>
      <c r="L395">
        <v>350170</v>
      </c>
      <c r="M395" s="8" t="s">
        <v>42</v>
      </c>
      <c r="N395">
        <v>350170</v>
      </c>
      <c r="O395" s="8" t="s">
        <v>1701</v>
      </c>
      <c r="P395" s="8" t="s">
        <v>1545</v>
      </c>
      <c r="Q395" s="8" t="s">
        <v>1541</v>
      </c>
      <c r="R395" s="8" t="s">
        <v>1546</v>
      </c>
      <c r="S395" s="8" t="s">
        <v>1542</v>
      </c>
      <c r="T395" s="8" t="s">
        <v>1585</v>
      </c>
      <c r="U395" s="8" t="s">
        <v>1586</v>
      </c>
      <c r="V395">
        <v>48500</v>
      </c>
      <c r="W395">
        <v>41200</v>
      </c>
      <c r="X395">
        <v>350170</v>
      </c>
      <c r="Y395">
        <v>20570</v>
      </c>
    </row>
    <row r="396" spans="1:25" x14ac:dyDescent="0.3">
      <c r="A396" s="8" t="s">
        <v>681</v>
      </c>
      <c r="B396" s="14">
        <v>46119</v>
      </c>
      <c r="C396" s="8" t="s">
        <v>682</v>
      </c>
      <c r="D396" s="8" t="s">
        <v>168</v>
      </c>
      <c r="E396" s="8" t="s">
        <v>161</v>
      </c>
      <c r="F396">
        <v>1</v>
      </c>
      <c r="G396">
        <v>2600</v>
      </c>
      <c r="H396">
        <v>0.05</v>
      </c>
      <c r="I396" s="8" t="s">
        <v>17</v>
      </c>
      <c r="J396" s="8" t="s">
        <v>47</v>
      </c>
      <c r="K396" s="8" t="s">
        <v>55</v>
      </c>
      <c r="L396">
        <v>2470</v>
      </c>
      <c r="M396" s="8" t="s">
        <v>59</v>
      </c>
      <c r="N396">
        <v>2470</v>
      </c>
      <c r="O396" s="8" t="s">
        <v>1701</v>
      </c>
      <c r="P396" s="8" t="s">
        <v>1540</v>
      </c>
      <c r="Q396" s="8" t="s">
        <v>1541</v>
      </c>
      <c r="R396" s="8" t="s">
        <v>20</v>
      </c>
      <c r="S396" s="8" t="s">
        <v>1542</v>
      </c>
      <c r="T396" s="8" t="s">
        <v>1578</v>
      </c>
      <c r="U396" s="8" t="s">
        <v>1571</v>
      </c>
      <c r="V396">
        <v>2600</v>
      </c>
      <c r="W396">
        <v>1750</v>
      </c>
      <c r="X396">
        <v>2470</v>
      </c>
      <c r="Y396">
        <v>720</v>
      </c>
    </row>
    <row r="397" spans="1:25" x14ac:dyDescent="0.3">
      <c r="A397" s="8" t="s">
        <v>683</v>
      </c>
      <c r="B397" s="14">
        <v>46033</v>
      </c>
      <c r="C397" s="8" t="s">
        <v>684</v>
      </c>
      <c r="D397" s="8" t="s">
        <v>50</v>
      </c>
      <c r="E397" s="8" t="s">
        <v>36</v>
      </c>
      <c r="F397">
        <v>3</v>
      </c>
      <c r="G397">
        <v>1400</v>
      </c>
      <c r="H397">
        <v>0.2</v>
      </c>
      <c r="I397" s="8" t="s">
        <v>17</v>
      </c>
      <c r="J397" s="8" t="s">
        <v>47</v>
      </c>
      <c r="K397" s="8" t="s">
        <v>1698</v>
      </c>
      <c r="L397">
        <v>3360</v>
      </c>
      <c r="M397" s="8" t="s">
        <v>138</v>
      </c>
      <c r="N397">
        <v>3360</v>
      </c>
      <c r="O397" s="8" t="s">
        <v>1701</v>
      </c>
      <c r="P397" s="8" t="s">
        <v>1544</v>
      </c>
      <c r="Q397" s="8" t="s">
        <v>1541</v>
      </c>
      <c r="R397" s="8" t="s">
        <v>26</v>
      </c>
      <c r="S397" s="8" t="s">
        <v>1542</v>
      </c>
      <c r="T397" s="8" t="s">
        <v>1577</v>
      </c>
      <c r="U397" s="8" t="s">
        <v>1571</v>
      </c>
      <c r="V397">
        <v>1400</v>
      </c>
      <c r="W397">
        <v>780</v>
      </c>
      <c r="X397">
        <v>3360</v>
      </c>
      <c r="Y397">
        <v>1020</v>
      </c>
    </row>
    <row r="398" spans="1:25" x14ac:dyDescent="0.3">
      <c r="A398" s="8" t="s">
        <v>685</v>
      </c>
      <c r="B398" s="14">
        <v>46157</v>
      </c>
      <c r="C398" s="8" t="s">
        <v>146</v>
      </c>
      <c r="D398" s="8" t="s">
        <v>23</v>
      </c>
      <c r="E398" s="8" t="s">
        <v>30</v>
      </c>
      <c r="F398">
        <v>2</v>
      </c>
      <c r="G398">
        <v>1890</v>
      </c>
      <c r="H398">
        <v>0.15</v>
      </c>
      <c r="I398" s="8" t="s">
        <v>17</v>
      </c>
      <c r="J398" s="8" t="s">
        <v>47</v>
      </c>
      <c r="K398" s="8" t="s">
        <v>41</v>
      </c>
      <c r="L398">
        <v>3213</v>
      </c>
      <c r="M398" s="8" t="s">
        <v>52</v>
      </c>
      <c r="N398">
        <v>3213</v>
      </c>
      <c r="O398" s="8" t="s">
        <v>1701</v>
      </c>
      <c r="P398" s="8" t="s">
        <v>1545</v>
      </c>
      <c r="Q398" s="8" t="s">
        <v>1541</v>
      </c>
      <c r="R398" s="8" t="s">
        <v>1546</v>
      </c>
      <c r="S398" s="8" t="s">
        <v>1542</v>
      </c>
      <c r="T398" s="8" t="s">
        <v>1573</v>
      </c>
      <c r="U398" s="8" t="s">
        <v>1571</v>
      </c>
      <c r="V398">
        <v>1800</v>
      </c>
      <c r="W398">
        <v>1120</v>
      </c>
      <c r="X398">
        <v>3213</v>
      </c>
      <c r="Y398">
        <v>973</v>
      </c>
    </row>
    <row r="399" spans="1:25" x14ac:dyDescent="0.3">
      <c r="A399" s="8" t="s">
        <v>686</v>
      </c>
      <c r="B399" s="14">
        <v>46192</v>
      </c>
      <c r="C399" s="8" t="s">
        <v>111</v>
      </c>
      <c r="D399" s="8" t="s">
        <v>35</v>
      </c>
      <c r="E399" s="8" t="s">
        <v>36</v>
      </c>
      <c r="F399">
        <v>2</v>
      </c>
      <c r="G399">
        <v>1470</v>
      </c>
      <c r="H399">
        <v>0</v>
      </c>
      <c r="I399" s="8" t="s">
        <v>80</v>
      </c>
      <c r="J399" s="8" t="s">
        <v>31</v>
      </c>
      <c r="K399" s="8" t="s">
        <v>67</v>
      </c>
      <c r="L399">
        <v>2940</v>
      </c>
      <c r="M399" s="8" t="s">
        <v>56</v>
      </c>
      <c r="N399">
        <v>2940</v>
      </c>
      <c r="O399" s="8" t="s">
        <v>1701</v>
      </c>
      <c r="P399" s="8" t="s">
        <v>1548</v>
      </c>
      <c r="Q399" s="8" t="s">
        <v>1549</v>
      </c>
      <c r="R399" s="8" t="s">
        <v>42</v>
      </c>
      <c r="S399" s="8" t="s">
        <v>1542</v>
      </c>
      <c r="T399" s="8" t="s">
        <v>1577</v>
      </c>
      <c r="U399" s="8" t="s">
        <v>1571</v>
      </c>
      <c r="V399">
        <v>1400</v>
      </c>
      <c r="W399">
        <v>780</v>
      </c>
      <c r="X399">
        <v>0</v>
      </c>
      <c r="Y399">
        <v>-1560</v>
      </c>
    </row>
    <row r="400" spans="1:25" x14ac:dyDescent="0.3">
      <c r="A400" s="8" t="s">
        <v>687</v>
      </c>
      <c r="B400" s="14">
        <v>46084</v>
      </c>
      <c r="C400" s="8" t="s">
        <v>315</v>
      </c>
      <c r="D400" s="8" t="s">
        <v>77</v>
      </c>
      <c r="E400" s="8" t="s">
        <v>74</v>
      </c>
      <c r="F400">
        <v>3</v>
      </c>
      <c r="G400">
        <v>2280</v>
      </c>
      <c r="H400">
        <v>0.15</v>
      </c>
      <c r="I400" s="8" t="s">
        <v>17</v>
      </c>
      <c r="J400" s="8" t="s">
        <v>18</v>
      </c>
      <c r="K400" s="8" t="s">
        <v>67</v>
      </c>
      <c r="L400">
        <v>5814</v>
      </c>
      <c r="M400" s="8" t="s">
        <v>32</v>
      </c>
      <c r="N400">
        <v>5814</v>
      </c>
      <c r="O400" s="8" t="s">
        <v>1701</v>
      </c>
      <c r="P400" s="8" t="s">
        <v>1564</v>
      </c>
      <c r="Q400" s="8" t="s">
        <v>1563</v>
      </c>
      <c r="R400" s="8" t="s">
        <v>1565</v>
      </c>
      <c r="S400" s="8" t="s">
        <v>1542</v>
      </c>
      <c r="T400" s="8" t="s">
        <v>1584</v>
      </c>
      <c r="U400" s="8" t="s">
        <v>1583</v>
      </c>
      <c r="V400">
        <v>2400</v>
      </c>
      <c r="W400">
        <v>1480</v>
      </c>
      <c r="X400">
        <v>5814</v>
      </c>
      <c r="Y400">
        <v>1374</v>
      </c>
    </row>
    <row r="401" spans="1:25" x14ac:dyDescent="0.3">
      <c r="A401" s="8" t="s">
        <v>688</v>
      </c>
      <c r="B401" s="14">
        <v>46088</v>
      </c>
      <c r="C401" s="8" t="s">
        <v>154</v>
      </c>
      <c r="D401" s="8" t="s">
        <v>152</v>
      </c>
      <c r="E401" s="8" t="s">
        <v>85</v>
      </c>
      <c r="F401">
        <v>1</v>
      </c>
      <c r="G401">
        <v>48500</v>
      </c>
      <c r="H401">
        <v>0.15</v>
      </c>
      <c r="I401" s="8" t="s">
        <v>17</v>
      </c>
      <c r="J401" s="8" t="s">
        <v>18</v>
      </c>
      <c r="K401" s="8" t="s">
        <v>1698</v>
      </c>
      <c r="L401">
        <v>41225</v>
      </c>
      <c r="M401" s="8" t="s">
        <v>26</v>
      </c>
      <c r="N401">
        <v>41225</v>
      </c>
      <c r="O401" s="8" t="s">
        <v>1701</v>
      </c>
      <c r="P401" s="8" t="s">
        <v>1553</v>
      </c>
      <c r="Q401" s="8" t="s">
        <v>1554</v>
      </c>
      <c r="R401" s="8" t="s">
        <v>59</v>
      </c>
      <c r="S401" s="8" t="s">
        <v>1542</v>
      </c>
      <c r="T401" s="8" t="s">
        <v>1585</v>
      </c>
      <c r="U401" s="8" t="s">
        <v>1586</v>
      </c>
      <c r="V401">
        <v>48500</v>
      </c>
      <c r="W401">
        <v>41200</v>
      </c>
      <c r="X401">
        <v>41225</v>
      </c>
      <c r="Y401">
        <v>25</v>
      </c>
    </row>
    <row r="402" spans="1:25" x14ac:dyDescent="0.3">
      <c r="A402" s="8" t="s">
        <v>689</v>
      </c>
      <c r="B402" s="14">
        <v>46189</v>
      </c>
      <c r="C402" s="8" t="s">
        <v>690</v>
      </c>
      <c r="D402" s="8" t="s">
        <v>23</v>
      </c>
      <c r="E402" s="8" t="s">
        <v>36</v>
      </c>
      <c r="F402">
        <v>2</v>
      </c>
      <c r="G402">
        <v>1330</v>
      </c>
      <c r="H402">
        <v>0</v>
      </c>
      <c r="I402" s="8" t="s">
        <v>17</v>
      </c>
      <c r="J402" s="8" t="s">
        <v>71</v>
      </c>
      <c r="K402" s="8" t="s">
        <v>41</v>
      </c>
      <c r="L402">
        <v>2660</v>
      </c>
      <c r="M402" s="8" t="s">
        <v>32</v>
      </c>
      <c r="N402">
        <v>2660</v>
      </c>
      <c r="O402" s="8" t="s">
        <v>1701</v>
      </c>
      <c r="P402" s="8" t="s">
        <v>1545</v>
      </c>
      <c r="Q402" s="8" t="s">
        <v>1541</v>
      </c>
      <c r="R402" s="8" t="s">
        <v>1546</v>
      </c>
      <c r="S402" s="8" t="s">
        <v>1542</v>
      </c>
      <c r="T402" s="8" t="s">
        <v>1577</v>
      </c>
      <c r="U402" s="8" t="s">
        <v>1571</v>
      </c>
      <c r="V402">
        <v>1400</v>
      </c>
      <c r="W402">
        <v>780</v>
      </c>
      <c r="X402">
        <v>2660</v>
      </c>
      <c r="Y402">
        <v>1100</v>
      </c>
    </row>
    <row r="403" spans="1:25" x14ac:dyDescent="0.3">
      <c r="A403" s="8" t="s">
        <v>691</v>
      </c>
      <c r="B403" s="14">
        <v>46049</v>
      </c>
      <c r="C403" s="8" t="s">
        <v>181</v>
      </c>
      <c r="D403" s="8" t="s">
        <v>23</v>
      </c>
      <c r="E403" s="8" t="s">
        <v>51</v>
      </c>
      <c r="F403">
        <v>4</v>
      </c>
      <c r="G403">
        <v>17575</v>
      </c>
      <c r="H403">
        <v>0.2</v>
      </c>
      <c r="I403" s="8" t="s">
        <v>17</v>
      </c>
      <c r="J403" s="8" t="s">
        <v>31</v>
      </c>
      <c r="K403" s="8" t="s">
        <v>55</v>
      </c>
      <c r="L403">
        <v>56240</v>
      </c>
      <c r="M403" s="8" t="s">
        <v>138</v>
      </c>
      <c r="N403">
        <v>56240</v>
      </c>
      <c r="O403" s="8" t="s">
        <v>1701</v>
      </c>
      <c r="P403" s="8" t="s">
        <v>1545</v>
      </c>
      <c r="Q403" s="8" t="s">
        <v>1541</v>
      </c>
      <c r="R403" s="8" t="s">
        <v>1546</v>
      </c>
      <c r="S403" s="8" t="s">
        <v>1542</v>
      </c>
      <c r="T403" s="8" t="s">
        <v>1581</v>
      </c>
      <c r="U403" s="8" t="s">
        <v>1580</v>
      </c>
      <c r="V403">
        <v>18500</v>
      </c>
      <c r="W403">
        <v>13900</v>
      </c>
      <c r="X403">
        <v>56240</v>
      </c>
      <c r="Y403">
        <v>640</v>
      </c>
    </row>
    <row r="404" spans="1:25" x14ac:dyDescent="0.3">
      <c r="A404" s="8" t="s">
        <v>692</v>
      </c>
      <c r="B404" s="14">
        <v>46032</v>
      </c>
      <c r="C404" s="8" t="s">
        <v>693</v>
      </c>
      <c r="D404" s="8" t="s">
        <v>15</v>
      </c>
      <c r="E404" s="8" t="s">
        <v>63</v>
      </c>
      <c r="F404">
        <v>1</v>
      </c>
      <c r="G404">
        <v>2200</v>
      </c>
      <c r="H404">
        <v>0.05</v>
      </c>
      <c r="I404" s="8" t="s">
        <v>17</v>
      </c>
      <c r="J404" s="8" t="s">
        <v>18</v>
      </c>
      <c r="K404" s="8" t="s">
        <v>55</v>
      </c>
      <c r="L404">
        <v>2090</v>
      </c>
      <c r="M404" s="8" t="s">
        <v>56</v>
      </c>
      <c r="N404">
        <v>2090</v>
      </c>
      <c r="O404" s="8" t="s">
        <v>1701</v>
      </c>
      <c r="P404" s="8" t="s">
        <v>1543</v>
      </c>
      <c r="Q404" s="8" t="s">
        <v>1541</v>
      </c>
      <c r="R404" s="8" t="s">
        <v>52</v>
      </c>
      <c r="S404" s="8" t="s">
        <v>1542</v>
      </c>
      <c r="T404" s="8" t="s">
        <v>1572</v>
      </c>
      <c r="U404" s="8" t="s">
        <v>1571</v>
      </c>
      <c r="V404">
        <v>2200</v>
      </c>
      <c r="W404">
        <v>1450</v>
      </c>
      <c r="X404">
        <v>2090</v>
      </c>
      <c r="Y404">
        <v>640</v>
      </c>
    </row>
    <row r="405" spans="1:25" x14ac:dyDescent="0.3">
      <c r="A405" s="8" t="s">
        <v>694</v>
      </c>
      <c r="B405" s="14">
        <v>46184</v>
      </c>
      <c r="C405" s="8" t="s">
        <v>260</v>
      </c>
      <c r="D405" s="8" t="s">
        <v>70</v>
      </c>
      <c r="E405" s="8" t="s">
        <v>161</v>
      </c>
      <c r="F405">
        <v>2</v>
      </c>
      <c r="G405">
        <v>2470</v>
      </c>
      <c r="H405">
        <v>0.1</v>
      </c>
      <c r="I405" s="8" t="s">
        <v>17</v>
      </c>
      <c r="J405" s="8" t="s">
        <v>31</v>
      </c>
      <c r="K405" s="8" t="s">
        <v>1698</v>
      </c>
      <c r="L405">
        <v>4446</v>
      </c>
      <c r="M405" s="8" t="s">
        <v>138</v>
      </c>
      <c r="N405">
        <v>4446</v>
      </c>
      <c r="O405" s="8" t="s">
        <v>1701</v>
      </c>
      <c r="P405" s="8" t="s">
        <v>1550</v>
      </c>
      <c r="Q405" s="8" t="s">
        <v>1549</v>
      </c>
      <c r="R405" s="8" t="s">
        <v>32</v>
      </c>
      <c r="S405" s="8" t="s">
        <v>1542</v>
      </c>
      <c r="T405" s="8" t="s">
        <v>1578</v>
      </c>
      <c r="U405" s="8" t="s">
        <v>1571</v>
      </c>
      <c r="V405">
        <v>2600</v>
      </c>
      <c r="W405">
        <v>1750</v>
      </c>
      <c r="X405">
        <v>4446</v>
      </c>
      <c r="Y405">
        <v>946</v>
      </c>
    </row>
    <row r="406" spans="1:25" x14ac:dyDescent="0.3">
      <c r="A406" s="8" t="s">
        <v>695</v>
      </c>
      <c r="B406" s="14">
        <v>46151</v>
      </c>
      <c r="C406" s="8" t="s">
        <v>696</v>
      </c>
      <c r="D406" s="8" t="s">
        <v>15</v>
      </c>
      <c r="E406" s="8" t="s">
        <v>135</v>
      </c>
      <c r="F406">
        <v>4</v>
      </c>
      <c r="G406">
        <v>16800</v>
      </c>
      <c r="H406">
        <v>0.05</v>
      </c>
      <c r="I406" s="8" t="s">
        <v>17</v>
      </c>
      <c r="J406" s="8" t="s">
        <v>18</v>
      </c>
      <c r="K406" s="8" t="s">
        <v>55</v>
      </c>
      <c r="L406">
        <v>63840</v>
      </c>
      <c r="M406" s="8" t="s">
        <v>20</v>
      </c>
      <c r="N406">
        <v>63840</v>
      </c>
      <c r="O406" s="8" t="s">
        <v>1701</v>
      </c>
      <c r="P406" s="8" t="s">
        <v>1543</v>
      </c>
      <c r="Q406" s="8" t="s">
        <v>1541</v>
      </c>
      <c r="R406" s="8" t="s">
        <v>52</v>
      </c>
      <c r="S406" s="8" t="s">
        <v>1542</v>
      </c>
      <c r="T406" s="8" t="s">
        <v>1576</v>
      </c>
      <c r="U406" s="8" t="s">
        <v>1575</v>
      </c>
      <c r="V406">
        <v>16800</v>
      </c>
      <c r="W406">
        <v>12600</v>
      </c>
      <c r="X406">
        <v>63840</v>
      </c>
      <c r="Y406">
        <v>13440</v>
      </c>
    </row>
    <row r="407" spans="1:25" x14ac:dyDescent="0.3">
      <c r="A407" s="8" t="s">
        <v>697</v>
      </c>
      <c r="B407" s="14">
        <v>46144</v>
      </c>
      <c r="C407" s="8" t="s">
        <v>475</v>
      </c>
      <c r="D407" s="8" t="s">
        <v>50</v>
      </c>
      <c r="E407" s="8" t="s">
        <v>51</v>
      </c>
      <c r="F407">
        <v>1</v>
      </c>
      <c r="G407">
        <v>18500</v>
      </c>
      <c r="H407">
        <v>0.2</v>
      </c>
      <c r="I407" s="8" t="s">
        <v>17</v>
      </c>
      <c r="J407" s="8" t="s">
        <v>47</v>
      </c>
      <c r="K407" s="8" t="s">
        <v>67</v>
      </c>
      <c r="L407">
        <v>14800</v>
      </c>
      <c r="M407" s="8" t="s">
        <v>20</v>
      </c>
      <c r="N407">
        <v>14800</v>
      </c>
      <c r="O407" s="8" t="s">
        <v>1701</v>
      </c>
      <c r="P407" s="8" t="s">
        <v>1544</v>
      </c>
      <c r="Q407" s="8" t="s">
        <v>1541</v>
      </c>
      <c r="R407" s="8" t="s">
        <v>26</v>
      </c>
      <c r="S407" s="8" t="s">
        <v>1542</v>
      </c>
      <c r="T407" s="8" t="s">
        <v>1581</v>
      </c>
      <c r="U407" s="8" t="s">
        <v>1580</v>
      </c>
      <c r="V407">
        <v>18500</v>
      </c>
      <c r="W407">
        <v>13900</v>
      </c>
      <c r="X407">
        <v>14800</v>
      </c>
      <c r="Y407">
        <v>900</v>
      </c>
    </row>
    <row r="408" spans="1:25" x14ac:dyDescent="0.3">
      <c r="A408" s="8" t="s">
        <v>698</v>
      </c>
      <c r="B408" s="14">
        <v>46164</v>
      </c>
      <c r="C408" s="8" t="s">
        <v>480</v>
      </c>
      <c r="D408" s="8" t="s">
        <v>90</v>
      </c>
      <c r="E408" s="8" t="s">
        <v>51</v>
      </c>
      <c r="F408">
        <v>1</v>
      </c>
      <c r="G408">
        <v>19425</v>
      </c>
      <c r="H408">
        <v>0</v>
      </c>
      <c r="I408" s="8" t="s">
        <v>17</v>
      </c>
      <c r="J408" s="8" t="s">
        <v>47</v>
      </c>
      <c r="K408" s="8" t="s">
        <v>41</v>
      </c>
      <c r="L408">
        <v>19425</v>
      </c>
      <c r="M408" s="8" t="s">
        <v>138</v>
      </c>
      <c r="N408">
        <v>19425</v>
      </c>
      <c r="O408" s="8" t="s">
        <v>1701</v>
      </c>
      <c r="P408" s="8" t="s">
        <v>1562</v>
      </c>
      <c r="Q408" s="8" t="s">
        <v>1563</v>
      </c>
      <c r="R408" s="8" t="s">
        <v>48</v>
      </c>
      <c r="S408" s="8" t="s">
        <v>1542</v>
      </c>
      <c r="T408" s="8" t="s">
        <v>1581</v>
      </c>
      <c r="U408" s="8" t="s">
        <v>1580</v>
      </c>
      <c r="V408">
        <v>18500</v>
      </c>
      <c r="W408">
        <v>13900</v>
      </c>
      <c r="X408">
        <v>19425</v>
      </c>
      <c r="Y408">
        <v>5525</v>
      </c>
    </row>
    <row r="409" spans="1:25" x14ac:dyDescent="0.3">
      <c r="A409" s="8" t="s">
        <v>699</v>
      </c>
      <c r="B409" s="14">
        <v>46077</v>
      </c>
      <c r="C409" s="8" t="s">
        <v>700</v>
      </c>
      <c r="D409" s="8" t="s">
        <v>70</v>
      </c>
      <c r="E409" s="8" t="s">
        <v>74</v>
      </c>
      <c r="F409">
        <v>5</v>
      </c>
      <c r="G409">
        <v>2400</v>
      </c>
      <c r="H409">
        <v>0</v>
      </c>
      <c r="I409" s="8" t="s">
        <v>17</v>
      </c>
      <c r="J409" s="8" t="s">
        <v>71</v>
      </c>
      <c r="K409" s="8" t="s">
        <v>1698</v>
      </c>
      <c r="L409">
        <v>12000</v>
      </c>
      <c r="M409" s="8" t="s">
        <v>59</v>
      </c>
      <c r="N409">
        <v>12000</v>
      </c>
      <c r="O409" s="8" t="s">
        <v>1701</v>
      </c>
      <c r="P409" s="8" t="s">
        <v>1550</v>
      </c>
      <c r="Q409" s="8" t="s">
        <v>1549</v>
      </c>
      <c r="R409" s="8" t="s">
        <v>32</v>
      </c>
      <c r="S409" s="8" t="s">
        <v>1542</v>
      </c>
      <c r="T409" s="8" t="s">
        <v>1584</v>
      </c>
      <c r="U409" s="8" t="s">
        <v>1583</v>
      </c>
      <c r="V409">
        <v>2400</v>
      </c>
      <c r="W409">
        <v>1480</v>
      </c>
      <c r="X409">
        <v>12000</v>
      </c>
      <c r="Y409">
        <v>4600</v>
      </c>
    </row>
    <row r="410" spans="1:25" x14ac:dyDescent="0.3">
      <c r="A410" s="8" t="s">
        <v>701</v>
      </c>
      <c r="B410" s="14">
        <v>46194</v>
      </c>
      <c r="C410" s="8" t="s">
        <v>39</v>
      </c>
      <c r="D410" s="8" t="s">
        <v>29</v>
      </c>
      <c r="E410" s="8" t="s">
        <v>183</v>
      </c>
      <c r="F410">
        <v>5</v>
      </c>
      <c r="G410">
        <v>3040</v>
      </c>
      <c r="H410">
        <v>0.15</v>
      </c>
      <c r="I410" s="8" t="s">
        <v>17</v>
      </c>
      <c r="J410" s="8" t="s">
        <v>31</v>
      </c>
      <c r="K410" s="8" t="s">
        <v>67</v>
      </c>
      <c r="L410">
        <v>12920</v>
      </c>
      <c r="M410" s="8" t="s">
        <v>42</v>
      </c>
      <c r="N410">
        <v>12920</v>
      </c>
      <c r="O410" s="8" t="s">
        <v>1701</v>
      </c>
      <c r="P410" s="8" t="s">
        <v>1560</v>
      </c>
      <c r="Q410" s="8" t="s">
        <v>1559</v>
      </c>
      <c r="R410" s="8" t="s">
        <v>1561</v>
      </c>
      <c r="S410" s="8" t="s">
        <v>1542</v>
      </c>
      <c r="T410" s="8" t="s">
        <v>1582</v>
      </c>
      <c r="U410" s="8" t="s">
        <v>1583</v>
      </c>
      <c r="V410">
        <v>3200</v>
      </c>
      <c r="W410">
        <v>2050</v>
      </c>
      <c r="X410">
        <v>12920</v>
      </c>
      <c r="Y410">
        <v>2670</v>
      </c>
    </row>
    <row r="411" spans="1:25" x14ac:dyDescent="0.3">
      <c r="A411" s="8" t="s">
        <v>702</v>
      </c>
      <c r="B411" s="14">
        <v>46073</v>
      </c>
      <c r="C411" s="8" t="s">
        <v>194</v>
      </c>
      <c r="D411" s="8" t="s">
        <v>123</v>
      </c>
      <c r="E411" s="8" t="s">
        <v>183</v>
      </c>
      <c r="F411">
        <v>2</v>
      </c>
      <c r="G411">
        <v>3200</v>
      </c>
      <c r="H411">
        <v>0.05</v>
      </c>
      <c r="I411" s="8" t="s">
        <v>17</v>
      </c>
      <c r="J411" s="8" t="s">
        <v>47</v>
      </c>
      <c r="K411" s="8" t="s">
        <v>25</v>
      </c>
      <c r="L411">
        <v>6080</v>
      </c>
      <c r="M411" s="8" t="s">
        <v>42</v>
      </c>
      <c r="N411">
        <v>6080</v>
      </c>
      <c r="O411" s="8" t="s">
        <v>1701</v>
      </c>
      <c r="P411" s="8" t="s">
        <v>1558</v>
      </c>
      <c r="Q411" s="8" t="s">
        <v>1559</v>
      </c>
      <c r="R411" s="8" t="s">
        <v>138</v>
      </c>
      <c r="S411" s="8" t="s">
        <v>1542</v>
      </c>
      <c r="T411" s="8" t="s">
        <v>1582</v>
      </c>
      <c r="U411" s="8" t="s">
        <v>1583</v>
      </c>
      <c r="V411">
        <v>3200</v>
      </c>
      <c r="W411">
        <v>2050</v>
      </c>
      <c r="X411">
        <v>6080</v>
      </c>
      <c r="Y411">
        <v>1980</v>
      </c>
    </row>
    <row r="412" spans="1:25" x14ac:dyDescent="0.3">
      <c r="A412" s="8" t="s">
        <v>703</v>
      </c>
      <c r="B412" s="14">
        <v>46072</v>
      </c>
      <c r="C412" s="8" t="s">
        <v>137</v>
      </c>
      <c r="D412" s="8" t="s">
        <v>35</v>
      </c>
      <c r="E412" s="8" t="s">
        <v>46</v>
      </c>
      <c r="F412">
        <v>2</v>
      </c>
      <c r="G412">
        <v>7800</v>
      </c>
      <c r="H412">
        <v>0.15</v>
      </c>
      <c r="I412" s="8" t="s">
        <v>17</v>
      </c>
      <c r="J412" s="8" t="s">
        <v>47</v>
      </c>
      <c r="K412" s="8" t="s">
        <v>55</v>
      </c>
      <c r="L412">
        <v>13260</v>
      </c>
      <c r="M412" s="8" t="s">
        <v>59</v>
      </c>
      <c r="N412">
        <v>13260</v>
      </c>
      <c r="O412" s="8" t="s">
        <v>1701</v>
      </c>
      <c r="P412" s="8" t="s">
        <v>1548</v>
      </c>
      <c r="Q412" s="8" t="s">
        <v>1549</v>
      </c>
      <c r="R412" s="8" t="s">
        <v>42</v>
      </c>
      <c r="S412" s="8" t="s">
        <v>1542</v>
      </c>
      <c r="T412" s="8" t="s">
        <v>1579</v>
      </c>
      <c r="U412" s="8" t="s">
        <v>1580</v>
      </c>
      <c r="V412">
        <v>7800</v>
      </c>
      <c r="W412">
        <v>5200</v>
      </c>
      <c r="X412">
        <v>13260</v>
      </c>
      <c r="Y412">
        <v>2860</v>
      </c>
    </row>
    <row r="413" spans="1:25" x14ac:dyDescent="0.3">
      <c r="A413" s="8" t="s">
        <v>704</v>
      </c>
      <c r="B413" s="14">
        <v>46024</v>
      </c>
      <c r="C413" s="8" t="s">
        <v>705</v>
      </c>
      <c r="D413" s="8" t="s">
        <v>35</v>
      </c>
      <c r="E413" s="8" t="s">
        <v>24</v>
      </c>
      <c r="F413">
        <v>4</v>
      </c>
      <c r="G413">
        <v>11760</v>
      </c>
      <c r="H413">
        <v>0.2</v>
      </c>
      <c r="I413" s="8" t="s">
        <v>17</v>
      </c>
      <c r="J413" s="8" t="s">
        <v>47</v>
      </c>
      <c r="K413" s="8" t="s">
        <v>41</v>
      </c>
      <c r="L413">
        <v>37632</v>
      </c>
      <c r="M413" s="8" t="s">
        <v>138</v>
      </c>
      <c r="N413">
        <v>37632</v>
      </c>
      <c r="O413" s="8" t="s">
        <v>1701</v>
      </c>
      <c r="P413" s="8" t="s">
        <v>1548</v>
      </c>
      <c r="Q413" s="8" t="s">
        <v>1549</v>
      </c>
      <c r="R413" s="8" t="s">
        <v>42</v>
      </c>
      <c r="S413" s="8" t="s">
        <v>1542</v>
      </c>
      <c r="T413" s="8" t="s">
        <v>1574</v>
      </c>
      <c r="U413" s="8" t="s">
        <v>1575</v>
      </c>
      <c r="V413">
        <v>11200</v>
      </c>
      <c r="W413">
        <v>8300</v>
      </c>
      <c r="X413">
        <v>37632</v>
      </c>
      <c r="Y413">
        <v>4432</v>
      </c>
    </row>
    <row r="414" spans="1:25" x14ac:dyDescent="0.3">
      <c r="A414" s="8" t="s">
        <v>706</v>
      </c>
      <c r="B414" s="14">
        <v>46145</v>
      </c>
      <c r="C414" s="8" t="s">
        <v>298</v>
      </c>
      <c r="D414" s="8" t="s">
        <v>62</v>
      </c>
      <c r="E414" s="8" t="s">
        <v>46</v>
      </c>
      <c r="F414">
        <v>2</v>
      </c>
      <c r="G414">
        <v>7410</v>
      </c>
      <c r="H414">
        <v>0.05</v>
      </c>
      <c r="I414" s="8" t="s">
        <v>17</v>
      </c>
      <c r="J414" s="8" t="s">
        <v>31</v>
      </c>
      <c r="K414" s="8" t="s">
        <v>67</v>
      </c>
      <c r="L414">
        <v>14079</v>
      </c>
      <c r="M414" s="8" t="s">
        <v>59</v>
      </c>
      <c r="N414">
        <v>14079</v>
      </c>
      <c r="O414" s="8" t="s">
        <v>1701</v>
      </c>
      <c r="P414" s="8" t="s">
        <v>1551</v>
      </c>
      <c r="Q414" s="8" t="s">
        <v>1549</v>
      </c>
      <c r="R414" s="8" t="s">
        <v>1552</v>
      </c>
      <c r="S414" s="8" t="s">
        <v>1542</v>
      </c>
      <c r="T414" s="8" t="s">
        <v>1579</v>
      </c>
      <c r="U414" s="8" t="s">
        <v>1580</v>
      </c>
      <c r="V414">
        <v>7800</v>
      </c>
      <c r="W414">
        <v>5200</v>
      </c>
      <c r="X414">
        <v>14079</v>
      </c>
      <c r="Y414">
        <v>3679</v>
      </c>
    </row>
    <row r="415" spans="1:25" x14ac:dyDescent="0.3">
      <c r="A415" s="8" t="s">
        <v>707</v>
      </c>
      <c r="B415" s="14">
        <v>46160</v>
      </c>
      <c r="C415" s="8" t="s">
        <v>576</v>
      </c>
      <c r="D415" s="8" t="s">
        <v>23</v>
      </c>
      <c r="E415" s="8" t="s">
        <v>135</v>
      </c>
      <c r="F415">
        <v>4</v>
      </c>
      <c r="G415">
        <v>15960</v>
      </c>
      <c r="H415">
        <v>0.2</v>
      </c>
      <c r="I415" s="8" t="s">
        <v>17</v>
      </c>
      <c r="J415" s="8" t="s">
        <v>31</v>
      </c>
      <c r="K415" s="8" t="s">
        <v>25</v>
      </c>
      <c r="L415">
        <v>51072</v>
      </c>
      <c r="M415" s="8" t="s">
        <v>48</v>
      </c>
      <c r="N415">
        <v>51072</v>
      </c>
      <c r="O415" s="8" t="s">
        <v>1701</v>
      </c>
      <c r="P415" s="8" t="s">
        <v>1545</v>
      </c>
      <c r="Q415" s="8" t="s">
        <v>1541</v>
      </c>
      <c r="R415" s="8" t="s">
        <v>1546</v>
      </c>
      <c r="S415" s="8" t="s">
        <v>1542</v>
      </c>
      <c r="T415" s="8" t="s">
        <v>1576</v>
      </c>
      <c r="U415" s="8" t="s">
        <v>1575</v>
      </c>
      <c r="V415">
        <v>16800</v>
      </c>
      <c r="W415">
        <v>12600</v>
      </c>
      <c r="X415">
        <v>51072</v>
      </c>
      <c r="Y415">
        <v>672</v>
      </c>
    </row>
    <row r="416" spans="1:25" x14ac:dyDescent="0.3">
      <c r="A416" s="8" t="s">
        <v>708</v>
      </c>
      <c r="B416" s="14">
        <v>46126</v>
      </c>
      <c r="C416" s="8" t="s">
        <v>709</v>
      </c>
      <c r="D416" s="8" t="s">
        <v>29</v>
      </c>
      <c r="E416" s="8" t="s">
        <v>183</v>
      </c>
      <c r="F416">
        <v>1</v>
      </c>
      <c r="G416">
        <v>3360</v>
      </c>
      <c r="H416">
        <v>0</v>
      </c>
      <c r="I416" s="8" t="s">
        <v>17</v>
      </c>
      <c r="J416" s="8" t="s">
        <v>47</v>
      </c>
      <c r="K416" s="8" t="s">
        <v>55</v>
      </c>
      <c r="L416">
        <v>3360</v>
      </c>
      <c r="M416" s="8" t="s">
        <v>52</v>
      </c>
      <c r="N416">
        <v>3360</v>
      </c>
      <c r="O416" s="8" t="s">
        <v>1701</v>
      </c>
      <c r="P416" s="8" t="s">
        <v>1560</v>
      </c>
      <c r="Q416" s="8" t="s">
        <v>1559</v>
      </c>
      <c r="R416" s="8" t="s">
        <v>1561</v>
      </c>
      <c r="S416" s="8" t="s">
        <v>1542</v>
      </c>
      <c r="T416" s="8" t="s">
        <v>1582</v>
      </c>
      <c r="U416" s="8" t="s">
        <v>1583</v>
      </c>
      <c r="V416">
        <v>3200</v>
      </c>
      <c r="W416">
        <v>2050</v>
      </c>
      <c r="X416">
        <v>3360</v>
      </c>
      <c r="Y416">
        <v>1310</v>
      </c>
    </row>
    <row r="417" spans="1:25" x14ac:dyDescent="0.3">
      <c r="A417" s="8" t="s">
        <v>710</v>
      </c>
      <c r="B417" s="14">
        <v>46173</v>
      </c>
      <c r="C417" s="8" t="s">
        <v>137</v>
      </c>
      <c r="D417" s="8" t="s">
        <v>123</v>
      </c>
      <c r="E417" s="8" t="s">
        <v>135</v>
      </c>
      <c r="F417">
        <v>1</v>
      </c>
      <c r="G417">
        <v>17640</v>
      </c>
      <c r="H417">
        <v>0.15</v>
      </c>
      <c r="I417" s="8" t="s">
        <v>17</v>
      </c>
      <c r="J417" s="8" t="s">
        <v>31</v>
      </c>
      <c r="K417" s="8" t="s">
        <v>41</v>
      </c>
      <c r="L417">
        <v>14994</v>
      </c>
      <c r="M417" s="8" t="s">
        <v>48</v>
      </c>
      <c r="N417">
        <v>14994</v>
      </c>
      <c r="O417" s="8" t="s">
        <v>1701</v>
      </c>
      <c r="P417" s="8" t="s">
        <v>1558</v>
      </c>
      <c r="Q417" s="8" t="s">
        <v>1559</v>
      </c>
      <c r="R417" s="8" t="s">
        <v>138</v>
      </c>
      <c r="S417" s="8" t="s">
        <v>1542</v>
      </c>
      <c r="T417" s="8" t="s">
        <v>1576</v>
      </c>
      <c r="U417" s="8" t="s">
        <v>1575</v>
      </c>
      <c r="V417">
        <v>16800</v>
      </c>
      <c r="W417">
        <v>12600</v>
      </c>
      <c r="X417">
        <v>14994</v>
      </c>
      <c r="Y417">
        <v>2394</v>
      </c>
    </row>
    <row r="418" spans="1:25" x14ac:dyDescent="0.3">
      <c r="A418" s="8" t="s">
        <v>711</v>
      </c>
      <c r="B418" s="14">
        <v>46198</v>
      </c>
      <c r="C418" s="8" t="s">
        <v>407</v>
      </c>
      <c r="D418" s="8" t="s">
        <v>50</v>
      </c>
      <c r="E418" s="8" t="s">
        <v>51</v>
      </c>
      <c r="F418">
        <v>1</v>
      </c>
      <c r="G418">
        <v>18500</v>
      </c>
      <c r="H418">
        <v>0</v>
      </c>
      <c r="I418" s="8" t="s">
        <v>17</v>
      </c>
      <c r="J418" s="8" t="s">
        <v>47</v>
      </c>
      <c r="K418" s="8" t="s">
        <v>1698</v>
      </c>
      <c r="L418">
        <v>18500</v>
      </c>
      <c r="M418" s="8" t="s">
        <v>52</v>
      </c>
      <c r="N418">
        <v>18500</v>
      </c>
      <c r="O418" s="8" t="s">
        <v>1701</v>
      </c>
      <c r="P418" s="8" t="s">
        <v>1544</v>
      </c>
      <c r="Q418" s="8" t="s">
        <v>1541</v>
      </c>
      <c r="R418" s="8" t="s">
        <v>26</v>
      </c>
      <c r="S418" s="8" t="s">
        <v>1542</v>
      </c>
      <c r="T418" s="8" t="s">
        <v>1581</v>
      </c>
      <c r="U418" s="8" t="s">
        <v>1580</v>
      </c>
      <c r="V418">
        <v>18500</v>
      </c>
      <c r="W418">
        <v>13900</v>
      </c>
      <c r="X418">
        <v>18500</v>
      </c>
      <c r="Y418">
        <v>4600</v>
      </c>
    </row>
    <row r="419" spans="1:25" x14ac:dyDescent="0.3">
      <c r="A419" s="8" t="s">
        <v>712</v>
      </c>
      <c r="B419" s="14">
        <v>46147</v>
      </c>
      <c r="C419" s="8" t="s">
        <v>651</v>
      </c>
      <c r="D419" s="8" t="s">
        <v>23</v>
      </c>
      <c r="E419" s="8" t="s">
        <v>63</v>
      </c>
      <c r="F419">
        <v>1</v>
      </c>
      <c r="G419">
        <v>2200</v>
      </c>
      <c r="H419">
        <v>0</v>
      </c>
      <c r="I419" s="8" t="s">
        <v>17</v>
      </c>
      <c r="J419" s="8" t="s">
        <v>18</v>
      </c>
      <c r="K419" s="8" t="s">
        <v>55</v>
      </c>
      <c r="L419">
        <v>2200</v>
      </c>
      <c r="M419" s="8" t="s">
        <v>56</v>
      </c>
      <c r="N419">
        <v>2200</v>
      </c>
      <c r="O419" s="8" t="s">
        <v>1701</v>
      </c>
      <c r="P419" s="8" t="s">
        <v>1545</v>
      </c>
      <c r="Q419" s="8" t="s">
        <v>1541</v>
      </c>
      <c r="R419" s="8" t="s">
        <v>1546</v>
      </c>
      <c r="S419" s="8" t="s">
        <v>1542</v>
      </c>
      <c r="T419" s="8" t="s">
        <v>1572</v>
      </c>
      <c r="U419" s="8" t="s">
        <v>1571</v>
      </c>
      <c r="V419">
        <v>2200</v>
      </c>
      <c r="W419">
        <v>1450</v>
      </c>
      <c r="X419">
        <v>2200</v>
      </c>
      <c r="Y419">
        <v>750</v>
      </c>
    </row>
    <row r="420" spans="1:25" x14ac:dyDescent="0.3">
      <c r="A420" s="8" t="s">
        <v>713</v>
      </c>
      <c r="B420" s="14">
        <v>46034</v>
      </c>
      <c r="C420" s="8" t="s">
        <v>714</v>
      </c>
      <c r="D420" s="8" t="s">
        <v>168</v>
      </c>
      <c r="E420" s="8" t="s">
        <v>74</v>
      </c>
      <c r="F420">
        <v>2</v>
      </c>
      <c r="G420">
        <v>2400</v>
      </c>
      <c r="H420">
        <v>0.2</v>
      </c>
      <c r="I420" s="8" t="s">
        <v>116</v>
      </c>
      <c r="J420" s="8" t="s">
        <v>71</v>
      </c>
      <c r="K420" s="8" t="s">
        <v>55</v>
      </c>
      <c r="L420">
        <v>3840</v>
      </c>
      <c r="M420" s="8" t="s">
        <v>32</v>
      </c>
      <c r="N420">
        <v>3840</v>
      </c>
      <c r="O420" s="8" t="s">
        <v>1701</v>
      </c>
      <c r="P420" s="8" t="s">
        <v>1540</v>
      </c>
      <c r="Q420" s="8" t="s">
        <v>1541</v>
      </c>
      <c r="R420" s="8" t="s">
        <v>20</v>
      </c>
      <c r="S420" s="8" t="s">
        <v>1542</v>
      </c>
      <c r="T420" s="8" t="s">
        <v>1584</v>
      </c>
      <c r="U420" s="8" t="s">
        <v>1583</v>
      </c>
      <c r="V420">
        <v>2400</v>
      </c>
      <c r="W420">
        <v>1480</v>
      </c>
      <c r="X420">
        <v>0</v>
      </c>
      <c r="Y420">
        <v>-2960</v>
      </c>
    </row>
    <row r="421" spans="1:25" x14ac:dyDescent="0.3">
      <c r="A421" s="8" t="s">
        <v>715</v>
      </c>
      <c r="B421" s="14">
        <v>46116</v>
      </c>
      <c r="C421" s="8" t="s">
        <v>338</v>
      </c>
      <c r="D421" s="8" t="s">
        <v>40</v>
      </c>
      <c r="E421" s="8" t="s">
        <v>74</v>
      </c>
      <c r="F421">
        <v>5</v>
      </c>
      <c r="G421">
        <v>2520</v>
      </c>
      <c r="H421">
        <v>0</v>
      </c>
      <c r="I421" s="8" t="s">
        <v>17</v>
      </c>
      <c r="J421" s="8" t="s">
        <v>18</v>
      </c>
      <c r="K421" s="8" t="s">
        <v>67</v>
      </c>
      <c r="L421">
        <v>12600</v>
      </c>
      <c r="M421" s="8" t="s">
        <v>138</v>
      </c>
      <c r="N421">
        <v>12600</v>
      </c>
      <c r="O421" s="8" t="s">
        <v>1701</v>
      </c>
      <c r="P421" s="8" t="s">
        <v>1555</v>
      </c>
      <c r="Q421" s="8" t="s">
        <v>1554</v>
      </c>
      <c r="R421" s="8" t="s">
        <v>82</v>
      </c>
      <c r="S421" s="8" t="s">
        <v>1542</v>
      </c>
      <c r="T421" s="8" t="s">
        <v>1584</v>
      </c>
      <c r="U421" s="8" t="s">
        <v>1583</v>
      </c>
      <c r="V421">
        <v>2400</v>
      </c>
      <c r="W421">
        <v>1480</v>
      </c>
      <c r="X421">
        <v>12600</v>
      </c>
      <c r="Y421">
        <v>5200</v>
      </c>
    </row>
    <row r="422" spans="1:25" x14ac:dyDescent="0.3">
      <c r="A422" s="8" t="s">
        <v>716</v>
      </c>
      <c r="B422" s="14">
        <v>46147</v>
      </c>
      <c r="C422" s="8" t="s">
        <v>491</v>
      </c>
      <c r="D422" s="8" t="s">
        <v>29</v>
      </c>
      <c r="E422" s="8" t="s">
        <v>46</v>
      </c>
      <c r="F422">
        <v>5</v>
      </c>
      <c r="G422">
        <v>7800</v>
      </c>
      <c r="H422">
        <v>0</v>
      </c>
      <c r="I422" s="8" t="s">
        <v>17</v>
      </c>
      <c r="J422" s="8" t="s">
        <v>71</v>
      </c>
      <c r="K422" s="8" t="s">
        <v>41</v>
      </c>
      <c r="L422">
        <v>39000</v>
      </c>
      <c r="M422" s="8" t="s">
        <v>42</v>
      </c>
      <c r="N422">
        <v>39000</v>
      </c>
      <c r="O422" s="8" t="s">
        <v>1701</v>
      </c>
      <c r="P422" s="8" t="s">
        <v>1560</v>
      </c>
      <c r="Q422" s="8" t="s">
        <v>1559</v>
      </c>
      <c r="R422" s="8" t="s">
        <v>1561</v>
      </c>
      <c r="S422" s="8" t="s">
        <v>1542</v>
      </c>
      <c r="T422" s="8" t="s">
        <v>1579</v>
      </c>
      <c r="U422" s="8" t="s">
        <v>1580</v>
      </c>
      <c r="V422">
        <v>7800</v>
      </c>
      <c r="W422">
        <v>5200</v>
      </c>
      <c r="X422">
        <v>39000</v>
      </c>
      <c r="Y422">
        <v>13000</v>
      </c>
    </row>
    <row r="423" spans="1:25" x14ac:dyDescent="0.3">
      <c r="A423" s="8" t="s">
        <v>717</v>
      </c>
      <c r="B423" s="14">
        <v>46154</v>
      </c>
      <c r="C423" s="8" t="s">
        <v>211</v>
      </c>
      <c r="D423" s="8" t="s">
        <v>95</v>
      </c>
      <c r="E423" s="8" t="s">
        <v>135</v>
      </c>
      <c r="F423">
        <v>1</v>
      </c>
      <c r="G423">
        <v>15960</v>
      </c>
      <c r="H423">
        <v>0</v>
      </c>
      <c r="I423" s="8" t="s">
        <v>17</v>
      </c>
      <c r="J423" s="8" t="s">
        <v>18</v>
      </c>
      <c r="K423" s="8" t="s">
        <v>67</v>
      </c>
      <c r="L423">
        <v>15960</v>
      </c>
      <c r="M423" s="8" t="s">
        <v>42</v>
      </c>
      <c r="N423">
        <v>15960</v>
      </c>
      <c r="O423" s="8" t="s">
        <v>1701</v>
      </c>
      <c r="P423" s="8" t="s">
        <v>1556</v>
      </c>
      <c r="Q423" s="8" t="s">
        <v>1554</v>
      </c>
      <c r="R423" s="8" t="s">
        <v>1557</v>
      </c>
      <c r="S423" s="8" t="s">
        <v>1542</v>
      </c>
      <c r="T423" s="8" t="s">
        <v>1576</v>
      </c>
      <c r="U423" s="8" t="s">
        <v>1575</v>
      </c>
      <c r="V423">
        <v>16800</v>
      </c>
      <c r="W423">
        <v>12600</v>
      </c>
      <c r="X423">
        <v>15960</v>
      </c>
      <c r="Y423">
        <v>3360</v>
      </c>
    </row>
    <row r="424" spans="1:25" x14ac:dyDescent="0.3">
      <c r="A424" s="8" t="s">
        <v>718</v>
      </c>
      <c r="B424" s="14">
        <v>46146</v>
      </c>
      <c r="C424" s="8" t="s">
        <v>507</v>
      </c>
      <c r="D424" s="8" t="s">
        <v>95</v>
      </c>
      <c r="E424" s="8" t="s">
        <v>46</v>
      </c>
      <c r="F424">
        <v>2</v>
      </c>
      <c r="G424">
        <v>8190</v>
      </c>
      <c r="H424">
        <v>0.15</v>
      </c>
      <c r="I424" s="8" t="s">
        <v>17</v>
      </c>
      <c r="J424" s="8" t="s">
        <v>71</v>
      </c>
      <c r="K424" s="8" t="s">
        <v>1698</v>
      </c>
      <c r="L424">
        <v>13923</v>
      </c>
      <c r="M424" s="8" t="s">
        <v>59</v>
      </c>
      <c r="N424">
        <v>13923</v>
      </c>
      <c r="O424" s="8" t="s">
        <v>1701</v>
      </c>
      <c r="P424" s="8" t="s">
        <v>1556</v>
      </c>
      <c r="Q424" s="8" t="s">
        <v>1554</v>
      </c>
      <c r="R424" s="8" t="s">
        <v>1557</v>
      </c>
      <c r="S424" s="8" t="s">
        <v>1542</v>
      </c>
      <c r="T424" s="8" t="s">
        <v>1579</v>
      </c>
      <c r="U424" s="8" t="s">
        <v>1580</v>
      </c>
      <c r="V424">
        <v>7800</v>
      </c>
      <c r="W424">
        <v>5200</v>
      </c>
      <c r="X424">
        <v>13923</v>
      </c>
      <c r="Y424">
        <v>3523</v>
      </c>
    </row>
    <row r="425" spans="1:25" x14ac:dyDescent="0.3">
      <c r="A425" s="8" t="s">
        <v>719</v>
      </c>
      <c r="B425" s="14">
        <v>46169</v>
      </c>
      <c r="C425" s="8" t="s">
        <v>720</v>
      </c>
      <c r="D425" s="8" t="s">
        <v>40</v>
      </c>
      <c r="E425" s="8" t="s">
        <v>30</v>
      </c>
      <c r="F425">
        <v>1</v>
      </c>
      <c r="G425">
        <v>1800</v>
      </c>
      <c r="H425">
        <v>0.15</v>
      </c>
      <c r="I425" s="8" t="s">
        <v>17</v>
      </c>
      <c r="J425" s="8" t="s">
        <v>71</v>
      </c>
      <c r="K425" s="8" t="s">
        <v>67</v>
      </c>
      <c r="L425">
        <v>1530</v>
      </c>
      <c r="M425" s="8" t="s">
        <v>59</v>
      </c>
      <c r="N425">
        <v>1530</v>
      </c>
      <c r="O425" s="8" t="s">
        <v>1701</v>
      </c>
      <c r="P425" s="8" t="s">
        <v>1555</v>
      </c>
      <c r="Q425" s="8" t="s">
        <v>1554</v>
      </c>
      <c r="R425" s="8" t="s">
        <v>82</v>
      </c>
      <c r="S425" s="8" t="s">
        <v>1542</v>
      </c>
      <c r="T425" s="8" t="s">
        <v>1573</v>
      </c>
      <c r="U425" s="8" t="s">
        <v>1571</v>
      </c>
      <c r="V425">
        <v>1800</v>
      </c>
      <c r="W425">
        <v>1120</v>
      </c>
      <c r="X425">
        <v>1530</v>
      </c>
      <c r="Y425">
        <v>410</v>
      </c>
    </row>
    <row r="426" spans="1:25" x14ac:dyDescent="0.3">
      <c r="A426" s="8" t="s">
        <v>721</v>
      </c>
      <c r="B426" s="14">
        <v>46155</v>
      </c>
      <c r="C426" s="8" t="s">
        <v>480</v>
      </c>
      <c r="D426" s="8" t="s">
        <v>70</v>
      </c>
      <c r="E426" s="8" t="s">
        <v>183</v>
      </c>
      <c r="F426">
        <v>8</v>
      </c>
      <c r="G426">
        <v>3200</v>
      </c>
      <c r="H426">
        <v>0.2</v>
      </c>
      <c r="I426" s="8" t="s">
        <v>17</v>
      </c>
      <c r="J426" s="8" t="s">
        <v>71</v>
      </c>
      <c r="K426" s="8" t="s">
        <v>55</v>
      </c>
      <c r="L426">
        <v>20480</v>
      </c>
      <c r="M426" s="8" t="s">
        <v>48</v>
      </c>
      <c r="N426">
        <v>20480</v>
      </c>
      <c r="O426" s="8" t="s">
        <v>1701</v>
      </c>
      <c r="P426" s="8" t="s">
        <v>1550</v>
      </c>
      <c r="Q426" s="8" t="s">
        <v>1549</v>
      </c>
      <c r="R426" s="8" t="s">
        <v>32</v>
      </c>
      <c r="S426" s="8" t="s">
        <v>1542</v>
      </c>
      <c r="T426" s="8" t="s">
        <v>1582</v>
      </c>
      <c r="U426" s="8" t="s">
        <v>1583</v>
      </c>
      <c r="V426">
        <v>3200</v>
      </c>
      <c r="W426">
        <v>2050</v>
      </c>
      <c r="X426">
        <v>20480</v>
      </c>
      <c r="Y426">
        <v>4080</v>
      </c>
    </row>
    <row r="427" spans="1:25" x14ac:dyDescent="0.3">
      <c r="A427" s="8" t="s">
        <v>722</v>
      </c>
      <c r="B427" s="14">
        <v>46143</v>
      </c>
      <c r="C427" s="8" t="s">
        <v>79</v>
      </c>
      <c r="D427" s="8" t="s">
        <v>90</v>
      </c>
      <c r="E427" s="8" t="s">
        <v>46</v>
      </c>
      <c r="F427">
        <v>1</v>
      </c>
      <c r="G427">
        <v>7800</v>
      </c>
      <c r="H427">
        <v>0.1</v>
      </c>
      <c r="I427" s="8" t="s">
        <v>17</v>
      </c>
      <c r="J427" s="8" t="s">
        <v>71</v>
      </c>
      <c r="K427" s="8" t="s">
        <v>67</v>
      </c>
      <c r="L427">
        <v>7020</v>
      </c>
      <c r="M427" s="8" t="s">
        <v>56</v>
      </c>
      <c r="N427">
        <v>7020</v>
      </c>
      <c r="O427" s="8" t="s">
        <v>1701</v>
      </c>
      <c r="P427" s="8" t="s">
        <v>1562</v>
      </c>
      <c r="Q427" s="8" t="s">
        <v>1563</v>
      </c>
      <c r="R427" s="8" t="s">
        <v>48</v>
      </c>
      <c r="S427" s="8" t="s">
        <v>1542</v>
      </c>
      <c r="T427" s="8" t="s">
        <v>1579</v>
      </c>
      <c r="U427" s="8" t="s">
        <v>1580</v>
      </c>
      <c r="V427">
        <v>7800</v>
      </c>
      <c r="W427">
        <v>5200</v>
      </c>
      <c r="X427">
        <v>7020</v>
      </c>
      <c r="Y427">
        <v>1820</v>
      </c>
    </row>
    <row r="428" spans="1:25" x14ac:dyDescent="0.3">
      <c r="A428" s="8" t="s">
        <v>723</v>
      </c>
      <c r="B428" s="14">
        <v>46175</v>
      </c>
      <c r="C428" s="8" t="s">
        <v>724</v>
      </c>
      <c r="D428" s="8" t="s">
        <v>40</v>
      </c>
      <c r="E428" s="8" t="s">
        <v>63</v>
      </c>
      <c r="F428">
        <v>1</v>
      </c>
      <c r="G428">
        <v>2090</v>
      </c>
      <c r="H428">
        <v>0.1</v>
      </c>
      <c r="I428" s="8" t="s">
        <v>17</v>
      </c>
      <c r="J428" s="8" t="s">
        <v>18</v>
      </c>
      <c r="K428" s="8" t="s">
        <v>41</v>
      </c>
      <c r="L428">
        <v>1881</v>
      </c>
      <c r="M428" s="8" t="s">
        <v>48</v>
      </c>
      <c r="N428">
        <v>1881</v>
      </c>
      <c r="O428" s="8" t="s">
        <v>1701</v>
      </c>
      <c r="P428" s="8" t="s">
        <v>1555</v>
      </c>
      <c r="Q428" s="8" t="s">
        <v>1554</v>
      </c>
      <c r="R428" s="8" t="s">
        <v>82</v>
      </c>
      <c r="S428" s="8" t="s">
        <v>1542</v>
      </c>
      <c r="T428" s="8" t="s">
        <v>1572</v>
      </c>
      <c r="U428" s="8" t="s">
        <v>1571</v>
      </c>
      <c r="V428">
        <v>2200</v>
      </c>
      <c r="W428">
        <v>1450</v>
      </c>
      <c r="X428">
        <v>1881</v>
      </c>
      <c r="Y428">
        <v>431</v>
      </c>
    </row>
    <row r="429" spans="1:25" x14ac:dyDescent="0.3">
      <c r="A429" s="8" t="s">
        <v>725</v>
      </c>
      <c r="B429" s="14">
        <v>46047</v>
      </c>
      <c r="C429" s="8" t="s">
        <v>146</v>
      </c>
      <c r="D429" s="8" t="s">
        <v>50</v>
      </c>
      <c r="E429" s="8" t="s">
        <v>46</v>
      </c>
      <c r="F429">
        <v>5</v>
      </c>
      <c r="G429">
        <v>7410</v>
      </c>
      <c r="H429">
        <v>0.15</v>
      </c>
      <c r="I429" s="8" t="s">
        <v>17</v>
      </c>
      <c r="J429" s="8" t="s">
        <v>18</v>
      </c>
      <c r="K429" s="8" t="s">
        <v>41</v>
      </c>
      <c r="L429">
        <v>31492.5</v>
      </c>
      <c r="M429" s="8" t="s">
        <v>48</v>
      </c>
      <c r="N429">
        <v>31492.5</v>
      </c>
      <c r="O429" s="8" t="s">
        <v>1701</v>
      </c>
      <c r="P429" s="8" t="s">
        <v>1544</v>
      </c>
      <c r="Q429" s="8" t="s">
        <v>1541</v>
      </c>
      <c r="R429" s="8" t="s">
        <v>26</v>
      </c>
      <c r="S429" s="8" t="s">
        <v>1542</v>
      </c>
      <c r="T429" s="8" t="s">
        <v>1579</v>
      </c>
      <c r="U429" s="8" t="s">
        <v>1580</v>
      </c>
      <c r="V429">
        <v>7800</v>
      </c>
      <c r="W429">
        <v>5200</v>
      </c>
      <c r="X429">
        <v>31492.5</v>
      </c>
      <c r="Y429">
        <v>5492.5</v>
      </c>
    </row>
    <row r="430" spans="1:25" x14ac:dyDescent="0.3">
      <c r="A430" s="8" t="s">
        <v>726</v>
      </c>
      <c r="B430" s="14">
        <v>46161</v>
      </c>
      <c r="C430" s="8" t="s">
        <v>291</v>
      </c>
      <c r="D430" s="8" t="s">
        <v>90</v>
      </c>
      <c r="E430" s="8" t="s">
        <v>16</v>
      </c>
      <c r="F430">
        <v>5</v>
      </c>
      <c r="G430">
        <v>682.5</v>
      </c>
      <c r="H430">
        <v>0.2</v>
      </c>
      <c r="I430" s="8" t="s">
        <v>17</v>
      </c>
      <c r="J430" s="8" t="s">
        <v>31</v>
      </c>
      <c r="K430" s="8" t="s">
        <v>25</v>
      </c>
      <c r="L430">
        <v>2730</v>
      </c>
      <c r="M430" s="8" t="s">
        <v>32</v>
      </c>
      <c r="N430">
        <v>2730</v>
      </c>
      <c r="O430" s="8" t="s">
        <v>1701</v>
      </c>
      <c r="P430" s="8" t="s">
        <v>1562</v>
      </c>
      <c r="Q430" s="8" t="s">
        <v>1563</v>
      </c>
      <c r="R430" s="8" t="s">
        <v>48</v>
      </c>
      <c r="S430" s="8" t="s">
        <v>1542</v>
      </c>
      <c r="T430" s="8" t="s">
        <v>1570</v>
      </c>
      <c r="U430" s="8" t="s">
        <v>1571</v>
      </c>
      <c r="V430">
        <v>650</v>
      </c>
      <c r="W430">
        <v>390</v>
      </c>
      <c r="X430">
        <v>2730</v>
      </c>
      <c r="Y430">
        <v>780</v>
      </c>
    </row>
    <row r="431" spans="1:25" x14ac:dyDescent="0.3">
      <c r="A431" s="8" t="s">
        <v>727</v>
      </c>
      <c r="B431" s="14">
        <v>46081</v>
      </c>
      <c r="C431" s="8" t="s">
        <v>728</v>
      </c>
      <c r="D431" s="8" t="s">
        <v>29</v>
      </c>
      <c r="E431" s="8" t="s">
        <v>46</v>
      </c>
      <c r="F431">
        <v>4</v>
      </c>
      <c r="G431">
        <v>7410</v>
      </c>
      <c r="H431">
        <v>0.1</v>
      </c>
      <c r="I431" s="8" t="s">
        <v>17</v>
      </c>
      <c r="J431" s="8" t="s">
        <v>71</v>
      </c>
      <c r="K431" s="8" t="s">
        <v>67</v>
      </c>
      <c r="L431">
        <v>26676</v>
      </c>
      <c r="M431" s="8" t="s">
        <v>56</v>
      </c>
      <c r="N431">
        <v>26676</v>
      </c>
      <c r="O431" s="8" t="s">
        <v>1701</v>
      </c>
      <c r="P431" s="8" t="s">
        <v>1560</v>
      </c>
      <c r="Q431" s="8" t="s">
        <v>1559</v>
      </c>
      <c r="R431" s="8" t="s">
        <v>1561</v>
      </c>
      <c r="S431" s="8" t="s">
        <v>1542</v>
      </c>
      <c r="T431" s="8" t="s">
        <v>1579</v>
      </c>
      <c r="U431" s="8" t="s">
        <v>1580</v>
      </c>
      <c r="V431">
        <v>7800</v>
      </c>
      <c r="W431">
        <v>5200</v>
      </c>
      <c r="X431">
        <v>26676</v>
      </c>
      <c r="Y431">
        <v>5876</v>
      </c>
    </row>
    <row r="432" spans="1:25" x14ac:dyDescent="0.3">
      <c r="A432" s="8" t="s">
        <v>729</v>
      </c>
      <c r="B432" s="14">
        <v>46082</v>
      </c>
      <c r="C432" s="8" t="s">
        <v>682</v>
      </c>
      <c r="D432" s="8" t="s">
        <v>77</v>
      </c>
      <c r="E432" s="8" t="s">
        <v>63</v>
      </c>
      <c r="F432">
        <v>1</v>
      </c>
      <c r="G432">
        <v>2200</v>
      </c>
      <c r="H432">
        <v>0.15</v>
      </c>
      <c r="I432" s="8" t="s">
        <v>17</v>
      </c>
      <c r="J432" s="8" t="s">
        <v>31</v>
      </c>
      <c r="K432" s="8" t="s">
        <v>25</v>
      </c>
      <c r="L432">
        <v>1870</v>
      </c>
      <c r="M432" s="8" t="s">
        <v>82</v>
      </c>
      <c r="N432">
        <v>1870</v>
      </c>
      <c r="O432" s="8" t="s">
        <v>1701</v>
      </c>
      <c r="P432" s="8" t="s">
        <v>1564</v>
      </c>
      <c r="Q432" s="8" t="s">
        <v>1563</v>
      </c>
      <c r="R432" s="8" t="s">
        <v>1565</v>
      </c>
      <c r="S432" s="8" t="s">
        <v>1542</v>
      </c>
      <c r="T432" s="8" t="s">
        <v>1572</v>
      </c>
      <c r="U432" s="8" t="s">
        <v>1571</v>
      </c>
      <c r="V432">
        <v>2200</v>
      </c>
      <c r="W432">
        <v>1450</v>
      </c>
      <c r="X432">
        <v>1870</v>
      </c>
      <c r="Y432">
        <v>420</v>
      </c>
    </row>
    <row r="433" spans="1:25" x14ac:dyDescent="0.3">
      <c r="A433" s="8" t="s">
        <v>730</v>
      </c>
      <c r="B433" s="14">
        <v>46053</v>
      </c>
      <c r="C433" s="8" t="s">
        <v>140</v>
      </c>
      <c r="D433" s="8" t="s">
        <v>152</v>
      </c>
      <c r="E433" s="8" t="s">
        <v>16</v>
      </c>
      <c r="F433">
        <v>2</v>
      </c>
      <c r="G433">
        <v>650</v>
      </c>
      <c r="H433">
        <v>0</v>
      </c>
      <c r="I433" s="8" t="s">
        <v>17</v>
      </c>
      <c r="J433" s="8" t="s">
        <v>47</v>
      </c>
      <c r="K433" s="8" t="s">
        <v>1698</v>
      </c>
      <c r="L433">
        <v>1300</v>
      </c>
      <c r="M433" s="8" t="s">
        <v>59</v>
      </c>
      <c r="N433">
        <v>1300</v>
      </c>
      <c r="O433" s="8" t="s">
        <v>1701</v>
      </c>
      <c r="P433" s="8" t="s">
        <v>1553</v>
      </c>
      <c r="Q433" s="8" t="s">
        <v>1554</v>
      </c>
      <c r="R433" s="8" t="s">
        <v>59</v>
      </c>
      <c r="S433" s="8" t="s">
        <v>1542</v>
      </c>
      <c r="T433" s="8" t="s">
        <v>1570</v>
      </c>
      <c r="U433" s="8" t="s">
        <v>1571</v>
      </c>
      <c r="V433">
        <v>650</v>
      </c>
      <c r="W433">
        <v>390</v>
      </c>
      <c r="X433">
        <v>1300</v>
      </c>
      <c r="Y433">
        <v>520</v>
      </c>
    </row>
    <row r="434" spans="1:25" x14ac:dyDescent="0.3">
      <c r="A434" s="8" t="s">
        <v>731</v>
      </c>
      <c r="B434" s="14">
        <v>46132</v>
      </c>
      <c r="C434" s="8" t="s">
        <v>705</v>
      </c>
      <c r="D434" s="8" t="s">
        <v>95</v>
      </c>
      <c r="E434" s="8" t="s">
        <v>183</v>
      </c>
      <c r="F434">
        <v>1</v>
      </c>
      <c r="G434">
        <v>3200</v>
      </c>
      <c r="H434">
        <v>0.15</v>
      </c>
      <c r="I434" s="8" t="s">
        <v>17</v>
      </c>
      <c r="J434" s="8" t="s">
        <v>18</v>
      </c>
      <c r="K434" s="8" t="s">
        <v>41</v>
      </c>
      <c r="L434">
        <v>2720</v>
      </c>
      <c r="M434" s="8" t="s">
        <v>32</v>
      </c>
      <c r="N434">
        <v>2720</v>
      </c>
      <c r="O434" s="8" t="s">
        <v>1701</v>
      </c>
      <c r="P434" s="8" t="s">
        <v>1556</v>
      </c>
      <c r="Q434" s="8" t="s">
        <v>1554</v>
      </c>
      <c r="R434" s="8" t="s">
        <v>1557</v>
      </c>
      <c r="S434" s="8" t="s">
        <v>1542</v>
      </c>
      <c r="T434" s="8" t="s">
        <v>1582</v>
      </c>
      <c r="U434" s="8" t="s">
        <v>1583</v>
      </c>
      <c r="V434">
        <v>3200</v>
      </c>
      <c r="W434">
        <v>2050</v>
      </c>
      <c r="X434">
        <v>2720</v>
      </c>
      <c r="Y434">
        <v>670</v>
      </c>
    </row>
    <row r="435" spans="1:25" x14ac:dyDescent="0.3">
      <c r="A435" s="8" t="s">
        <v>732</v>
      </c>
      <c r="B435" s="14">
        <v>46164</v>
      </c>
      <c r="C435" s="8" t="s">
        <v>700</v>
      </c>
      <c r="D435" s="8" t="s">
        <v>29</v>
      </c>
      <c r="E435" s="8" t="s">
        <v>51</v>
      </c>
      <c r="F435">
        <v>2</v>
      </c>
      <c r="G435">
        <v>19425</v>
      </c>
      <c r="H435">
        <v>0.05</v>
      </c>
      <c r="I435" s="8" t="s">
        <v>17</v>
      </c>
      <c r="J435" s="8" t="s">
        <v>47</v>
      </c>
      <c r="K435" s="8" t="s">
        <v>25</v>
      </c>
      <c r="L435">
        <v>36907.5</v>
      </c>
      <c r="M435" s="8" t="s">
        <v>138</v>
      </c>
      <c r="N435">
        <v>36907.5</v>
      </c>
      <c r="O435" s="8" t="s">
        <v>1701</v>
      </c>
      <c r="P435" s="8" t="s">
        <v>1560</v>
      </c>
      <c r="Q435" s="8" t="s">
        <v>1559</v>
      </c>
      <c r="R435" s="8" t="s">
        <v>1561</v>
      </c>
      <c r="S435" s="8" t="s">
        <v>1542</v>
      </c>
      <c r="T435" s="8" t="s">
        <v>1581</v>
      </c>
      <c r="U435" s="8" t="s">
        <v>1580</v>
      </c>
      <c r="V435">
        <v>18500</v>
      </c>
      <c r="W435">
        <v>13900</v>
      </c>
      <c r="X435">
        <v>36907.5</v>
      </c>
      <c r="Y435">
        <v>9107.5</v>
      </c>
    </row>
    <row r="436" spans="1:25" x14ac:dyDescent="0.3">
      <c r="A436" s="8" t="s">
        <v>733</v>
      </c>
      <c r="B436" s="14">
        <v>46203</v>
      </c>
      <c r="C436" s="8" t="s">
        <v>154</v>
      </c>
      <c r="D436" s="8" t="s">
        <v>70</v>
      </c>
      <c r="E436" s="8" t="s">
        <v>85</v>
      </c>
      <c r="F436">
        <v>1</v>
      </c>
      <c r="G436">
        <v>48500</v>
      </c>
      <c r="H436">
        <v>0.2</v>
      </c>
      <c r="I436" s="8" t="s">
        <v>17</v>
      </c>
      <c r="J436" s="8" t="s">
        <v>71</v>
      </c>
      <c r="K436" s="8" t="s">
        <v>1698</v>
      </c>
      <c r="L436">
        <v>38800</v>
      </c>
      <c r="M436" s="8" t="s">
        <v>52</v>
      </c>
      <c r="N436">
        <v>38800</v>
      </c>
      <c r="O436" s="8" t="s">
        <v>1701</v>
      </c>
      <c r="P436" s="8" t="s">
        <v>1550</v>
      </c>
      <c r="Q436" s="8" t="s">
        <v>1549</v>
      </c>
      <c r="R436" s="8" t="s">
        <v>32</v>
      </c>
      <c r="S436" s="8" t="s">
        <v>1542</v>
      </c>
      <c r="T436" s="8" t="s">
        <v>1585</v>
      </c>
      <c r="U436" s="8" t="s">
        <v>1586</v>
      </c>
      <c r="V436">
        <v>48500</v>
      </c>
      <c r="W436">
        <v>41200</v>
      </c>
      <c r="X436">
        <v>38800</v>
      </c>
      <c r="Y436">
        <v>-2400</v>
      </c>
    </row>
    <row r="437" spans="1:25" x14ac:dyDescent="0.3">
      <c r="A437" s="8" t="s">
        <v>734</v>
      </c>
      <c r="B437" s="14">
        <v>46153</v>
      </c>
      <c r="C437" s="8" t="s">
        <v>735</v>
      </c>
      <c r="D437" s="8" t="s">
        <v>70</v>
      </c>
      <c r="E437" s="8" t="s">
        <v>36</v>
      </c>
      <c r="F437">
        <v>4</v>
      </c>
      <c r="G437">
        <v>1330</v>
      </c>
      <c r="H437">
        <v>0.15</v>
      </c>
      <c r="I437" s="8" t="s">
        <v>17</v>
      </c>
      <c r="J437" s="8" t="s">
        <v>18</v>
      </c>
      <c r="K437" s="8" t="s">
        <v>1698</v>
      </c>
      <c r="L437">
        <v>4522</v>
      </c>
      <c r="M437" s="8" t="s">
        <v>42</v>
      </c>
      <c r="N437">
        <v>4522</v>
      </c>
      <c r="O437" s="8" t="s">
        <v>1701</v>
      </c>
      <c r="P437" s="8" t="s">
        <v>1550</v>
      </c>
      <c r="Q437" s="8" t="s">
        <v>1549</v>
      </c>
      <c r="R437" s="8" t="s">
        <v>32</v>
      </c>
      <c r="S437" s="8" t="s">
        <v>1542</v>
      </c>
      <c r="T437" s="8" t="s">
        <v>1577</v>
      </c>
      <c r="U437" s="8" t="s">
        <v>1571</v>
      </c>
      <c r="V437">
        <v>1400</v>
      </c>
      <c r="W437">
        <v>780</v>
      </c>
      <c r="X437">
        <v>4522</v>
      </c>
      <c r="Y437">
        <v>1402</v>
      </c>
    </row>
    <row r="438" spans="1:25" x14ac:dyDescent="0.3">
      <c r="A438" s="8" t="s">
        <v>736</v>
      </c>
      <c r="B438" s="14">
        <v>46060</v>
      </c>
      <c r="C438" s="8" t="s">
        <v>76</v>
      </c>
      <c r="D438" s="8" t="s">
        <v>62</v>
      </c>
      <c r="E438" s="8" t="s">
        <v>183</v>
      </c>
      <c r="F438">
        <v>2</v>
      </c>
      <c r="G438">
        <v>3200</v>
      </c>
      <c r="H438">
        <v>0</v>
      </c>
      <c r="I438" s="8" t="s">
        <v>17</v>
      </c>
      <c r="J438" s="8" t="s">
        <v>31</v>
      </c>
      <c r="K438" s="8" t="s">
        <v>55</v>
      </c>
      <c r="L438">
        <v>6400</v>
      </c>
      <c r="M438" s="8" t="s">
        <v>32</v>
      </c>
      <c r="N438">
        <v>6400</v>
      </c>
      <c r="O438" s="8" t="s">
        <v>1701</v>
      </c>
      <c r="P438" s="8" t="s">
        <v>1551</v>
      </c>
      <c r="Q438" s="8" t="s">
        <v>1549</v>
      </c>
      <c r="R438" s="8" t="s">
        <v>1552</v>
      </c>
      <c r="S438" s="8" t="s">
        <v>1542</v>
      </c>
      <c r="T438" s="8" t="s">
        <v>1582</v>
      </c>
      <c r="U438" s="8" t="s">
        <v>1583</v>
      </c>
      <c r="V438">
        <v>3200</v>
      </c>
      <c r="W438">
        <v>2050</v>
      </c>
      <c r="X438">
        <v>6400</v>
      </c>
      <c r="Y438">
        <v>2300</v>
      </c>
    </row>
    <row r="439" spans="1:25" x14ac:dyDescent="0.3">
      <c r="A439" s="8" t="s">
        <v>737</v>
      </c>
      <c r="B439" s="14">
        <v>46180</v>
      </c>
      <c r="C439" s="8" t="s">
        <v>232</v>
      </c>
      <c r="D439" s="8" t="s">
        <v>95</v>
      </c>
      <c r="E439" s="8" t="s">
        <v>51</v>
      </c>
      <c r="F439">
        <v>1</v>
      </c>
      <c r="G439">
        <v>18500</v>
      </c>
      <c r="H439">
        <v>0.15</v>
      </c>
      <c r="I439" s="8" t="s">
        <v>17</v>
      </c>
      <c r="J439" s="8" t="s">
        <v>18</v>
      </c>
      <c r="K439" s="8" t="s">
        <v>1698</v>
      </c>
      <c r="L439">
        <v>15725</v>
      </c>
      <c r="M439" s="8" t="s">
        <v>52</v>
      </c>
      <c r="N439">
        <v>15725</v>
      </c>
      <c r="O439" s="8" t="s">
        <v>1701</v>
      </c>
      <c r="P439" s="8" t="s">
        <v>1556</v>
      </c>
      <c r="Q439" s="8" t="s">
        <v>1554</v>
      </c>
      <c r="R439" s="8" t="s">
        <v>1557</v>
      </c>
      <c r="S439" s="8" t="s">
        <v>1542</v>
      </c>
      <c r="T439" s="8" t="s">
        <v>1581</v>
      </c>
      <c r="U439" s="8" t="s">
        <v>1580</v>
      </c>
      <c r="V439">
        <v>18500</v>
      </c>
      <c r="W439">
        <v>13900</v>
      </c>
      <c r="X439">
        <v>15725</v>
      </c>
      <c r="Y439">
        <v>1825</v>
      </c>
    </row>
    <row r="440" spans="1:25" x14ac:dyDescent="0.3">
      <c r="A440" s="8" t="s">
        <v>738</v>
      </c>
      <c r="B440" s="14">
        <v>46191</v>
      </c>
      <c r="C440" s="8" t="s">
        <v>487</v>
      </c>
      <c r="D440" s="8" t="s">
        <v>77</v>
      </c>
      <c r="E440" s="8" t="s">
        <v>51</v>
      </c>
      <c r="F440">
        <v>1</v>
      </c>
      <c r="G440">
        <v>18500</v>
      </c>
      <c r="H440">
        <v>0</v>
      </c>
      <c r="I440" s="8" t="s">
        <v>17</v>
      </c>
      <c r="J440" s="8" t="s">
        <v>31</v>
      </c>
      <c r="K440" s="8" t="s">
        <v>67</v>
      </c>
      <c r="L440">
        <v>18500</v>
      </c>
      <c r="M440" s="8" t="s">
        <v>52</v>
      </c>
      <c r="N440">
        <v>18500</v>
      </c>
      <c r="O440" s="8" t="s">
        <v>1701</v>
      </c>
      <c r="P440" s="8" t="s">
        <v>1564</v>
      </c>
      <c r="Q440" s="8" t="s">
        <v>1563</v>
      </c>
      <c r="R440" s="8" t="s">
        <v>1565</v>
      </c>
      <c r="S440" s="8" t="s">
        <v>1542</v>
      </c>
      <c r="T440" s="8" t="s">
        <v>1581</v>
      </c>
      <c r="U440" s="8" t="s">
        <v>1580</v>
      </c>
      <c r="V440">
        <v>18500</v>
      </c>
      <c r="W440">
        <v>13900</v>
      </c>
      <c r="X440">
        <v>18500</v>
      </c>
      <c r="Y440">
        <v>4600</v>
      </c>
    </row>
    <row r="441" spans="1:25" x14ac:dyDescent="0.3">
      <c r="A441" s="8" t="s">
        <v>739</v>
      </c>
      <c r="B441" s="14">
        <v>46190</v>
      </c>
      <c r="C441" s="8" t="s">
        <v>411</v>
      </c>
      <c r="D441" s="8" t="s">
        <v>168</v>
      </c>
      <c r="E441" s="8" t="s">
        <v>30</v>
      </c>
      <c r="F441">
        <v>1</v>
      </c>
      <c r="G441">
        <v>1800</v>
      </c>
      <c r="H441">
        <v>0.05</v>
      </c>
      <c r="I441" s="8" t="s">
        <v>17</v>
      </c>
      <c r="J441" s="8" t="s">
        <v>18</v>
      </c>
      <c r="K441" s="8" t="s">
        <v>25</v>
      </c>
      <c r="L441">
        <v>1710</v>
      </c>
      <c r="M441" s="8" t="s">
        <v>52</v>
      </c>
      <c r="N441">
        <v>1710</v>
      </c>
      <c r="O441" s="8" t="s">
        <v>1701</v>
      </c>
      <c r="P441" s="8" t="s">
        <v>1540</v>
      </c>
      <c r="Q441" s="8" t="s">
        <v>1541</v>
      </c>
      <c r="R441" s="8" t="s">
        <v>20</v>
      </c>
      <c r="S441" s="8" t="s">
        <v>1542</v>
      </c>
      <c r="T441" s="8" t="s">
        <v>1573</v>
      </c>
      <c r="U441" s="8" t="s">
        <v>1571</v>
      </c>
      <c r="V441">
        <v>1800</v>
      </c>
      <c r="W441">
        <v>1120</v>
      </c>
      <c r="X441">
        <v>1710</v>
      </c>
      <c r="Y441">
        <v>590</v>
      </c>
    </row>
    <row r="442" spans="1:25" x14ac:dyDescent="0.3">
      <c r="A442" s="8" t="s">
        <v>740</v>
      </c>
      <c r="B442" s="14">
        <v>46155</v>
      </c>
      <c r="C442" s="8" t="s">
        <v>367</v>
      </c>
      <c r="D442" s="8" t="s">
        <v>168</v>
      </c>
      <c r="E442" s="8" t="s">
        <v>85</v>
      </c>
      <c r="F442">
        <v>3</v>
      </c>
      <c r="G442">
        <v>48500</v>
      </c>
      <c r="H442">
        <v>0</v>
      </c>
      <c r="I442" s="8" t="s">
        <v>17</v>
      </c>
      <c r="J442" s="8" t="s">
        <v>47</v>
      </c>
      <c r="K442" s="8" t="s">
        <v>41</v>
      </c>
      <c r="L442">
        <v>145500</v>
      </c>
      <c r="M442" s="8" t="s">
        <v>48</v>
      </c>
      <c r="N442">
        <v>145500</v>
      </c>
      <c r="O442" s="8" t="s">
        <v>1701</v>
      </c>
      <c r="P442" s="8" t="s">
        <v>1540</v>
      </c>
      <c r="Q442" s="8" t="s">
        <v>1541</v>
      </c>
      <c r="R442" s="8" t="s">
        <v>20</v>
      </c>
      <c r="S442" s="8" t="s">
        <v>1542</v>
      </c>
      <c r="T442" s="8" t="s">
        <v>1585</v>
      </c>
      <c r="U442" s="8" t="s">
        <v>1586</v>
      </c>
      <c r="V442">
        <v>48500</v>
      </c>
      <c r="W442">
        <v>41200</v>
      </c>
      <c r="X442">
        <v>145500</v>
      </c>
      <c r="Y442">
        <v>21900</v>
      </c>
    </row>
    <row r="443" spans="1:25" x14ac:dyDescent="0.3">
      <c r="A443" s="8" t="s">
        <v>741</v>
      </c>
      <c r="B443" s="14">
        <v>46072</v>
      </c>
      <c r="C443" s="8" t="s">
        <v>742</v>
      </c>
      <c r="D443" s="8" t="s">
        <v>62</v>
      </c>
      <c r="E443" s="8" t="s">
        <v>161</v>
      </c>
      <c r="F443">
        <v>3</v>
      </c>
      <c r="G443">
        <v>2470</v>
      </c>
      <c r="H443">
        <v>0.05</v>
      </c>
      <c r="I443" s="8" t="s">
        <v>17</v>
      </c>
      <c r="J443" s="8" t="s">
        <v>47</v>
      </c>
      <c r="K443" s="8" t="s">
        <v>67</v>
      </c>
      <c r="L443">
        <v>7039.5</v>
      </c>
      <c r="M443" s="8" t="s">
        <v>42</v>
      </c>
      <c r="N443">
        <v>7039.5</v>
      </c>
      <c r="O443" s="8" t="s">
        <v>1701</v>
      </c>
      <c r="P443" s="8" t="s">
        <v>1551</v>
      </c>
      <c r="Q443" s="8" t="s">
        <v>1549</v>
      </c>
      <c r="R443" s="8" t="s">
        <v>1552</v>
      </c>
      <c r="S443" s="8" t="s">
        <v>1542</v>
      </c>
      <c r="T443" s="8" t="s">
        <v>1578</v>
      </c>
      <c r="U443" s="8" t="s">
        <v>1571</v>
      </c>
      <c r="V443">
        <v>2600</v>
      </c>
      <c r="W443">
        <v>1750</v>
      </c>
      <c r="X443">
        <v>7039.5</v>
      </c>
      <c r="Y443">
        <v>1789.5</v>
      </c>
    </row>
    <row r="444" spans="1:25" x14ac:dyDescent="0.3">
      <c r="A444" s="8" t="s">
        <v>743</v>
      </c>
      <c r="B444" s="14">
        <v>46154</v>
      </c>
      <c r="C444" s="8" t="s">
        <v>34</v>
      </c>
      <c r="D444" s="8" t="s">
        <v>45</v>
      </c>
      <c r="E444" s="8" t="s">
        <v>51</v>
      </c>
      <c r="F444">
        <v>4</v>
      </c>
      <c r="G444">
        <v>19425</v>
      </c>
      <c r="H444">
        <v>0.15</v>
      </c>
      <c r="I444" s="8" t="s">
        <v>17</v>
      </c>
      <c r="J444" s="8" t="s">
        <v>18</v>
      </c>
      <c r="K444" s="8" t="s">
        <v>41</v>
      </c>
      <c r="L444">
        <v>66045</v>
      </c>
      <c r="M444" s="8" t="s">
        <v>138</v>
      </c>
      <c r="N444">
        <v>66045</v>
      </c>
      <c r="O444" s="8" t="s">
        <v>1701</v>
      </c>
      <c r="P444" s="8" t="s">
        <v>1547</v>
      </c>
      <c r="Q444" s="8" t="s">
        <v>1541</v>
      </c>
      <c r="R444" s="8" t="s">
        <v>56</v>
      </c>
      <c r="S444" s="8" t="s">
        <v>1542</v>
      </c>
      <c r="T444" s="8" t="s">
        <v>1581</v>
      </c>
      <c r="U444" s="8" t="s">
        <v>1580</v>
      </c>
      <c r="V444">
        <v>18500</v>
      </c>
      <c r="W444">
        <v>13900</v>
      </c>
      <c r="X444">
        <v>66045</v>
      </c>
      <c r="Y444">
        <v>10445</v>
      </c>
    </row>
    <row r="445" spans="1:25" x14ac:dyDescent="0.3">
      <c r="A445" s="8" t="s">
        <v>744</v>
      </c>
      <c r="B445" s="14">
        <v>46140</v>
      </c>
      <c r="C445" s="8" t="s">
        <v>745</v>
      </c>
      <c r="D445" s="8" t="s">
        <v>95</v>
      </c>
      <c r="E445" s="8" t="s">
        <v>46</v>
      </c>
      <c r="F445">
        <v>5</v>
      </c>
      <c r="G445">
        <v>7800</v>
      </c>
      <c r="H445">
        <v>0</v>
      </c>
      <c r="I445" s="8" t="s">
        <v>17</v>
      </c>
      <c r="J445" s="8" t="s">
        <v>18</v>
      </c>
      <c r="K445" s="8" t="s">
        <v>41</v>
      </c>
      <c r="L445">
        <v>39000</v>
      </c>
      <c r="M445" s="8" t="s">
        <v>52</v>
      </c>
      <c r="N445">
        <v>39000</v>
      </c>
      <c r="O445" s="8" t="s">
        <v>1701</v>
      </c>
      <c r="P445" s="8" t="s">
        <v>1556</v>
      </c>
      <c r="Q445" s="8" t="s">
        <v>1554</v>
      </c>
      <c r="R445" s="8" t="s">
        <v>1557</v>
      </c>
      <c r="S445" s="8" t="s">
        <v>1542</v>
      </c>
      <c r="T445" s="8" t="s">
        <v>1579</v>
      </c>
      <c r="U445" s="8" t="s">
        <v>1580</v>
      </c>
      <c r="V445">
        <v>7800</v>
      </c>
      <c r="W445">
        <v>5200</v>
      </c>
      <c r="X445">
        <v>39000</v>
      </c>
      <c r="Y445">
        <v>13000</v>
      </c>
    </row>
    <row r="446" spans="1:25" x14ac:dyDescent="0.3">
      <c r="A446" s="8" t="s">
        <v>746</v>
      </c>
      <c r="B446" s="14">
        <v>46103</v>
      </c>
      <c r="C446" s="8" t="s">
        <v>747</v>
      </c>
      <c r="D446" s="8" t="s">
        <v>70</v>
      </c>
      <c r="E446" s="8" t="s">
        <v>36</v>
      </c>
      <c r="F446">
        <v>2</v>
      </c>
      <c r="G446">
        <v>1400</v>
      </c>
      <c r="H446">
        <v>0</v>
      </c>
      <c r="I446" s="8" t="s">
        <v>17</v>
      </c>
      <c r="J446" s="8" t="s">
        <v>47</v>
      </c>
      <c r="K446" s="8" t="s">
        <v>1698</v>
      </c>
      <c r="L446">
        <v>2800</v>
      </c>
      <c r="M446" s="8" t="s">
        <v>32</v>
      </c>
      <c r="N446">
        <v>2800</v>
      </c>
      <c r="O446" s="8" t="s">
        <v>1701</v>
      </c>
      <c r="P446" s="8" t="s">
        <v>1550</v>
      </c>
      <c r="Q446" s="8" t="s">
        <v>1549</v>
      </c>
      <c r="R446" s="8" t="s">
        <v>32</v>
      </c>
      <c r="S446" s="8" t="s">
        <v>1542</v>
      </c>
      <c r="T446" s="8" t="s">
        <v>1577</v>
      </c>
      <c r="U446" s="8" t="s">
        <v>1571</v>
      </c>
      <c r="V446">
        <v>1400</v>
      </c>
      <c r="W446">
        <v>780</v>
      </c>
      <c r="X446">
        <v>2800</v>
      </c>
      <c r="Y446">
        <v>1240</v>
      </c>
    </row>
    <row r="447" spans="1:25" x14ac:dyDescent="0.3">
      <c r="A447" s="8" t="s">
        <v>748</v>
      </c>
      <c r="B447" s="14">
        <v>46195</v>
      </c>
      <c r="C447" s="8" t="s">
        <v>434</v>
      </c>
      <c r="D447" s="8" t="s">
        <v>123</v>
      </c>
      <c r="E447" s="8" t="s">
        <v>36</v>
      </c>
      <c r="F447">
        <v>1</v>
      </c>
      <c r="G447">
        <v>1400</v>
      </c>
      <c r="H447">
        <v>0</v>
      </c>
      <c r="I447" s="8" t="s">
        <v>17</v>
      </c>
      <c r="J447" s="8" t="s">
        <v>47</v>
      </c>
      <c r="K447" s="8" t="s">
        <v>41</v>
      </c>
      <c r="L447">
        <v>1400</v>
      </c>
      <c r="M447" s="8" t="s">
        <v>52</v>
      </c>
      <c r="N447">
        <v>1400</v>
      </c>
      <c r="O447" s="8" t="s">
        <v>1701</v>
      </c>
      <c r="P447" s="8" t="s">
        <v>1558</v>
      </c>
      <c r="Q447" s="8" t="s">
        <v>1559</v>
      </c>
      <c r="R447" s="8" t="s">
        <v>138</v>
      </c>
      <c r="S447" s="8" t="s">
        <v>1542</v>
      </c>
      <c r="T447" s="8" t="s">
        <v>1577</v>
      </c>
      <c r="U447" s="8" t="s">
        <v>1571</v>
      </c>
      <c r="V447">
        <v>1400</v>
      </c>
      <c r="W447">
        <v>780</v>
      </c>
      <c r="X447">
        <v>1400</v>
      </c>
      <c r="Y447">
        <v>620</v>
      </c>
    </row>
    <row r="448" spans="1:25" x14ac:dyDescent="0.3">
      <c r="A448" s="8" t="s">
        <v>749</v>
      </c>
      <c r="B448" s="14">
        <v>46150</v>
      </c>
      <c r="C448" s="8" t="s">
        <v>211</v>
      </c>
      <c r="D448" s="8" t="s">
        <v>123</v>
      </c>
      <c r="E448" s="8" t="s">
        <v>24</v>
      </c>
      <c r="F448">
        <v>1</v>
      </c>
      <c r="G448">
        <v>11200</v>
      </c>
      <c r="H448">
        <v>0</v>
      </c>
      <c r="I448" s="8" t="s">
        <v>66</v>
      </c>
      <c r="J448" s="8" t="s">
        <v>71</v>
      </c>
      <c r="K448" s="8" t="s">
        <v>41</v>
      </c>
      <c r="L448">
        <v>11200</v>
      </c>
      <c r="M448" s="8" t="s">
        <v>48</v>
      </c>
      <c r="N448">
        <v>11200</v>
      </c>
      <c r="O448" s="8" t="s">
        <v>1701</v>
      </c>
      <c r="P448" s="8" t="s">
        <v>1558</v>
      </c>
      <c r="Q448" s="8" t="s">
        <v>1559</v>
      </c>
      <c r="R448" s="8" t="s">
        <v>138</v>
      </c>
      <c r="S448" s="8" t="s">
        <v>1542</v>
      </c>
      <c r="T448" s="8" t="s">
        <v>1574</v>
      </c>
      <c r="U448" s="8" t="s">
        <v>1575</v>
      </c>
      <c r="V448">
        <v>11200</v>
      </c>
      <c r="W448">
        <v>8300</v>
      </c>
      <c r="X448">
        <v>0</v>
      </c>
      <c r="Y448">
        <v>-8300</v>
      </c>
    </row>
    <row r="449" spans="1:25" x14ac:dyDescent="0.3">
      <c r="A449" s="8" t="s">
        <v>750</v>
      </c>
      <c r="B449" s="14">
        <v>46114</v>
      </c>
      <c r="C449" s="8" t="s">
        <v>296</v>
      </c>
      <c r="D449" s="8" t="s">
        <v>50</v>
      </c>
      <c r="E449" s="8" t="s">
        <v>63</v>
      </c>
      <c r="F449">
        <v>1</v>
      </c>
      <c r="G449">
        <v>2310</v>
      </c>
      <c r="H449">
        <v>0</v>
      </c>
      <c r="I449" s="8" t="s">
        <v>17</v>
      </c>
      <c r="J449" s="8" t="s">
        <v>31</v>
      </c>
      <c r="K449" s="8" t="s">
        <v>55</v>
      </c>
      <c r="L449">
        <v>2310</v>
      </c>
      <c r="M449" s="8" t="s">
        <v>138</v>
      </c>
      <c r="N449">
        <v>2310</v>
      </c>
      <c r="O449" s="8" t="s">
        <v>1701</v>
      </c>
      <c r="P449" s="8" t="s">
        <v>1544</v>
      </c>
      <c r="Q449" s="8" t="s">
        <v>1541</v>
      </c>
      <c r="R449" s="8" t="s">
        <v>26</v>
      </c>
      <c r="S449" s="8" t="s">
        <v>1542</v>
      </c>
      <c r="T449" s="8" t="s">
        <v>1572</v>
      </c>
      <c r="U449" s="8" t="s">
        <v>1571</v>
      </c>
      <c r="V449">
        <v>2200</v>
      </c>
      <c r="W449">
        <v>1450</v>
      </c>
      <c r="X449">
        <v>2310</v>
      </c>
      <c r="Y449">
        <v>860</v>
      </c>
    </row>
    <row r="450" spans="1:25" x14ac:dyDescent="0.3">
      <c r="A450" s="8" t="s">
        <v>751</v>
      </c>
      <c r="B450" s="14">
        <v>46181</v>
      </c>
      <c r="C450" s="8" t="s">
        <v>348</v>
      </c>
      <c r="D450" s="8" t="s">
        <v>35</v>
      </c>
      <c r="E450" s="8" t="s">
        <v>46</v>
      </c>
      <c r="F450">
        <v>5</v>
      </c>
      <c r="G450">
        <v>8190</v>
      </c>
      <c r="H450">
        <v>0.15</v>
      </c>
      <c r="I450" s="8" t="s">
        <v>80</v>
      </c>
      <c r="J450" s="8" t="s">
        <v>47</v>
      </c>
      <c r="K450" s="8" t="s">
        <v>55</v>
      </c>
      <c r="L450">
        <v>34807.5</v>
      </c>
      <c r="M450" s="8" t="s">
        <v>52</v>
      </c>
      <c r="N450">
        <v>34807.5</v>
      </c>
      <c r="O450" s="8" t="s">
        <v>1701</v>
      </c>
      <c r="P450" s="8" t="s">
        <v>1548</v>
      </c>
      <c r="Q450" s="8" t="s">
        <v>1549</v>
      </c>
      <c r="R450" s="8" t="s">
        <v>42</v>
      </c>
      <c r="S450" s="8" t="s">
        <v>1542</v>
      </c>
      <c r="T450" s="8" t="s">
        <v>1579</v>
      </c>
      <c r="U450" s="8" t="s">
        <v>1580</v>
      </c>
      <c r="V450">
        <v>7800</v>
      </c>
      <c r="W450">
        <v>5200</v>
      </c>
      <c r="X450">
        <v>0</v>
      </c>
      <c r="Y450">
        <v>-26000</v>
      </c>
    </row>
    <row r="451" spans="1:25" x14ac:dyDescent="0.3">
      <c r="A451" s="8" t="s">
        <v>753</v>
      </c>
      <c r="B451" s="14">
        <v>46170</v>
      </c>
      <c r="C451" s="8" t="s">
        <v>376</v>
      </c>
      <c r="D451" s="8" t="s">
        <v>50</v>
      </c>
      <c r="E451" s="8" t="s">
        <v>16</v>
      </c>
      <c r="F451">
        <v>2</v>
      </c>
      <c r="G451">
        <v>617.5</v>
      </c>
      <c r="H451">
        <v>0.1</v>
      </c>
      <c r="I451" s="8" t="s">
        <v>17</v>
      </c>
      <c r="J451" s="8" t="s">
        <v>47</v>
      </c>
      <c r="K451" s="8" t="s">
        <v>55</v>
      </c>
      <c r="L451">
        <v>1111.5</v>
      </c>
      <c r="M451" s="8" t="s">
        <v>59</v>
      </c>
      <c r="N451">
        <v>1111.5</v>
      </c>
      <c r="O451" s="8" t="s">
        <v>1701</v>
      </c>
      <c r="P451" s="8" t="s">
        <v>1544</v>
      </c>
      <c r="Q451" s="8" t="s">
        <v>1541</v>
      </c>
      <c r="R451" s="8" t="s">
        <v>26</v>
      </c>
      <c r="S451" s="8" t="s">
        <v>1542</v>
      </c>
      <c r="T451" s="8" t="s">
        <v>1570</v>
      </c>
      <c r="U451" s="8" t="s">
        <v>1571</v>
      </c>
      <c r="V451">
        <v>650</v>
      </c>
      <c r="W451">
        <v>390</v>
      </c>
      <c r="X451">
        <v>1111.5</v>
      </c>
      <c r="Y451">
        <v>331.5</v>
      </c>
    </row>
    <row r="452" spans="1:25" x14ac:dyDescent="0.3">
      <c r="A452" s="8" t="s">
        <v>754</v>
      </c>
      <c r="B452" s="14">
        <v>46140</v>
      </c>
      <c r="C452" s="8" t="s">
        <v>44</v>
      </c>
      <c r="D452" s="8" t="s">
        <v>15</v>
      </c>
      <c r="E452" s="8" t="s">
        <v>85</v>
      </c>
      <c r="F452">
        <v>2</v>
      </c>
      <c r="G452">
        <v>46075</v>
      </c>
      <c r="H452">
        <v>0.05</v>
      </c>
      <c r="I452" s="8" t="s">
        <v>17</v>
      </c>
      <c r="J452" s="8" t="s">
        <v>18</v>
      </c>
      <c r="K452" s="8" t="s">
        <v>25</v>
      </c>
      <c r="L452">
        <v>87542.5</v>
      </c>
      <c r="M452" s="8" t="s">
        <v>42</v>
      </c>
      <c r="N452">
        <v>87542.5</v>
      </c>
      <c r="O452" s="8" t="s">
        <v>1701</v>
      </c>
      <c r="P452" s="8" t="s">
        <v>1543</v>
      </c>
      <c r="Q452" s="8" t="s">
        <v>1541</v>
      </c>
      <c r="R452" s="8" t="s">
        <v>52</v>
      </c>
      <c r="S452" s="8" t="s">
        <v>1542</v>
      </c>
      <c r="T452" s="8" t="s">
        <v>1585</v>
      </c>
      <c r="U452" s="8" t="s">
        <v>1586</v>
      </c>
      <c r="V452">
        <v>48500</v>
      </c>
      <c r="W452">
        <v>41200</v>
      </c>
      <c r="X452">
        <v>87542.5</v>
      </c>
      <c r="Y452">
        <v>5142.5</v>
      </c>
    </row>
    <row r="453" spans="1:25" x14ac:dyDescent="0.3">
      <c r="A453" s="8" t="s">
        <v>755</v>
      </c>
      <c r="B453" s="14">
        <v>46106</v>
      </c>
      <c r="C453" s="8" t="s">
        <v>756</v>
      </c>
      <c r="D453" s="8" t="s">
        <v>35</v>
      </c>
      <c r="E453" s="8" t="s">
        <v>183</v>
      </c>
      <c r="F453">
        <v>5</v>
      </c>
      <c r="G453">
        <v>3200</v>
      </c>
      <c r="H453">
        <v>0</v>
      </c>
      <c r="I453" s="8" t="s">
        <v>17</v>
      </c>
      <c r="J453" s="8" t="s">
        <v>18</v>
      </c>
      <c r="K453" s="8" t="s">
        <v>25</v>
      </c>
      <c r="L453">
        <v>16000</v>
      </c>
      <c r="M453" s="8" t="s">
        <v>138</v>
      </c>
      <c r="N453">
        <v>16000</v>
      </c>
      <c r="O453" s="8" t="s">
        <v>1701</v>
      </c>
      <c r="P453" s="8" t="s">
        <v>1548</v>
      </c>
      <c r="Q453" s="8" t="s">
        <v>1549</v>
      </c>
      <c r="R453" s="8" t="s">
        <v>42</v>
      </c>
      <c r="S453" s="8" t="s">
        <v>1542</v>
      </c>
      <c r="T453" s="8" t="s">
        <v>1582</v>
      </c>
      <c r="U453" s="8" t="s">
        <v>1583</v>
      </c>
      <c r="V453">
        <v>3200</v>
      </c>
      <c r="W453">
        <v>2050</v>
      </c>
      <c r="X453">
        <v>16000</v>
      </c>
      <c r="Y453">
        <v>5750</v>
      </c>
    </row>
    <row r="454" spans="1:25" x14ac:dyDescent="0.3">
      <c r="A454" s="8" t="s">
        <v>757</v>
      </c>
      <c r="B454" s="14">
        <v>46116</v>
      </c>
      <c r="C454" s="8" t="s">
        <v>137</v>
      </c>
      <c r="D454" s="8" t="s">
        <v>50</v>
      </c>
      <c r="E454" s="8" t="s">
        <v>46</v>
      </c>
      <c r="F454">
        <v>2</v>
      </c>
      <c r="G454">
        <v>7800</v>
      </c>
      <c r="H454">
        <v>0.1</v>
      </c>
      <c r="I454" s="8" t="s">
        <v>17</v>
      </c>
      <c r="J454" s="8" t="s">
        <v>18</v>
      </c>
      <c r="K454" s="8" t="s">
        <v>67</v>
      </c>
      <c r="L454">
        <v>14040</v>
      </c>
      <c r="M454" s="8" t="s">
        <v>56</v>
      </c>
      <c r="N454">
        <v>14040</v>
      </c>
      <c r="O454" s="8" t="s">
        <v>1701</v>
      </c>
      <c r="P454" s="8" t="s">
        <v>1544</v>
      </c>
      <c r="Q454" s="8" t="s">
        <v>1541</v>
      </c>
      <c r="R454" s="8" t="s">
        <v>26</v>
      </c>
      <c r="S454" s="8" t="s">
        <v>1542</v>
      </c>
      <c r="T454" s="8" t="s">
        <v>1579</v>
      </c>
      <c r="U454" s="8" t="s">
        <v>1580</v>
      </c>
      <c r="V454">
        <v>7800</v>
      </c>
      <c r="W454">
        <v>5200</v>
      </c>
      <c r="X454">
        <v>14040</v>
      </c>
      <c r="Y454">
        <v>3640</v>
      </c>
    </row>
    <row r="455" spans="1:25" x14ac:dyDescent="0.3">
      <c r="A455" s="8" t="s">
        <v>758</v>
      </c>
      <c r="B455" s="14">
        <v>46069</v>
      </c>
      <c r="C455" s="8" t="s">
        <v>473</v>
      </c>
      <c r="D455" s="8" t="s">
        <v>40</v>
      </c>
      <c r="E455" s="8" t="s">
        <v>30</v>
      </c>
      <c r="F455">
        <v>10</v>
      </c>
      <c r="G455">
        <v>1710</v>
      </c>
      <c r="H455">
        <v>0.2</v>
      </c>
      <c r="I455" s="8" t="s">
        <v>17</v>
      </c>
      <c r="J455" s="8" t="s">
        <v>71</v>
      </c>
      <c r="K455" s="8" t="s">
        <v>25</v>
      </c>
      <c r="L455">
        <v>13680</v>
      </c>
      <c r="M455" s="8" t="s">
        <v>32</v>
      </c>
      <c r="N455">
        <v>13680</v>
      </c>
      <c r="O455" s="8" t="s">
        <v>1701</v>
      </c>
      <c r="P455" s="8" t="s">
        <v>1555</v>
      </c>
      <c r="Q455" s="8" t="s">
        <v>1554</v>
      </c>
      <c r="R455" s="8" t="s">
        <v>82</v>
      </c>
      <c r="S455" s="8" t="s">
        <v>1542</v>
      </c>
      <c r="T455" s="8" t="s">
        <v>1573</v>
      </c>
      <c r="U455" s="8" t="s">
        <v>1571</v>
      </c>
      <c r="V455">
        <v>1800</v>
      </c>
      <c r="W455">
        <v>1120</v>
      </c>
      <c r="X455">
        <v>13680</v>
      </c>
      <c r="Y455">
        <v>2480</v>
      </c>
    </row>
    <row r="456" spans="1:25" x14ac:dyDescent="0.3">
      <c r="A456" s="8" t="s">
        <v>759</v>
      </c>
      <c r="B456" s="14">
        <v>46120</v>
      </c>
      <c r="C456" s="8" t="s">
        <v>310</v>
      </c>
      <c r="D456" s="8" t="s">
        <v>23</v>
      </c>
      <c r="E456" s="8" t="s">
        <v>30</v>
      </c>
      <c r="F456">
        <v>4</v>
      </c>
      <c r="G456">
        <v>1710</v>
      </c>
      <c r="H456">
        <v>0.2</v>
      </c>
      <c r="I456" s="8" t="s">
        <v>17</v>
      </c>
      <c r="J456" s="8" t="s">
        <v>18</v>
      </c>
      <c r="K456" s="8" t="s">
        <v>55</v>
      </c>
      <c r="L456">
        <v>5472</v>
      </c>
      <c r="M456" s="8" t="s">
        <v>59</v>
      </c>
      <c r="N456">
        <v>5472</v>
      </c>
      <c r="O456" s="8" t="s">
        <v>1701</v>
      </c>
      <c r="P456" s="8" t="s">
        <v>1545</v>
      </c>
      <c r="Q456" s="8" t="s">
        <v>1541</v>
      </c>
      <c r="R456" s="8" t="s">
        <v>1546</v>
      </c>
      <c r="S456" s="8" t="s">
        <v>1542</v>
      </c>
      <c r="T456" s="8" t="s">
        <v>1573</v>
      </c>
      <c r="U456" s="8" t="s">
        <v>1571</v>
      </c>
      <c r="V456">
        <v>1800</v>
      </c>
      <c r="W456">
        <v>1120</v>
      </c>
      <c r="X456">
        <v>5472</v>
      </c>
      <c r="Y456">
        <v>992</v>
      </c>
    </row>
    <row r="457" spans="1:25" x14ac:dyDescent="0.3">
      <c r="A457" s="8" t="s">
        <v>760</v>
      </c>
      <c r="B457" s="14">
        <v>46184</v>
      </c>
      <c r="C457" s="8" t="s">
        <v>300</v>
      </c>
      <c r="D457" s="8" t="s">
        <v>152</v>
      </c>
      <c r="E457" s="8" t="s">
        <v>51</v>
      </c>
      <c r="F457">
        <v>3</v>
      </c>
      <c r="G457">
        <v>17575</v>
      </c>
      <c r="H457">
        <v>0.1</v>
      </c>
      <c r="I457" s="8" t="s">
        <v>17</v>
      </c>
      <c r="J457" s="8" t="s">
        <v>31</v>
      </c>
      <c r="K457" s="8" t="s">
        <v>41</v>
      </c>
      <c r="L457">
        <v>47452.5</v>
      </c>
      <c r="M457" s="8" t="s">
        <v>20</v>
      </c>
      <c r="N457">
        <v>47452.5</v>
      </c>
      <c r="O457" s="8" t="s">
        <v>1701</v>
      </c>
      <c r="P457" s="8" t="s">
        <v>1553</v>
      </c>
      <c r="Q457" s="8" t="s">
        <v>1554</v>
      </c>
      <c r="R457" s="8" t="s">
        <v>59</v>
      </c>
      <c r="S457" s="8" t="s">
        <v>1542</v>
      </c>
      <c r="T457" s="8" t="s">
        <v>1581</v>
      </c>
      <c r="U457" s="8" t="s">
        <v>1580</v>
      </c>
      <c r="V457">
        <v>18500</v>
      </c>
      <c r="W457">
        <v>13900</v>
      </c>
      <c r="X457">
        <v>47452.5</v>
      </c>
      <c r="Y457">
        <v>5752.5</v>
      </c>
    </row>
    <row r="458" spans="1:25" x14ac:dyDescent="0.3">
      <c r="A458" s="8" t="s">
        <v>761</v>
      </c>
      <c r="B458" s="14">
        <v>46078</v>
      </c>
      <c r="C458" s="8" t="s">
        <v>108</v>
      </c>
      <c r="D458" s="8" t="s">
        <v>90</v>
      </c>
      <c r="E458" s="8" t="s">
        <v>135</v>
      </c>
      <c r="F458">
        <v>2</v>
      </c>
      <c r="G458">
        <v>16800</v>
      </c>
      <c r="H458">
        <v>0.2</v>
      </c>
      <c r="I458" s="8" t="s">
        <v>17</v>
      </c>
      <c r="J458" s="8" t="s">
        <v>47</v>
      </c>
      <c r="K458" s="8" t="s">
        <v>67</v>
      </c>
      <c r="L458">
        <v>26880</v>
      </c>
      <c r="M458" s="8" t="s">
        <v>82</v>
      </c>
      <c r="N458">
        <v>26880</v>
      </c>
      <c r="O458" s="8" t="s">
        <v>1701</v>
      </c>
      <c r="P458" s="8" t="s">
        <v>1562</v>
      </c>
      <c r="Q458" s="8" t="s">
        <v>1563</v>
      </c>
      <c r="R458" s="8" t="s">
        <v>48</v>
      </c>
      <c r="S458" s="8" t="s">
        <v>1542</v>
      </c>
      <c r="T458" s="8" t="s">
        <v>1576</v>
      </c>
      <c r="U458" s="8" t="s">
        <v>1575</v>
      </c>
      <c r="V458">
        <v>16800</v>
      </c>
      <c r="W458">
        <v>12600</v>
      </c>
      <c r="X458">
        <v>26880</v>
      </c>
      <c r="Y458">
        <v>1680</v>
      </c>
    </row>
    <row r="459" spans="1:25" x14ac:dyDescent="0.3">
      <c r="A459" s="8" t="s">
        <v>762</v>
      </c>
      <c r="B459" s="14">
        <v>46165</v>
      </c>
      <c r="C459" s="8" t="s">
        <v>298</v>
      </c>
      <c r="D459" s="8" t="s">
        <v>77</v>
      </c>
      <c r="E459" s="8" t="s">
        <v>135</v>
      </c>
      <c r="F459">
        <v>2</v>
      </c>
      <c r="G459">
        <v>16800</v>
      </c>
      <c r="H459">
        <v>0.1</v>
      </c>
      <c r="I459" s="8" t="s">
        <v>17</v>
      </c>
      <c r="J459" s="8" t="s">
        <v>47</v>
      </c>
      <c r="K459" s="8" t="s">
        <v>67</v>
      </c>
      <c r="L459">
        <v>30240</v>
      </c>
      <c r="M459" s="8" t="s">
        <v>138</v>
      </c>
      <c r="N459">
        <v>30240</v>
      </c>
      <c r="O459" s="8" t="s">
        <v>1701</v>
      </c>
      <c r="P459" s="8" t="s">
        <v>1564</v>
      </c>
      <c r="Q459" s="8" t="s">
        <v>1563</v>
      </c>
      <c r="R459" s="8" t="s">
        <v>1565</v>
      </c>
      <c r="S459" s="8" t="s">
        <v>1542</v>
      </c>
      <c r="T459" s="8" t="s">
        <v>1576</v>
      </c>
      <c r="U459" s="8" t="s">
        <v>1575</v>
      </c>
      <c r="V459">
        <v>16800</v>
      </c>
      <c r="W459">
        <v>12600</v>
      </c>
      <c r="X459">
        <v>30240</v>
      </c>
      <c r="Y459">
        <v>5040</v>
      </c>
    </row>
    <row r="460" spans="1:25" x14ac:dyDescent="0.3">
      <c r="A460" s="8" t="s">
        <v>763</v>
      </c>
      <c r="B460" s="14">
        <v>46195</v>
      </c>
      <c r="C460" s="8" t="s">
        <v>248</v>
      </c>
      <c r="D460" s="8" t="s">
        <v>152</v>
      </c>
      <c r="E460" s="8" t="s">
        <v>46</v>
      </c>
      <c r="F460">
        <v>4</v>
      </c>
      <c r="G460">
        <v>8190</v>
      </c>
      <c r="H460">
        <v>0.1</v>
      </c>
      <c r="I460" s="8" t="s">
        <v>66</v>
      </c>
      <c r="J460" s="8" t="s">
        <v>18</v>
      </c>
      <c r="K460" s="8" t="s">
        <v>41</v>
      </c>
      <c r="L460">
        <v>29484</v>
      </c>
      <c r="M460" s="8" t="s">
        <v>59</v>
      </c>
      <c r="N460">
        <v>29484</v>
      </c>
      <c r="O460" s="8" t="s">
        <v>1701</v>
      </c>
      <c r="P460" s="8" t="s">
        <v>1553</v>
      </c>
      <c r="Q460" s="8" t="s">
        <v>1554</v>
      </c>
      <c r="R460" s="8" t="s">
        <v>59</v>
      </c>
      <c r="S460" s="8" t="s">
        <v>1542</v>
      </c>
      <c r="T460" s="8" t="s">
        <v>1579</v>
      </c>
      <c r="U460" s="8" t="s">
        <v>1580</v>
      </c>
      <c r="V460">
        <v>7800</v>
      </c>
      <c r="W460">
        <v>5200</v>
      </c>
      <c r="X460">
        <v>0</v>
      </c>
      <c r="Y460">
        <v>-20800</v>
      </c>
    </row>
    <row r="461" spans="1:25" x14ac:dyDescent="0.3">
      <c r="A461" s="8" t="s">
        <v>764</v>
      </c>
      <c r="B461" s="14">
        <v>46186</v>
      </c>
      <c r="C461" s="8" t="s">
        <v>76</v>
      </c>
      <c r="D461" s="8" t="s">
        <v>29</v>
      </c>
      <c r="E461" s="8" t="s">
        <v>36</v>
      </c>
      <c r="F461">
        <v>2</v>
      </c>
      <c r="G461">
        <v>1330</v>
      </c>
      <c r="H461">
        <v>0.15</v>
      </c>
      <c r="I461" s="8" t="s">
        <v>17</v>
      </c>
      <c r="J461" s="8" t="s">
        <v>71</v>
      </c>
      <c r="K461" s="8" t="s">
        <v>67</v>
      </c>
      <c r="L461">
        <v>2261</v>
      </c>
      <c r="M461" s="8" t="s">
        <v>52</v>
      </c>
      <c r="N461">
        <v>2261</v>
      </c>
      <c r="O461" s="8" t="s">
        <v>1701</v>
      </c>
      <c r="P461" s="8" t="s">
        <v>1560</v>
      </c>
      <c r="Q461" s="8" t="s">
        <v>1559</v>
      </c>
      <c r="R461" s="8" t="s">
        <v>1561</v>
      </c>
      <c r="S461" s="8" t="s">
        <v>1542</v>
      </c>
      <c r="T461" s="8" t="s">
        <v>1577</v>
      </c>
      <c r="U461" s="8" t="s">
        <v>1571</v>
      </c>
      <c r="V461">
        <v>1400</v>
      </c>
      <c r="W461">
        <v>780</v>
      </c>
      <c r="X461">
        <v>2261</v>
      </c>
      <c r="Y461">
        <v>701</v>
      </c>
    </row>
    <row r="462" spans="1:25" x14ac:dyDescent="0.3">
      <c r="A462" s="8" t="s">
        <v>765</v>
      </c>
      <c r="B462" s="14">
        <v>46103</v>
      </c>
      <c r="C462" s="8" t="s">
        <v>473</v>
      </c>
      <c r="D462" s="8" t="s">
        <v>35</v>
      </c>
      <c r="E462" s="8" t="s">
        <v>74</v>
      </c>
      <c r="F462">
        <v>1</v>
      </c>
      <c r="G462">
        <v>2520</v>
      </c>
      <c r="H462">
        <v>0.05</v>
      </c>
      <c r="I462" s="8" t="s">
        <v>17</v>
      </c>
      <c r="J462" s="8" t="s">
        <v>18</v>
      </c>
      <c r="K462" s="8" t="s">
        <v>67</v>
      </c>
      <c r="L462">
        <v>2394</v>
      </c>
      <c r="M462" s="8" t="s">
        <v>48</v>
      </c>
      <c r="N462">
        <v>2394</v>
      </c>
      <c r="O462" s="8" t="s">
        <v>1701</v>
      </c>
      <c r="P462" s="8" t="s">
        <v>1548</v>
      </c>
      <c r="Q462" s="8" t="s">
        <v>1549</v>
      </c>
      <c r="R462" s="8" t="s">
        <v>42</v>
      </c>
      <c r="S462" s="8" t="s">
        <v>1542</v>
      </c>
      <c r="T462" s="8" t="s">
        <v>1584</v>
      </c>
      <c r="U462" s="8" t="s">
        <v>1583</v>
      </c>
      <c r="V462">
        <v>2400</v>
      </c>
      <c r="W462">
        <v>1480</v>
      </c>
      <c r="X462">
        <v>2394</v>
      </c>
      <c r="Y462">
        <v>914</v>
      </c>
    </row>
    <row r="463" spans="1:25" x14ac:dyDescent="0.3">
      <c r="A463" s="8" t="s">
        <v>766</v>
      </c>
      <c r="B463" s="14">
        <v>46156</v>
      </c>
      <c r="C463" s="8" t="s">
        <v>767</v>
      </c>
      <c r="D463" s="8" t="s">
        <v>62</v>
      </c>
      <c r="E463" s="8" t="s">
        <v>161</v>
      </c>
      <c r="F463">
        <v>1</v>
      </c>
      <c r="G463">
        <v>2600</v>
      </c>
      <c r="H463">
        <v>0</v>
      </c>
      <c r="I463" s="8" t="s">
        <v>17</v>
      </c>
      <c r="J463" s="8" t="s">
        <v>31</v>
      </c>
      <c r="K463" s="8" t="s">
        <v>41</v>
      </c>
      <c r="L463">
        <v>2600</v>
      </c>
      <c r="M463" s="8" t="s">
        <v>59</v>
      </c>
      <c r="N463">
        <v>2600</v>
      </c>
      <c r="O463" s="8" t="s">
        <v>1701</v>
      </c>
      <c r="P463" s="8" t="s">
        <v>1551</v>
      </c>
      <c r="Q463" s="8" t="s">
        <v>1549</v>
      </c>
      <c r="R463" s="8" t="s">
        <v>1552</v>
      </c>
      <c r="S463" s="8" t="s">
        <v>1542</v>
      </c>
      <c r="T463" s="8" t="s">
        <v>1578</v>
      </c>
      <c r="U463" s="8" t="s">
        <v>1571</v>
      </c>
      <c r="V463">
        <v>2600</v>
      </c>
      <c r="W463">
        <v>1750</v>
      </c>
      <c r="X463">
        <v>2600</v>
      </c>
      <c r="Y463">
        <v>850</v>
      </c>
    </row>
    <row r="464" spans="1:25" x14ac:dyDescent="0.3">
      <c r="A464" s="8" t="s">
        <v>768</v>
      </c>
      <c r="B464" s="14">
        <v>46124</v>
      </c>
      <c r="C464" s="8" t="s">
        <v>300</v>
      </c>
      <c r="D464" s="8" t="s">
        <v>15</v>
      </c>
      <c r="E464" s="8" t="s">
        <v>63</v>
      </c>
      <c r="F464">
        <v>1</v>
      </c>
      <c r="G464">
        <v>2090</v>
      </c>
      <c r="H464">
        <v>0.1</v>
      </c>
      <c r="I464" s="8" t="s">
        <v>17</v>
      </c>
      <c r="J464" s="8" t="s">
        <v>31</v>
      </c>
      <c r="K464" s="8" t="s">
        <v>1698</v>
      </c>
      <c r="L464">
        <v>1881</v>
      </c>
      <c r="M464" s="8" t="s">
        <v>26</v>
      </c>
      <c r="N464">
        <v>1881</v>
      </c>
      <c r="O464" s="8" t="s">
        <v>1701</v>
      </c>
      <c r="P464" s="8" t="s">
        <v>1543</v>
      </c>
      <c r="Q464" s="8" t="s">
        <v>1541</v>
      </c>
      <c r="R464" s="8" t="s">
        <v>52</v>
      </c>
      <c r="S464" s="8" t="s">
        <v>1542</v>
      </c>
      <c r="T464" s="8" t="s">
        <v>1572</v>
      </c>
      <c r="U464" s="8" t="s">
        <v>1571</v>
      </c>
      <c r="V464">
        <v>2200</v>
      </c>
      <c r="W464">
        <v>1450</v>
      </c>
      <c r="X464">
        <v>1881</v>
      </c>
      <c r="Y464">
        <v>431</v>
      </c>
    </row>
    <row r="465" spans="1:25" x14ac:dyDescent="0.3">
      <c r="A465" s="8" t="s">
        <v>769</v>
      </c>
      <c r="B465" s="14">
        <v>46181</v>
      </c>
      <c r="C465" s="8" t="s">
        <v>321</v>
      </c>
      <c r="D465" s="8" t="s">
        <v>50</v>
      </c>
      <c r="E465" s="8" t="s">
        <v>63</v>
      </c>
      <c r="F465">
        <v>3</v>
      </c>
      <c r="G465">
        <v>2200</v>
      </c>
      <c r="H465">
        <v>0.1</v>
      </c>
      <c r="I465" s="8" t="s">
        <v>17</v>
      </c>
      <c r="J465" s="8" t="s">
        <v>18</v>
      </c>
      <c r="K465" s="8" t="s">
        <v>41</v>
      </c>
      <c r="L465">
        <v>5940</v>
      </c>
      <c r="M465" s="8" t="s">
        <v>59</v>
      </c>
      <c r="N465">
        <v>5940</v>
      </c>
      <c r="O465" s="8" t="s">
        <v>1701</v>
      </c>
      <c r="P465" s="8" t="s">
        <v>1544</v>
      </c>
      <c r="Q465" s="8" t="s">
        <v>1541</v>
      </c>
      <c r="R465" s="8" t="s">
        <v>26</v>
      </c>
      <c r="S465" s="8" t="s">
        <v>1542</v>
      </c>
      <c r="T465" s="8" t="s">
        <v>1572</v>
      </c>
      <c r="U465" s="8" t="s">
        <v>1571</v>
      </c>
      <c r="V465">
        <v>2200</v>
      </c>
      <c r="W465">
        <v>1450</v>
      </c>
      <c r="X465">
        <v>5940</v>
      </c>
      <c r="Y465">
        <v>1590</v>
      </c>
    </row>
    <row r="466" spans="1:25" x14ac:dyDescent="0.3">
      <c r="A466" s="8" t="s">
        <v>770</v>
      </c>
      <c r="B466" s="14">
        <v>46157</v>
      </c>
      <c r="C466" s="8" t="s">
        <v>771</v>
      </c>
      <c r="D466" s="8" t="s">
        <v>90</v>
      </c>
      <c r="E466" s="8" t="s">
        <v>30</v>
      </c>
      <c r="F466">
        <v>1</v>
      </c>
      <c r="G466">
        <v>1800</v>
      </c>
      <c r="H466">
        <v>0.2</v>
      </c>
      <c r="I466" s="8" t="s">
        <v>17</v>
      </c>
      <c r="J466" s="8" t="s">
        <v>18</v>
      </c>
      <c r="K466" s="8" t="s">
        <v>25</v>
      </c>
      <c r="L466">
        <v>1440</v>
      </c>
      <c r="M466" s="8" t="s">
        <v>26</v>
      </c>
      <c r="N466">
        <v>1440</v>
      </c>
      <c r="O466" s="8" t="s">
        <v>1701</v>
      </c>
      <c r="P466" s="8" t="s">
        <v>1562</v>
      </c>
      <c r="Q466" s="8" t="s">
        <v>1563</v>
      </c>
      <c r="R466" s="8" t="s">
        <v>48</v>
      </c>
      <c r="S466" s="8" t="s">
        <v>1542</v>
      </c>
      <c r="T466" s="8" t="s">
        <v>1573</v>
      </c>
      <c r="U466" s="8" t="s">
        <v>1571</v>
      </c>
      <c r="V466">
        <v>1800</v>
      </c>
      <c r="W466">
        <v>1120</v>
      </c>
      <c r="X466">
        <v>1440</v>
      </c>
      <c r="Y466">
        <v>320</v>
      </c>
    </row>
    <row r="467" spans="1:25" x14ac:dyDescent="0.3">
      <c r="A467" s="8" t="s">
        <v>772</v>
      </c>
      <c r="B467" s="14">
        <v>46163</v>
      </c>
      <c r="C467" s="8" t="s">
        <v>607</v>
      </c>
      <c r="D467" s="8" t="s">
        <v>62</v>
      </c>
      <c r="E467" s="8" t="s">
        <v>30</v>
      </c>
      <c r="F467">
        <v>8</v>
      </c>
      <c r="G467">
        <v>1890</v>
      </c>
      <c r="H467">
        <v>0.2</v>
      </c>
      <c r="I467" s="8" t="s">
        <v>17</v>
      </c>
      <c r="J467" s="8" t="s">
        <v>47</v>
      </c>
      <c r="K467" s="8" t="s">
        <v>67</v>
      </c>
      <c r="L467">
        <v>12096</v>
      </c>
      <c r="M467" s="8" t="s">
        <v>56</v>
      </c>
      <c r="N467">
        <v>12096</v>
      </c>
      <c r="O467" s="8" t="s">
        <v>1701</v>
      </c>
      <c r="P467" s="8" t="s">
        <v>1551</v>
      </c>
      <c r="Q467" s="8" t="s">
        <v>1549</v>
      </c>
      <c r="R467" s="8" t="s">
        <v>1552</v>
      </c>
      <c r="S467" s="8" t="s">
        <v>1542</v>
      </c>
      <c r="T467" s="8" t="s">
        <v>1573</v>
      </c>
      <c r="U467" s="8" t="s">
        <v>1571</v>
      </c>
      <c r="V467">
        <v>1800</v>
      </c>
      <c r="W467">
        <v>1120</v>
      </c>
      <c r="X467">
        <v>12096</v>
      </c>
      <c r="Y467">
        <v>3136</v>
      </c>
    </row>
    <row r="468" spans="1:25" x14ac:dyDescent="0.3">
      <c r="A468" s="8" t="s">
        <v>773</v>
      </c>
      <c r="B468" s="14">
        <v>46161</v>
      </c>
      <c r="C468" s="8" t="s">
        <v>774</v>
      </c>
      <c r="D468" s="8" t="s">
        <v>23</v>
      </c>
      <c r="E468" s="8" t="s">
        <v>63</v>
      </c>
      <c r="F468">
        <v>2</v>
      </c>
      <c r="G468">
        <v>2200</v>
      </c>
      <c r="H468">
        <v>0.05</v>
      </c>
      <c r="I468" s="8" t="s">
        <v>17</v>
      </c>
      <c r="J468" s="8" t="s">
        <v>31</v>
      </c>
      <c r="K468" s="8" t="s">
        <v>1698</v>
      </c>
      <c r="L468">
        <v>4180</v>
      </c>
      <c r="M468" s="8" t="s">
        <v>82</v>
      </c>
      <c r="N468">
        <v>4180</v>
      </c>
      <c r="O468" s="8" t="s">
        <v>1701</v>
      </c>
      <c r="P468" s="8" t="s">
        <v>1545</v>
      </c>
      <c r="Q468" s="8" t="s">
        <v>1541</v>
      </c>
      <c r="R468" s="8" t="s">
        <v>1546</v>
      </c>
      <c r="S468" s="8" t="s">
        <v>1542</v>
      </c>
      <c r="T468" s="8" t="s">
        <v>1572</v>
      </c>
      <c r="U468" s="8" t="s">
        <v>1571</v>
      </c>
      <c r="V468">
        <v>2200</v>
      </c>
      <c r="W468">
        <v>1450</v>
      </c>
      <c r="X468">
        <v>4180</v>
      </c>
      <c r="Y468">
        <v>1280</v>
      </c>
    </row>
    <row r="469" spans="1:25" x14ac:dyDescent="0.3">
      <c r="A469" s="8" t="s">
        <v>775</v>
      </c>
      <c r="B469" s="14">
        <v>46057</v>
      </c>
      <c r="C469" s="8" t="s">
        <v>103</v>
      </c>
      <c r="D469" s="8" t="s">
        <v>35</v>
      </c>
      <c r="E469" s="8" t="s">
        <v>135</v>
      </c>
      <c r="F469">
        <v>2</v>
      </c>
      <c r="G469">
        <v>17640</v>
      </c>
      <c r="H469">
        <v>0</v>
      </c>
      <c r="I469" s="8" t="s">
        <v>17</v>
      </c>
      <c r="J469" s="8" t="s">
        <v>47</v>
      </c>
      <c r="K469" s="8" t="s">
        <v>1698</v>
      </c>
      <c r="L469">
        <v>35280</v>
      </c>
      <c r="M469" s="8" t="s">
        <v>32</v>
      </c>
      <c r="N469">
        <v>35280</v>
      </c>
      <c r="O469" s="8" t="s">
        <v>1701</v>
      </c>
      <c r="P469" s="8" t="s">
        <v>1548</v>
      </c>
      <c r="Q469" s="8" t="s">
        <v>1549</v>
      </c>
      <c r="R469" s="8" t="s">
        <v>42</v>
      </c>
      <c r="S469" s="8" t="s">
        <v>1542</v>
      </c>
      <c r="T469" s="8" t="s">
        <v>1576</v>
      </c>
      <c r="U469" s="8" t="s">
        <v>1575</v>
      </c>
      <c r="V469">
        <v>16800</v>
      </c>
      <c r="W469">
        <v>12600</v>
      </c>
      <c r="X469">
        <v>35280</v>
      </c>
      <c r="Y469">
        <v>10080</v>
      </c>
    </row>
    <row r="470" spans="1:25" x14ac:dyDescent="0.3">
      <c r="A470" s="8" t="s">
        <v>776</v>
      </c>
      <c r="B470" s="14">
        <v>46097</v>
      </c>
      <c r="C470" s="8" t="s">
        <v>134</v>
      </c>
      <c r="D470" s="8" t="s">
        <v>40</v>
      </c>
      <c r="E470" s="8" t="s">
        <v>24</v>
      </c>
      <c r="F470">
        <v>4</v>
      </c>
      <c r="G470">
        <v>11760</v>
      </c>
      <c r="H470">
        <v>0.15</v>
      </c>
      <c r="I470" s="8" t="s">
        <v>17</v>
      </c>
      <c r="J470" s="8" t="s">
        <v>18</v>
      </c>
      <c r="K470" s="8" t="s">
        <v>41</v>
      </c>
      <c r="L470">
        <v>39984</v>
      </c>
      <c r="M470" s="8" t="s">
        <v>59</v>
      </c>
      <c r="N470">
        <v>39984</v>
      </c>
      <c r="O470" s="8" t="s">
        <v>1701</v>
      </c>
      <c r="P470" s="8" t="s">
        <v>1555</v>
      </c>
      <c r="Q470" s="8" t="s">
        <v>1554</v>
      </c>
      <c r="R470" s="8" t="s">
        <v>82</v>
      </c>
      <c r="S470" s="8" t="s">
        <v>1542</v>
      </c>
      <c r="T470" s="8" t="s">
        <v>1574</v>
      </c>
      <c r="U470" s="8" t="s">
        <v>1575</v>
      </c>
      <c r="V470">
        <v>11200</v>
      </c>
      <c r="W470">
        <v>8300</v>
      </c>
      <c r="X470">
        <v>39984</v>
      </c>
      <c r="Y470">
        <v>6784</v>
      </c>
    </row>
    <row r="471" spans="1:25" x14ac:dyDescent="0.3">
      <c r="A471" s="8" t="s">
        <v>777</v>
      </c>
      <c r="B471" s="14">
        <v>46188</v>
      </c>
      <c r="C471" s="8" t="s">
        <v>209</v>
      </c>
      <c r="D471" s="8" t="s">
        <v>70</v>
      </c>
      <c r="E471" s="8" t="s">
        <v>161</v>
      </c>
      <c r="F471">
        <v>1</v>
      </c>
      <c r="G471">
        <v>2600</v>
      </c>
      <c r="H471">
        <v>0</v>
      </c>
      <c r="I471" s="8" t="s">
        <v>17</v>
      </c>
      <c r="J471" s="8" t="s">
        <v>47</v>
      </c>
      <c r="K471" s="8" t="s">
        <v>25</v>
      </c>
      <c r="L471">
        <v>2600</v>
      </c>
      <c r="M471" s="8" t="s">
        <v>26</v>
      </c>
      <c r="N471">
        <v>2600</v>
      </c>
      <c r="O471" s="8" t="s">
        <v>1701</v>
      </c>
      <c r="P471" s="8" t="s">
        <v>1550</v>
      </c>
      <c r="Q471" s="8" t="s">
        <v>1549</v>
      </c>
      <c r="R471" s="8" t="s">
        <v>32</v>
      </c>
      <c r="S471" s="8" t="s">
        <v>1542</v>
      </c>
      <c r="T471" s="8" t="s">
        <v>1578</v>
      </c>
      <c r="U471" s="8" t="s">
        <v>1571</v>
      </c>
      <c r="V471">
        <v>2600</v>
      </c>
      <c r="W471">
        <v>1750</v>
      </c>
      <c r="X471">
        <v>2600</v>
      </c>
      <c r="Y471">
        <v>850</v>
      </c>
    </row>
    <row r="472" spans="1:25" x14ac:dyDescent="0.3">
      <c r="A472" s="8" t="s">
        <v>778</v>
      </c>
      <c r="B472" s="14">
        <v>46128</v>
      </c>
      <c r="C472" s="8" t="s">
        <v>84</v>
      </c>
      <c r="D472" s="8" t="s">
        <v>23</v>
      </c>
      <c r="E472" s="8" t="s">
        <v>63</v>
      </c>
      <c r="F472">
        <v>1</v>
      </c>
      <c r="G472">
        <v>2310</v>
      </c>
      <c r="H472">
        <v>0.05</v>
      </c>
      <c r="I472" s="8" t="s">
        <v>17</v>
      </c>
      <c r="J472" s="8" t="s">
        <v>47</v>
      </c>
      <c r="K472" s="8" t="s">
        <v>25</v>
      </c>
      <c r="L472">
        <v>2194.5</v>
      </c>
      <c r="M472" s="8" t="s">
        <v>56</v>
      </c>
      <c r="N472">
        <v>2194.5</v>
      </c>
      <c r="O472" s="8" t="s">
        <v>1701</v>
      </c>
      <c r="P472" s="8" t="s">
        <v>1545</v>
      </c>
      <c r="Q472" s="8" t="s">
        <v>1541</v>
      </c>
      <c r="R472" s="8" t="s">
        <v>1546</v>
      </c>
      <c r="S472" s="8" t="s">
        <v>1542</v>
      </c>
      <c r="T472" s="8" t="s">
        <v>1572</v>
      </c>
      <c r="U472" s="8" t="s">
        <v>1571</v>
      </c>
      <c r="V472">
        <v>2200</v>
      </c>
      <c r="W472">
        <v>1450</v>
      </c>
      <c r="X472">
        <v>2194.5</v>
      </c>
      <c r="Y472">
        <v>744.5</v>
      </c>
    </row>
    <row r="473" spans="1:25" x14ac:dyDescent="0.3">
      <c r="A473" s="8" t="s">
        <v>779</v>
      </c>
      <c r="B473" s="14">
        <v>46071</v>
      </c>
      <c r="C473" s="8" t="s">
        <v>554</v>
      </c>
      <c r="D473" s="8" t="s">
        <v>35</v>
      </c>
      <c r="E473" s="8" t="s">
        <v>16</v>
      </c>
      <c r="F473">
        <v>1</v>
      </c>
      <c r="G473">
        <v>617.5</v>
      </c>
      <c r="H473">
        <v>0.15</v>
      </c>
      <c r="I473" s="8" t="s">
        <v>17</v>
      </c>
      <c r="J473" s="8" t="s">
        <v>47</v>
      </c>
      <c r="K473" s="8" t="s">
        <v>41</v>
      </c>
      <c r="L473">
        <v>524.88</v>
      </c>
      <c r="M473" s="8" t="s">
        <v>56</v>
      </c>
      <c r="N473">
        <v>524.875</v>
      </c>
      <c r="O473" s="8" t="s">
        <v>1701</v>
      </c>
      <c r="P473" s="8" t="s">
        <v>1548</v>
      </c>
      <c r="Q473" s="8" t="s">
        <v>1549</v>
      </c>
      <c r="R473" s="8" t="s">
        <v>42</v>
      </c>
      <c r="S473" s="8" t="s">
        <v>1542</v>
      </c>
      <c r="T473" s="8" t="s">
        <v>1570</v>
      </c>
      <c r="U473" s="8" t="s">
        <v>1571</v>
      </c>
      <c r="V473">
        <v>650</v>
      </c>
      <c r="W473">
        <v>390</v>
      </c>
      <c r="X473">
        <v>524.875</v>
      </c>
      <c r="Y473">
        <v>134.875</v>
      </c>
    </row>
    <row r="474" spans="1:25" x14ac:dyDescent="0.3">
      <c r="A474" s="8" t="s">
        <v>780</v>
      </c>
      <c r="B474" s="14">
        <v>46025</v>
      </c>
      <c r="C474" s="8" t="s">
        <v>781</v>
      </c>
      <c r="D474" s="8" t="s">
        <v>23</v>
      </c>
      <c r="E474" s="8" t="s">
        <v>63</v>
      </c>
      <c r="F474">
        <v>1</v>
      </c>
      <c r="G474">
        <v>2310</v>
      </c>
      <c r="H474">
        <v>0.1</v>
      </c>
      <c r="I474" s="8" t="s">
        <v>17</v>
      </c>
      <c r="J474" s="8" t="s">
        <v>18</v>
      </c>
      <c r="K474" s="8" t="s">
        <v>67</v>
      </c>
      <c r="L474">
        <v>2079</v>
      </c>
      <c r="M474" s="8" t="s">
        <v>56</v>
      </c>
      <c r="N474">
        <v>2079</v>
      </c>
      <c r="O474" s="8" t="s">
        <v>1701</v>
      </c>
      <c r="P474" s="8" t="s">
        <v>1545</v>
      </c>
      <c r="Q474" s="8" t="s">
        <v>1541</v>
      </c>
      <c r="R474" s="8" t="s">
        <v>1546</v>
      </c>
      <c r="S474" s="8" t="s">
        <v>1542</v>
      </c>
      <c r="T474" s="8" t="s">
        <v>1572</v>
      </c>
      <c r="U474" s="8" t="s">
        <v>1571</v>
      </c>
      <c r="V474">
        <v>2200</v>
      </c>
      <c r="W474">
        <v>1450</v>
      </c>
      <c r="X474">
        <v>2079</v>
      </c>
      <c r="Y474">
        <v>629</v>
      </c>
    </row>
    <row r="475" spans="1:25" x14ac:dyDescent="0.3">
      <c r="A475" s="8" t="s">
        <v>782</v>
      </c>
      <c r="B475" s="14">
        <v>46201</v>
      </c>
      <c r="C475" s="8" t="s">
        <v>87</v>
      </c>
      <c r="D475" s="8" t="s">
        <v>29</v>
      </c>
      <c r="E475" s="8" t="s">
        <v>16</v>
      </c>
      <c r="F475">
        <v>2</v>
      </c>
      <c r="G475">
        <v>682.5</v>
      </c>
      <c r="H475">
        <v>0</v>
      </c>
      <c r="I475" s="8" t="s">
        <v>17</v>
      </c>
      <c r="J475" s="8" t="s">
        <v>18</v>
      </c>
      <c r="K475" s="8" t="s">
        <v>41</v>
      </c>
      <c r="L475">
        <v>1365</v>
      </c>
      <c r="M475" s="8" t="s">
        <v>52</v>
      </c>
      <c r="N475">
        <v>1365</v>
      </c>
      <c r="O475" s="8" t="s">
        <v>1701</v>
      </c>
      <c r="P475" s="8" t="s">
        <v>1560</v>
      </c>
      <c r="Q475" s="8" t="s">
        <v>1559</v>
      </c>
      <c r="R475" s="8" t="s">
        <v>1561</v>
      </c>
      <c r="S475" s="8" t="s">
        <v>1542</v>
      </c>
      <c r="T475" s="8" t="s">
        <v>1570</v>
      </c>
      <c r="U475" s="8" t="s">
        <v>1571</v>
      </c>
      <c r="V475">
        <v>650</v>
      </c>
      <c r="W475">
        <v>390</v>
      </c>
      <c r="X475">
        <v>1365</v>
      </c>
      <c r="Y475">
        <v>585</v>
      </c>
    </row>
    <row r="476" spans="1:25" x14ac:dyDescent="0.3">
      <c r="A476" s="8" t="s">
        <v>783</v>
      </c>
      <c r="B476" s="14">
        <v>46087</v>
      </c>
      <c r="C476" s="8" t="s">
        <v>592</v>
      </c>
      <c r="D476" s="8" t="s">
        <v>90</v>
      </c>
      <c r="E476" s="8" t="s">
        <v>161</v>
      </c>
      <c r="F476">
        <v>4</v>
      </c>
      <c r="G476">
        <v>2600</v>
      </c>
      <c r="H476">
        <v>0</v>
      </c>
      <c r="I476" s="8" t="s">
        <v>116</v>
      </c>
      <c r="J476" s="8" t="s">
        <v>18</v>
      </c>
      <c r="K476" s="8" t="s">
        <v>41</v>
      </c>
      <c r="L476">
        <v>10400</v>
      </c>
      <c r="M476" s="8" t="s">
        <v>20</v>
      </c>
      <c r="N476">
        <v>10400</v>
      </c>
      <c r="O476" s="8" t="s">
        <v>1701</v>
      </c>
      <c r="P476" s="8" t="s">
        <v>1562</v>
      </c>
      <c r="Q476" s="8" t="s">
        <v>1563</v>
      </c>
      <c r="R476" s="8" t="s">
        <v>48</v>
      </c>
      <c r="S476" s="8" t="s">
        <v>1542</v>
      </c>
      <c r="T476" s="8" t="s">
        <v>1578</v>
      </c>
      <c r="U476" s="8" t="s">
        <v>1571</v>
      </c>
      <c r="V476">
        <v>2600</v>
      </c>
      <c r="W476">
        <v>1750</v>
      </c>
      <c r="X476">
        <v>0</v>
      </c>
      <c r="Y476">
        <v>-7000</v>
      </c>
    </row>
    <row r="477" spans="1:25" x14ac:dyDescent="0.3">
      <c r="A477" s="8" t="s">
        <v>784</v>
      </c>
      <c r="B477" s="14">
        <v>46073</v>
      </c>
      <c r="C477" s="8" t="s">
        <v>399</v>
      </c>
      <c r="D477" s="8" t="s">
        <v>62</v>
      </c>
      <c r="E477" s="8" t="s">
        <v>85</v>
      </c>
      <c r="F477">
        <v>4</v>
      </c>
      <c r="G477">
        <v>48500</v>
      </c>
      <c r="H477">
        <v>0.15</v>
      </c>
      <c r="I477" s="8" t="s">
        <v>66</v>
      </c>
      <c r="J477" s="8" t="s">
        <v>18</v>
      </c>
      <c r="K477" s="8" t="s">
        <v>67</v>
      </c>
      <c r="L477">
        <v>164900</v>
      </c>
      <c r="M477" s="8" t="s">
        <v>138</v>
      </c>
      <c r="N477">
        <v>164900</v>
      </c>
      <c r="O477" s="8" t="s">
        <v>1701</v>
      </c>
      <c r="P477" s="8" t="s">
        <v>1551</v>
      </c>
      <c r="Q477" s="8" t="s">
        <v>1549</v>
      </c>
      <c r="R477" s="8" t="s">
        <v>1552</v>
      </c>
      <c r="S477" s="8" t="s">
        <v>1542</v>
      </c>
      <c r="T477" s="8" t="s">
        <v>1585</v>
      </c>
      <c r="U477" s="8" t="s">
        <v>1586</v>
      </c>
      <c r="V477">
        <v>48500</v>
      </c>
      <c r="W477">
        <v>41200</v>
      </c>
      <c r="X477">
        <v>0</v>
      </c>
      <c r="Y477">
        <v>-164800</v>
      </c>
    </row>
    <row r="478" spans="1:25" x14ac:dyDescent="0.3">
      <c r="A478" s="8" t="s">
        <v>785</v>
      </c>
      <c r="B478" s="14">
        <v>46063</v>
      </c>
      <c r="C478" s="8" t="s">
        <v>254</v>
      </c>
      <c r="D478" s="8" t="s">
        <v>95</v>
      </c>
      <c r="E478" s="8" t="s">
        <v>85</v>
      </c>
      <c r="F478">
        <v>1</v>
      </c>
      <c r="G478">
        <v>48500</v>
      </c>
      <c r="H478">
        <v>0.15</v>
      </c>
      <c r="I478" s="8" t="s">
        <v>17</v>
      </c>
      <c r="J478" s="8" t="s">
        <v>47</v>
      </c>
      <c r="K478" s="8" t="s">
        <v>41</v>
      </c>
      <c r="L478">
        <v>41225</v>
      </c>
      <c r="M478" s="8" t="s">
        <v>138</v>
      </c>
      <c r="N478">
        <v>41225</v>
      </c>
      <c r="O478" s="8" t="s">
        <v>1701</v>
      </c>
      <c r="P478" s="8" t="s">
        <v>1556</v>
      </c>
      <c r="Q478" s="8" t="s">
        <v>1554</v>
      </c>
      <c r="R478" s="8" t="s">
        <v>1557</v>
      </c>
      <c r="S478" s="8" t="s">
        <v>1542</v>
      </c>
      <c r="T478" s="8" t="s">
        <v>1585</v>
      </c>
      <c r="U478" s="8" t="s">
        <v>1586</v>
      </c>
      <c r="V478">
        <v>48500</v>
      </c>
      <c r="W478">
        <v>41200</v>
      </c>
      <c r="X478">
        <v>41225</v>
      </c>
      <c r="Y478">
        <v>25</v>
      </c>
    </row>
    <row r="479" spans="1:25" x14ac:dyDescent="0.3">
      <c r="A479" s="8" t="s">
        <v>786</v>
      </c>
      <c r="B479" s="14">
        <v>46036</v>
      </c>
      <c r="C479" s="8" t="s">
        <v>405</v>
      </c>
      <c r="D479" s="8" t="s">
        <v>90</v>
      </c>
      <c r="E479" s="8" t="s">
        <v>74</v>
      </c>
      <c r="F479">
        <v>1</v>
      </c>
      <c r="G479">
        <v>2520</v>
      </c>
      <c r="H479">
        <v>0</v>
      </c>
      <c r="I479" s="8" t="s">
        <v>17</v>
      </c>
      <c r="J479" s="8" t="s">
        <v>31</v>
      </c>
      <c r="K479" s="8" t="s">
        <v>41</v>
      </c>
      <c r="L479">
        <v>2520</v>
      </c>
      <c r="M479" s="8" t="s">
        <v>26</v>
      </c>
      <c r="N479">
        <v>2520</v>
      </c>
      <c r="O479" s="8" t="s">
        <v>1701</v>
      </c>
      <c r="P479" s="8" t="s">
        <v>1562</v>
      </c>
      <c r="Q479" s="8" t="s">
        <v>1563</v>
      </c>
      <c r="R479" s="8" t="s">
        <v>48</v>
      </c>
      <c r="S479" s="8" t="s">
        <v>1542</v>
      </c>
      <c r="T479" s="8" t="s">
        <v>1584</v>
      </c>
      <c r="U479" s="8" t="s">
        <v>1583</v>
      </c>
      <c r="V479">
        <v>2400</v>
      </c>
      <c r="W479">
        <v>1480</v>
      </c>
      <c r="X479">
        <v>2520</v>
      </c>
      <c r="Y479">
        <v>1040</v>
      </c>
    </row>
    <row r="480" spans="1:25" x14ac:dyDescent="0.3">
      <c r="A480" s="8" t="s">
        <v>787</v>
      </c>
      <c r="B480" s="14">
        <v>46172</v>
      </c>
      <c r="C480" s="8" t="s">
        <v>101</v>
      </c>
      <c r="D480" s="8" t="s">
        <v>15</v>
      </c>
      <c r="E480" s="8" t="s">
        <v>161</v>
      </c>
      <c r="F480">
        <v>4</v>
      </c>
      <c r="G480">
        <v>2730</v>
      </c>
      <c r="H480">
        <v>0</v>
      </c>
      <c r="I480" s="8" t="s">
        <v>116</v>
      </c>
      <c r="J480" s="8" t="s">
        <v>47</v>
      </c>
      <c r="K480" s="8" t="s">
        <v>1698</v>
      </c>
      <c r="L480">
        <v>10920</v>
      </c>
      <c r="M480" s="8" t="s">
        <v>52</v>
      </c>
      <c r="N480">
        <v>10920</v>
      </c>
      <c r="O480" s="8" t="s">
        <v>1701</v>
      </c>
      <c r="P480" s="8" t="s">
        <v>1543</v>
      </c>
      <c r="Q480" s="8" t="s">
        <v>1541</v>
      </c>
      <c r="R480" s="8" t="s">
        <v>52</v>
      </c>
      <c r="S480" s="8" t="s">
        <v>1542</v>
      </c>
      <c r="T480" s="8" t="s">
        <v>1578</v>
      </c>
      <c r="U480" s="8" t="s">
        <v>1571</v>
      </c>
      <c r="V480">
        <v>2600</v>
      </c>
      <c r="W480">
        <v>1750</v>
      </c>
      <c r="X480">
        <v>0</v>
      </c>
      <c r="Y480">
        <v>-7000</v>
      </c>
    </row>
    <row r="481" spans="1:25" x14ac:dyDescent="0.3">
      <c r="A481" s="8" t="s">
        <v>788</v>
      </c>
      <c r="B481" s="14">
        <v>46063</v>
      </c>
      <c r="C481" s="8" t="s">
        <v>99</v>
      </c>
      <c r="D481" s="8" t="s">
        <v>62</v>
      </c>
      <c r="E481" s="8" t="s">
        <v>63</v>
      </c>
      <c r="F481">
        <v>3</v>
      </c>
      <c r="G481">
        <v>2090</v>
      </c>
      <c r="H481">
        <v>0.05</v>
      </c>
      <c r="I481" s="8" t="s">
        <v>80</v>
      </c>
      <c r="J481" s="8" t="s">
        <v>47</v>
      </c>
      <c r="K481" s="8" t="s">
        <v>41</v>
      </c>
      <c r="L481">
        <v>5956.5</v>
      </c>
      <c r="M481" s="8" t="s">
        <v>82</v>
      </c>
      <c r="N481">
        <v>5956.5</v>
      </c>
      <c r="O481" s="8" t="s">
        <v>1701</v>
      </c>
      <c r="P481" s="8" t="s">
        <v>1551</v>
      </c>
      <c r="Q481" s="8" t="s">
        <v>1549</v>
      </c>
      <c r="R481" s="8" t="s">
        <v>1552</v>
      </c>
      <c r="S481" s="8" t="s">
        <v>1542</v>
      </c>
      <c r="T481" s="8" t="s">
        <v>1572</v>
      </c>
      <c r="U481" s="8" t="s">
        <v>1571</v>
      </c>
      <c r="V481">
        <v>2200</v>
      </c>
      <c r="W481">
        <v>1450</v>
      </c>
      <c r="X481">
        <v>0</v>
      </c>
      <c r="Y481">
        <v>-4350</v>
      </c>
    </row>
    <row r="482" spans="1:25" x14ac:dyDescent="0.3">
      <c r="A482" s="8" t="s">
        <v>789</v>
      </c>
      <c r="B482" s="14">
        <v>46050</v>
      </c>
      <c r="C482" s="8" t="s">
        <v>696</v>
      </c>
      <c r="D482" s="8" t="s">
        <v>50</v>
      </c>
      <c r="E482" s="8" t="s">
        <v>46</v>
      </c>
      <c r="F482">
        <v>1</v>
      </c>
      <c r="G482">
        <v>7800</v>
      </c>
      <c r="H482">
        <v>0.15</v>
      </c>
      <c r="I482" s="8" t="s">
        <v>17</v>
      </c>
      <c r="J482" s="8" t="s">
        <v>71</v>
      </c>
      <c r="K482" s="8" t="s">
        <v>1698</v>
      </c>
      <c r="L482">
        <v>6630</v>
      </c>
      <c r="M482" s="8" t="s">
        <v>32</v>
      </c>
      <c r="N482">
        <v>6630</v>
      </c>
      <c r="O482" s="8" t="s">
        <v>1701</v>
      </c>
      <c r="P482" s="8" t="s">
        <v>1544</v>
      </c>
      <c r="Q482" s="8" t="s">
        <v>1541</v>
      </c>
      <c r="R482" s="8" t="s">
        <v>26</v>
      </c>
      <c r="S482" s="8" t="s">
        <v>1542</v>
      </c>
      <c r="T482" s="8" t="s">
        <v>1579</v>
      </c>
      <c r="U482" s="8" t="s">
        <v>1580</v>
      </c>
      <c r="V482">
        <v>7800</v>
      </c>
      <c r="W482">
        <v>5200</v>
      </c>
      <c r="X482">
        <v>6630</v>
      </c>
      <c r="Y482">
        <v>1430</v>
      </c>
    </row>
    <row r="483" spans="1:25" x14ac:dyDescent="0.3">
      <c r="A483" s="8" t="s">
        <v>790</v>
      </c>
      <c r="B483" s="14">
        <v>46114</v>
      </c>
      <c r="C483" s="8" t="s">
        <v>355</v>
      </c>
      <c r="D483" s="8" t="s">
        <v>123</v>
      </c>
      <c r="E483" s="8" t="s">
        <v>30</v>
      </c>
      <c r="F483">
        <v>1</v>
      </c>
      <c r="G483">
        <v>1890</v>
      </c>
      <c r="H483">
        <v>0</v>
      </c>
      <c r="I483" s="8" t="s">
        <v>17</v>
      </c>
      <c r="J483" s="8" t="s">
        <v>18</v>
      </c>
      <c r="K483" s="8" t="s">
        <v>41</v>
      </c>
      <c r="L483">
        <v>1890</v>
      </c>
      <c r="M483" s="8" t="s">
        <v>48</v>
      </c>
      <c r="N483">
        <v>1890</v>
      </c>
      <c r="O483" s="8" t="s">
        <v>1701</v>
      </c>
      <c r="P483" s="8" t="s">
        <v>1558</v>
      </c>
      <c r="Q483" s="8" t="s">
        <v>1559</v>
      </c>
      <c r="R483" s="8" t="s">
        <v>138</v>
      </c>
      <c r="S483" s="8" t="s">
        <v>1542</v>
      </c>
      <c r="T483" s="8" t="s">
        <v>1573</v>
      </c>
      <c r="U483" s="8" t="s">
        <v>1571</v>
      </c>
      <c r="V483">
        <v>1800</v>
      </c>
      <c r="W483">
        <v>1120</v>
      </c>
      <c r="X483">
        <v>1890</v>
      </c>
      <c r="Y483">
        <v>770</v>
      </c>
    </row>
    <row r="484" spans="1:25" x14ac:dyDescent="0.3">
      <c r="A484" s="8" t="s">
        <v>791</v>
      </c>
      <c r="B484" s="14">
        <v>46070</v>
      </c>
      <c r="C484" s="8" t="s">
        <v>113</v>
      </c>
      <c r="D484" s="8" t="s">
        <v>152</v>
      </c>
      <c r="E484" s="8" t="s">
        <v>36</v>
      </c>
      <c r="F484">
        <v>2</v>
      </c>
      <c r="G484">
        <v>1400</v>
      </c>
      <c r="H484">
        <v>0.1</v>
      </c>
      <c r="I484" s="8" t="s">
        <v>17</v>
      </c>
      <c r="J484" s="8" t="s">
        <v>71</v>
      </c>
      <c r="K484" s="8" t="s">
        <v>55</v>
      </c>
      <c r="L484">
        <v>2520</v>
      </c>
      <c r="M484" s="8" t="s">
        <v>26</v>
      </c>
      <c r="N484">
        <v>2520</v>
      </c>
      <c r="O484" s="8" t="s">
        <v>1701</v>
      </c>
      <c r="P484" s="8" t="s">
        <v>1553</v>
      </c>
      <c r="Q484" s="8" t="s">
        <v>1554</v>
      </c>
      <c r="R484" s="8" t="s">
        <v>59</v>
      </c>
      <c r="S484" s="8" t="s">
        <v>1542</v>
      </c>
      <c r="T484" s="8" t="s">
        <v>1577</v>
      </c>
      <c r="U484" s="8" t="s">
        <v>1571</v>
      </c>
      <c r="V484">
        <v>1400</v>
      </c>
      <c r="W484">
        <v>780</v>
      </c>
      <c r="X484">
        <v>2520</v>
      </c>
      <c r="Y484">
        <v>960</v>
      </c>
    </row>
    <row r="485" spans="1:25" x14ac:dyDescent="0.3">
      <c r="A485" s="8" t="s">
        <v>792</v>
      </c>
      <c r="B485" s="14">
        <v>46090</v>
      </c>
      <c r="C485" s="8" t="s">
        <v>576</v>
      </c>
      <c r="D485" s="8" t="s">
        <v>152</v>
      </c>
      <c r="E485" s="8" t="s">
        <v>36</v>
      </c>
      <c r="F485">
        <v>2</v>
      </c>
      <c r="G485">
        <v>1400</v>
      </c>
      <c r="H485">
        <v>0.2</v>
      </c>
      <c r="I485" s="8" t="s">
        <v>17</v>
      </c>
      <c r="J485" s="8" t="s">
        <v>47</v>
      </c>
      <c r="K485" s="8" t="s">
        <v>25</v>
      </c>
      <c r="L485">
        <v>2240</v>
      </c>
      <c r="M485" s="8" t="s">
        <v>52</v>
      </c>
      <c r="N485">
        <v>2240</v>
      </c>
      <c r="O485" s="8" t="s">
        <v>1701</v>
      </c>
      <c r="P485" s="8" t="s">
        <v>1553</v>
      </c>
      <c r="Q485" s="8" t="s">
        <v>1554</v>
      </c>
      <c r="R485" s="8" t="s">
        <v>59</v>
      </c>
      <c r="S485" s="8" t="s">
        <v>1542</v>
      </c>
      <c r="T485" s="8" t="s">
        <v>1577</v>
      </c>
      <c r="U485" s="8" t="s">
        <v>1571</v>
      </c>
      <c r="V485">
        <v>1400</v>
      </c>
      <c r="W485">
        <v>780</v>
      </c>
      <c r="X485">
        <v>2240</v>
      </c>
      <c r="Y485">
        <v>680</v>
      </c>
    </row>
    <row r="486" spans="1:25" x14ac:dyDescent="0.3">
      <c r="A486" s="8" t="s">
        <v>793</v>
      </c>
      <c r="B486" s="14">
        <v>46105</v>
      </c>
      <c r="C486" s="8" t="s">
        <v>353</v>
      </c>
      <c r="D486" s="8" t="s">
        <v>123</v>
      </c>
      <c r="E486" s="8" t="s">
        <v>63</v>
      </c>
      <c r="F486">
        <v>3</v>
      </c>
      <c r="G486">
        <v>2200</v>
      </c>
      <c r="H486">
        <v>0.15</v>
      </c>
      <c r="I486" s="8" t="s">
        <v>17</v>
      </c>
      <c r="J486" s="8" t="s">
        <v>71</v>
      </c>
      <c r="K486" s="8" t="s">
        <v>25</v>
      </c>
      <c r="L486">
        <v>5610</v>
      </c>
      <c r="M486" s="8" t="s">
        <v>26</v>
      </c>
      <c r="N486">
        <v>5610</v>
      </c>
      <c r="O486" s="8" t="s">
        <v>1701</v>
      </c>
      <c r="P486" s="8" t="s">
        <v>1558</v>
      </c>
      <c r="Q486" s="8" t="s">
        <v>1559</v>
      </c>
      <c r="R486" s="8" t="s">
        <v>138</v>
      </c>
      <c r="S486" s="8" t="s">
        <v>1542</v>
      </c>
      <c r="T486" s="8" t="s">
        <v>1572</v>
      </c>
      <c r="U486" s="8" t="s">
        <v>1571</v>
      </c>
      <c r="V486">
        <v>2200</v>
      </c>
      <c r="W486">
        <v>1450</v>
      </c>
      <c r="X486">
        <v>5610</v>
      </c>
      <c r="Y486">
        <v>1260</v>
      </c>
    </row>
    <row r="487" spans="1:25" x14ac:dyDescent="0.3">
      <c r="A487" s="8" t="s">
        <v>794</v>
      </c>
      <c r="B487" s="14">
        <v>46105</v>
      </c>
      <c r="C487" s="8" t="s">
        <v>795</v>
      </c>
      <c r="D487" s="8" t="s">
        <v>70</v>
      </c>
      <c r="E487" s="8" t="s">
        <v>74</v>
      </c>
      <c r="F487">
        <v>2</v>
      </c>
      <c r="G487">
        <v>2280</v>
      </c>
      <c r="H487">
        <v>0</v>
      </c>
      <c r="I487" s="8" t="s">
        <v>17</v>
      </c>
      <c r="J487" s="8" t="s">
        <v>71</v>
      </c>
      <c r="K487" s="8" t="s">
        <v>41</v>
      </c>
      <c r="L487">
        <v>4560</v>
      </c>
      <c r="M487" s="8" t="s">
        <v>20</v>
      </c>
      <c r="N487">
        <v>4560</v>
      </c>
      <c r="O487" s="8" t="s">
        <v>1701</v>
      </c>
      <c r="P487" s="8" t="s">
        <v>1550</v>
      </c>
      <c r="Q487" s="8" t="s">
        <v>1549</v>
      </c>
      <c r="R487" s="8" t="s">
        <v>32</v>
      </c>
      <c r="S487" s="8" t="s">
        <v>1542</v>
      </c>
      <c r="T487" s="8" t="s">
        <v>1584</v>
      </c>
      <c r="U487" s="8" t="s">
        <v>1583</v>
      </c>
      <c r="V487">
        <v>2400</v>
      </c>
      <c r="W487">
        <v>1480</v>
      </c>
      <c r="X487">
        <v>4560</v>
      </c>
      <c r="Y487">
        <v>1600</v>
      </c>
    </row>
    <row r="488" spans="1:25" x14ac:dyDescent="0.3">
      <c r="A488" s="8" t="s">
        <v>796</v>
      </c>
      <c r="B488" s="14">
        <v>46074</v>
      </c>
      <c r="C488" s="8" t="s">
        <v>409</v>
      </c>
      <c r="D488" s="8" t="s">
        <v>15</v>
      </c>
      <c r="E488" s="8" t="s">
        <v>46</v>
      </c>
      <c r="F488">
        <v>1</v>
      </c>
      <c r="G488">
        <v>8190</v>
      </c>
      <c r="H488">
        <v>0</v>
      </c>
      <c r="I488" s="8" t="s">
        <v>17</v>
      </c>
      <c r="J488" s="8" t="s">
        <v>47</v>
      </c>
      <c r="K488" s="8" t="s">
        <v>1698</v>
      </c>
      <c r="L488">
        <v>8190</v>
      </c>
      <c r="M488" s="8" t="s">
        <v>138</v>
      </c>
      <c r="N488">
        <v>8190</v>
      </c>
      <c r="O488" s="8" t="s">
        <v>1701</v>
      </c>
      <c r="P488" s="8" t="s">
        <v>1543</v>
      </c>
      <c r="Q488" s="8" t="s">
        <v>1541</v>
      </c>
      <c r="R488" s="8" t="s">
        <v>52</v>
      </c>
      <c r="S488" s="8" t="s">
        <v>1542</v>
      </c>
      <c r="T488" s="8" t="s">
        <v>1579</v>
      </c>
      <c r="U488" s="8" t="s">
        <v>1580</v>
      </c>
      <c r="V488">
        <v>7800</v>
      </c>
      <c r="W488">
        <v>5200</v>
      </c>
      <c r="X488">
        <v>8190</v>
      </c>
      <c r="Y488">
        <v>2990</v>
      </c>
    </row>
    <row r="489" spans="1:25" x14ac:dyDescent="0.3">
      <c r="A489" s="8" t="s">
        <v>797</v>
      </c>
      <c r="B489" s="14">
        <v>46079</v>
      </c>
      <c r="C489" s="8" t="s">
        <v>798</v>
      </c>
      <c r="D489" s="8" t="s">
        <v>40</v>
      </c>
      <c r="E489" s="8" t="s">
        <v>85</v>
      </c>
      <c r="F489">
        <v>1</v>
      </c>
      <c r="G489">
        <v>46075</v>
      </c>
      <c r="H489">
        <v>0</v>
      </c>
      <c r="I489" s="8" t="s">
        <v>17</v>
      </c>
      <c r="J489" s="8" t="s">
        <v>31</v>
      </c>
      <c r="K489" s="8" t="s">
        <v>67</v>
      </c>
      <c r="L489">
        <v>46075</v>
      </c>
      <c r="M489" s="8" t="s">
        <v>82</v>
      </c>
      <c r="N489">
        <v>46075</v>
      </c>
      <c r="O489" s="8" t="s">
        <v>1701</v>
      </c>
      <c r="P489" s="8" t="s">
        <v>1555</v>
      </c>
      <c r="Q489" s="8" t="s">
        <v>1554</v>
      </c>
      <c r="R489" s="8" t="s">
        <v>82</v>
      </c>
      <c r="S489" s="8" t="s">
        <v>1542</v>
      </c>
      <c r="T489" s="8" t="s">
        <v>1585</v>
      </c>
      <c r="U489" s="8" t="s">
        <v>1586</v>
      </c>
      <c r="V489">
        <v>48500</v>
      </c>
      <c r="W489">
        <v>41200</v>
      </c>
      <c r="X489">
        <v>46075</v>
      </c>
      <c r="Y489">
        <v>4875</v>
      </c>
    </row>
    <row r="490" spans="1:25" x14ac:dyDescent="0.3">
      <c r="A490" s="8" t="s">
        <v>799</v>
      </c>
      <c r="B490" s="14">
        <v>46129</v>
      </c>
      <c r="C490" s="8" t="s">
        <v>125</v>
      </c>
      <c r="D490" s="8" t="s">
        <v>90</v>
      </c>
      <c r="E490" s="8" t="s">
        <v>36</v>
      </c>
      <c r="F490">
        <v>4</v>
      </c>
      <c r="G490">
        <v>1400</v>
      </c>
      <c r="H490">
        <v>0</v>
      </c>
      <c r="I490" s="8" t="s">
        <v>17</v>
      </c>
      <c r="J490" s="8" t="s">
        <v>31</v>
      </c>
      <c r="K490" s="8" t="s">
        <v>67</v>
      </c>
      <c r="L490">
        <v>5600</v>
      </c>
      <c r="M490" s="8" t="s">
        <v>42</v>
      </c>
      <c r="N490">
        <v>5600</v>
      </c>
      <c r="O490" s="8" t="s">
        <v>1701</v>
      </c>
      <c r="P490" s="8" t="s">
        <v>1562</v>
      </c>
      <c r="Q490" s="8" t="s">
        <v>1563</v>
      </c>
      <c r="R490" s="8" t="s">
        <v>48</v>
      </c>
      <c r="S490" s="8" t="s">
        <v>1542</v>
      </c>
      <c r="T490" s="8" t="s">
        <v>1577</v>
      </c>
      <c r="U490" s="8" t="s">
        <v>1571</v>
      </c>
      <c r="V490">
        <v>1400</v>
      </c>
      <c r="W490">
        <v>780</v>
      </c>
      <c r="X490">
        <v>5600</v>
      </c>
      <c r="Y490">
        <v>2480</v>
      </c>
    </row>
    <row r="491" spans="1:25" x14ac:dyDescent="0.3">
      <c r="A491" s="8" t="s">
        <v>800</v>
      </c>
      <c r="B491" s="14">
        <v>46078</v>
      </c>
      <c r="C491" s="8" t="s">
        <v>801</v>
      </c>
      <c r="D491" s="8" t="s">
        <v>152</v>
      </c>
      <c r="E491" s="8" t="s">
        <v>63</v>
      </c>
      <c r="F491">
        <v>1</v>
      </c>
      <c r="G491">
        <v>2200</v>
      </c>
      <c r="H491">
        <v>0</v>
      </c>
      <c r="I491" s="8" t="s">
        <v>17</v>
      </c>
      <c r="J491" s="8" t="s">
        <v>71</v>
      </c>
      <c r="K491" s="8" t="s">
        <v>25</v>
      </c>
      <c r="L491">
        <v>2200</v>
      </c>
      <c r="M491" s="8" t="s">
        <v>59</v>
      </c>
      <c r="N491">
        <v>2200</v>
      </c>
      <c r="O491" s="8" t="s">
        <v>1701</v>
      </c>
      <c r="P491" s="8" t="s">
        <v>1553</v>
      </c>
      <c r="Q491" s="8" t="s">
        <v>1554</v>
      </c>
      <c r="R491" s="8" t="s">
        <v>59</v>
      </c>
      <c r="S491" s="8" t="s">
        <v>1542</v>
      </c>
      <c r="T491" s="8" t="s">
        <v>1572</v>
      </c>
      <c r="U491" s="8" t="s">
        <v>1571</v>
      </c>
      <c r="V491">
        <v>2200</v>
      </c>
      <c r="W491">
        <v>1450</v>
      </c>
      <c r="X491">
        <v>2200</v>
      </c>
      <c r="Y491">
        <v>750</v>
      </c>
    </row>
    <row r="492" spans="1:25" x14ac:dyDescent="0.3">
      <c r="A492" s="8" t="s">
        <v>802</v>
      </c>
      <c r="B492" s="14">
        <v>46165</v>
      </c>
      <c r="C492" s="8" t="s">
        <v>274</v>
      </c>
      <c r="D492" s="8" t="s">
        <v>123</v>
      </c>
      <c r="E492" s="8" t="s">
        <v>51</v>
      </c>
      <c r="F492">
        <v>2</v>
      </c>
      <c r="G492">
        <v>18500</v>
      </c>
      <c r="H492">
        <v>0</v>
      </c>
      <c r="I492" s="8" t="s">
        <v>17</v>
      </c>
      <c r="J492" s="8" t="s">
        <v>18</v>
      </c>
      <c r="K492" s="8" t="s">
        <v>1698</v>
      </c>
      <c r="L492">
        <v>37000</v>
      </c>
      <c r="M492" s="8" t="s">
        <v>59</v>
      </c>
      <c r="N492">
        <v>37000</v>
      </c>
      <c r="O492" s="8" t="s">
        <v>1701</v>
      </c>
      <c r="P492" s="8" t="s">
        <v>1558</v>
      </c>
      <c r="Q492" s="8" t="s">
        <v>1559</v>
      </c>
      <c r="R492" s="8" t="s">
        <v>138</v>
      </c>
      <c r="S492" s="8" t="s">
        <v>1542</v>
      </c>
      <c r="T492" s="8" t="s">
        <v>1581</v>
      </c>
      <c r="U492" s="8" t="s">
        <v>1580</v>
      </c>
      <c r="V492">
        <v>18500</v>
      </c>
      <c r="W492">
        <v>13900</v>
      </c>
      <c r="X492">
        <v>37000</v>
      </c>
      <c r="Y492">
        <v>9200</v>
      </c>
    </row>
    <row r="493" spans="1:25" x14ac:dyDescent="0.3">
      <c r="A493" s="8" t="s">
        <v>803</v>
      </c>
      <c r="B493" s="14">
        <v>46069</v>
      </c>
      <c r="C493" s="8" t="s">
        <v>581</v>
      </c>
      <c r="D493" s="8" t="s">
        <v>152</v>
      </c>
      <c r="E493" s="8" t="s">
        <v>161</v>
      </c>
      <c r="F493">
        <v>2</v>
      </c>
      <c r="G493">
        <v>2730</v>
      </c>
      <c r="H493">
        <v>0.2</v>
      </c>
      <c r="I493" s="8" t="s">
        <v>17</v>
      </c>
      <c r="J493" s="8" t="s">
        <v>47</v>
      </c>
      <c r="K493" s="8" t="s">
        <v>25</v>
      </c>
      <c r="L493">
        <v>4368</v>
      </c>
      <c r="M493" s="8" t="s">
        <v>138</v>
      </c>
      <c r="N493">
        <v>4368</v>
      </c>
      <c r="O493" s="8" t="s">
        <v>1701</v>
      </c>
      <c r="P493" s="8" t="s">
        <v>1553</v>
      </c>
      <c r="Q493" s="8" t="s">
        <v>1554</v>
      </c>
      <c r="R493" s="8" t="s">
        <v>59</v>
      </c>
      <c r="S493" s="8" t="s">
        <v>1542</v>
      </c>
      <c r="T493" s="8" t="s">
        <v>1578</v>
      </c>
      <c r="U493" s="8" t="s">
        <v>1571</v>
      </c>
      <c r="V493">
        <v>2600</v>
      </c>
      <c r="W493">
        <v>1750</v>
      </c>
      <c r="X493">
        <v>4368</v>
      </c>
      <c r="Y493">
        <v>868</v>
      </c>
    </row>
    <row r="494" spans="1:25" x14ac:dyDescent="0.3">
      <c r="A494" s="8" t="s">
        <v>804</v>
      </c>
      <c r="B494" s="14">
        <v>46118</v>
      </c>
      <c r="C494" s="8" t="s">
        <v>89</v>
      </c>
      <c r="D494" s="8" t="s">
        <v>70</v>
      </c>
      <c r="E494" s="8" t="s">
        <v>74</v>
      </c>
      <c r="F494">
        <v>2</v>
      </c>
      <c r="G494">
        <v>2400</v>
      </c>
      <c r="H494">
        <v>0.2</v>
      </c>
      <c r="I494" s="8" t="s">
        <v>17</v>
      </c>
      <c r="J494" s="8" t="s">
        <v>18</v>
      </c>
      <c r="K494" s="8" t="s">
        <v>25</v>
      </c>
      <c r="L494">
        <v>3840</v>
      </c>
      <c r="M494" s="8" t="s">
        <v>26</v>
      </c>
      <c r="N494">
        <v>3840</v>
      </c>
      <c r="O494" s="8" t="s">
        <v>1701</v>
      </c>
      <c r="P494" s="8" t="s">
        <v>1550</v>
      </c>
      <c r="Q494" s="8" t="s">
        <v>1549</v>
      </c>
      <c r="R494" s="8" t="s">
        <v>32</v>
      </c>
      <c r="S494" s="8" t="s">
        <v>1542</v>
      </c>
      <c r="T494" s="8" t="s">
        <v>1584</v>
      </c>
      <c r="U494" s="8" t="s">
        <v>1583</v>
      </c>
      <c r="V494">
        <v>2400</v>
      </c>
      <c r="W494">
        <v>1480</v>
      </c>
      <c r="X494">
        <v>3840</v>
      </c>
      <c r="Y494">
        <v>880</v>
      </c>
    </row>
    <row r="495" spans="1:25" x14ac:dyDescent="0.3">
      <c r="A495" s="8" t="s">
        <v>805</v>
      </c>
      <c r="B495" s="14">
        <v>46115</v>
      </c>
      <c r="C495" s="8" t="s">
        <v>467</v>
      </c>
      <c r="D495" s="8" t="s">
        <v>62</v>
      </c>
      <c r="E495" s="8" t="s">
        <v>46</v>
      </c>
      <c r="F495">
        <v>8</v>
      </c>
      <c r="G495">
        <v>7800</v>
      </c>
      <c r="H495">
        <v>0</v>
      </c>
      <c r="I495" s="8" t="s">
        <v>17</v>
      </c>
      <c r="J495" s="8" t="s">
        <v>71</v>
      </c>
      <c r="K495" s="8" t="s">
        <v>67</v>
      </c>
      <c r="L495">
        <v>62400</v>
      </c>
      <c r="M495" s="8" t="s">
        <v>1702</v>
      </c>
      <c r="N495">
        <v>62400</v>
      </c>
      <c r="O495" s="8" t="s">
        <v>1701</v>
      </c>
      <c r="P495" s="8" t="s">
        <v>1551</v>
      </c>
      <c r="Q495" s="8" t="s">
        <v>1549</v>
      </c>
      <c r="R495" s="8" t="s">
        <v>1552</v>
      </c>
      <c r="S495" s="8" t="s">
        <v>1542</v>
      </c>
      <c r="T495" s="8" t="s">
        <v>1579</v>
      </c>
      <c r="U495" s="8" t="s">
        <v>1580</v>
      </c>
      <c r="V495">
        <v>7800</v>
      </c>
      <c r="W495">
        <v>5200</v>
      </c>
      <c r="X495">
        <v>62400</v>
      </c>
      <c r="Y495">
        <v>20800</v>
      </c>
    </row>
    <row r="496" spans="1:25" x14ac:dyDescent="0.3">
      <c r="A496" s="8" t="s">
        <v>806</v>
      </c>
      <c r="B496" s="14">
        <v>46099</v>
      </c>
      <c r="C496" s="8" t="s">
        <v>101</v>
      </c>
      <c r="D496" s="8" t="s">
        <v>23</v>
      </c>
      <c r="E496" s="8" t="s">
        <v>24</v>
      </c>
      <c r="F496">
        <v>5</v>
      </c>
      <c r="G496">
        <v>11200</v>
      </c>
      <c r="H496">
        <v>0</v>
      </c>
      <c r="I496" s="8" t="s">
        <v>17</v>
      </c>
      <c r="J496" s="8" t="s">
        <v>31</v>
      </c>
      <c r="K496" s="8" t="s">
        <v>1698</v>
      </c>
      <c r="L496">
        <v>56000</v>
      </c>
      <c r="M496" s="8" t="s">
        <v>56</v>
      </c>
      <c r="N496">
        <v>56000</v>
      </c>
      <c r="O496" s="8" t="s">
        <v>1701</v>
      </c>
      <c r="P496" s="8" t="s">
        <v>1545</v>
      </c>
      <c r="Q496" s="8" t="s">
        <v>1541</v>
      </c>
      <c r="R496" s="8" t="s">
        <v>1546</v>
      </c>
      <c r="S496" s="8" t="s">
        <v>1542</v>
      </c>
      <c r="T496" s="8" t="s">
        <v>1574</v>
      </c>
      <c r="U496" s="8" t="s">
        <v>1575</v>
      </c>
      <c r="V496">
        <v>11200</v>
      </c>
      <c r="W496">
        <v>8300</v>
      </c>
      <c r="X496">
        <v>56000</v>
      </c>
      <c r="Y496">
        <v>14500</v>
      </c>
    </row>
    <row r="497" spans="1:25" x14ac:dyDescent="0.3">
      <c r="A497" s="8" t="s">
        <v>807</v>
      </c>
      <c r="B497" s="14">
        <v>46114</v>
      </c>
      <c r="C497" s="8" t="s">
        <v>115</v>
      </c>
      <c r="D497" s="8" t="s">
        <v>50</v>
      </c>
      <c r="E497" s="8" t="s">
        <v>30</v>
      </c>
      <c r="F497">
        <v>1</v>
      </c>
      <c r="G497">
        <v>1800</v>
      </c>
      <c r="H497">
        <v>0.15</v>
      </c>
      <c r="I497" s="8" t="s">
        <v>17</v>
      </c>
      <c r="J497" s="8" t="s">
        <v>31</v>
      </c>
      <c r="K497" s="8" t="s">
        <v>25</v>
      </c>
      <c r="L497">
        <v>1530</v>
      </c>
      <c r="M497" s="8" t="s">
        <v>32</v>
      </c>
      <c r="N497">
        <v>1530</v>
      </c>
      <c r="O497" s="8" t="s">
        <v>1701</v>
      </c>
      <c r="P497" s="8" t="s">
        <v>1544</v>
      </c>
      <c r="Q497" s="8" t="s">
        <v>1541</v>
      </c>
      <c r="R497" s="8" t="s">
        <v>26</v>
      </c>
      <c r="S497" s="8" t="s">
        <v>1542</v>
      </c>
      <c r="T497" s="8" t="s">
        <v>1573</v>
      </c>
      <c r="U497" s="8" t="s">
        <v>1571</v>
      </c>
      <c r="V497">
        <v>1800</v>
      </c>
      <c r="W497">
        <v>1120</v>
      </c>
      <c r="X497">
        <v>1530</v>
      </c>
      <c r="Y497">
        <v>410</v>
      </c>
    </row>
    <row r="498" spans="1:25" x14ac:dyDescent="0.3">
      <c r="A498" s="8" t="s">
        <v>808</v>
      </c>
      <c r="B498" s="14">
        <v>46168</v>
      </c>
      <c r="C498" s="8" t="s">
        <v>809</v>
      </c>
      <c r="D498" s="8" t="s">
        <v>77</v>
      </c>
      <c r="E498" s="8" t="s">
        <v>24</v>
      </c>
      <c r="F498">
        <v>4</v>
      </c>
      <c r="G498">
        <v>11760</v>
      </c>
      <c r="H498">
        <v>0.2</v>
      </c>
      <c r="I498" s="8" t="s">
        <v>17</v>
      </c>
      <c r="J498" s="8" t="s">
        <v>18</v>
      </c>
      <c r="K498" s="8" t="s">
        <v>25</v>
      </c>
      <c r="L498">
        <v>37632</v>
      </c>
      <c r="M498" s="8" t="s">
        <v>42</v>
      </c>
      <c r="N498">
        <v>37632</v>
      </c>
      <c r="O498" s="8" t="s">
        <v>1701</v>
      </c>
      <c r="P498" s="8" t="s">
        <v>1564</v>
      </c>
      <c r="Q498" s="8" t="s">
        <v>1563</v>
      </c>
      <c r="R498" s="8" t="s">
        <v>1565</v>
      </c>
      <c r="S498" s="8" t="s">
        <v>1542</v>
      </c>
      <c r="T498" s="8" t="s">
        <v>1574</v>
      </c>
      <c r="U498" s="8" t="s">
        <v>1575</v>
      </c>
      <c r="V498">
        <v>11200</v>
      </c>
      <c r="W498">
        <v>8300</v>
      </c>
      <c r="X498">
        <v>37632</v>
      </c>
      <c r="Y498">
        <v>4432</v>
      </c>
    </row>
    <row r="499" spans="1:25" x14ac:dyDescent="0.3">
      <c r="A499" s="8" t="s">
        <v>810</v>
      </c>
      <c r="B499" s="14">
        <v>46175</v>
      </c>
      <c r="C499" s="8" t="s">
        <v>811</v>
      </c>
      <c r="D499" s="8" t="s">
        <v>95</v>
      </c>
      <c r="E499" s="8" t="s">
        <v>135</v>
      </c>
      <c r="F499">
        <v>1</v>
      </c>
      <c r="G499">
        <v>15960</v>
      </c>
      <c r="H499">
        <v>0.15</v>
      </c>
      <c r="I499" s="8" t="s">
        <v>17</v>
      </c>
      <c r="J499" s="8" t="s">
        <v>47</v>
      </c>
      <c r="K499" s="8" t="s">
        <v>55</v>
      </c>
      <c r="L499">
        <v>13566</v>
      </c>
      <c r="M499" s="8" t="s">
        <v>32</v>
      </c>
      <c r="N499">
        <v>13566</v>
      </c>
      <c r="O499" s="8" t="s">
        <v>1701</v>
      </c>
      <c r="P499" s="8" t="s">
        <v>1556</v>
      </c>
      <c r="Q499" s="8" t="s">
        <v>1554</v>
      </c>
      <c r="R499" s="8" t="s">
        <v>1557</v>
      </c>
      <c r="S499" s="8" t="s">
        <v>1542</v>
      </c>
      <c r="T499" s="8" t="s">
        <v>1576</v>
      </c>
      <c r="U499" s="8" t="s">
        <v>1575</v>
      </c>
      <c r="V499">
        <v>16800</v>
      </c>
      <c r="W499">
        <v>12600</v>
      </c>
      <c r="X499">
        <v>13566</v>
      </c>
      <c r="Y499">
        <v>966</v>
      </c>
    </row>
    <row r="500" spans="1:25" x14ac:dyDescent="0.3">
      <c r="A500" s="8" t="s">
        <v>812</v>
      </c>
      <c r="B500" s="14">
        <v>46053</v>
      </c>
      <c r="C500" s="8" t="s">
        <v>196</v>
      </c>
      <c r="D500" s="8" t="s">
        <v>90</v>
      </c>
      <c r="E500" s="8" t="s">
        <v>24</v>
      </c>
      <c r="F500">
        <v>4</v>
      </c>
      <c r="G500">
        <v>11760</v>
      </c>
      <c r="H500">
        <v>0.15</v>
      </c>
      <c r="I500" s="8" t="s">
        <v>80</v>
      </c>
      <c r="J500" s="8" t="s">
        <v>47</v>
      </c>
      <c r="K500" s="8" t="s">
        <v>25</v>
      </c>
      <c r="L500">
        <v>39984</v>
      </c>
      <c r="M500" s="8" t="s">
        <v>20</v>
      </c>
      <c r="N500">
        <v>39984</v>
      </c>
      <c r="O500" s="8" t="s">
        <v>1701</v>
      </c>
      <c r="P500" s="8" t="s">
        <v>1562</v>
      </c>
      <c r="Q500" s="8" t="s">
        <v>1563</v>
      </c>
      <c r="R500" s="8" t="s">
        <v>48</v>
      </c>
      <c r="S500" s="8" t="s">
        <v>1542</v>
      </c>
      <c r="T500" s="8" t="s">
        <v>1574</v>
      </c>
      <c r="U500" s="8" t="s">
        <v>1575</v>
      </c>
      <c r="V500">
        <v>11200</v>
      </c>
      <c r="W500">
        <v>8300</v>
      </c>
      <c r="X500">
        <v>0</v>
      </c>
      <c r="Y500">
        <v>-33200</v>
      </c>
    </row>
    <row r="501" spans="1:25" x14ac:dyDescent="0.3">
      <c r="A501" s="8" t="s">
        <v>813</v>
      </c>
      <c r="B501" s="14">
        <v>46104</v>
      </c>
      <c r="C501" s="8" t="s">
        <v>572</v>
      </c>
      <c r="D501" s="8" t="s">
        <v>152</v>
      </c>
      <c r="E501" s="8" t="s">
        <v>183</v>
      </c>
      <c r="F501">
        <v>1</v>
      </c>
      <c r="G501">
        <v>3200</v>
      </c>
      <c r="H501">
        <v>0.15</v>
      </c>
      <c r="I501" s="8" t="s">
        <v>17</v>
      </c>
      <c r="J501" s="8" t="s">
        <v>18</v>
      </c>
      <c r="K501" s="8" t="s">
        <v>55</v>
      </c>
      <c r="L501">
        <v>2720</v>
      </c>
      <c r="M501" s="8" t="s">
        <v>48</v>
      </c>
      <c r="N501">
        <v>2720</v>
      </c>
      <c r="O501" s="8" t="s">
        <v>1701</v>
      </c>
      <c r="P501" s="8" t="s">
        <v>1553</v>
      </c>
      <c r="Q501" s="8" t="s">
        <v>1554</v>
      </c>
      <c r="R501" s="8" t="s">
        <v>59</v>
      </c>
      <c r="S501" s="8" t="s">
        <v>1542</v>
      </c>
      <c r="T501" s="8" t="s">
        <v>1582</v>
      </c>
      <c r="U501" s="8" t="s">
        <v>1583</v>
      </c>
      <c r="V501">
        <v>3200</v>
      </c>
      <c r="W501">
        <v>2050</v>
      </c>
      <c r="X501">
        <v>2720</v>
      </c>
      <c r="Y501">
        <v>670</v>
      </c>
    </row>
    <row r="502" spans="1:25" x14ac:dyDescent="0.3">
      <c r="A502" s="8" t="s">
        <v>814</v>
      </c>
      <c r="B502" s="14">
        <v>46170</v>
      </c>
      <c r="C502" s="8" t="s">
        <v>326</v>
      </c>
      <c r="D502" s="8" t="s">
        <v>152</v>
      </c>
      <c r="E502" s="8" t="s">
        <v>63</v>
      </c>
      <c r="F502">
        <v>1</v>
      </c>
      <c r="G502">
        <v>2200</v>
      </c>
      <c r="H502">
        <v>0.05</v>
      </c>
      <c r="I502" s="8" t="s">
        <v>17</v>
      </c>
      <c r="J502" s="8" t="s">
        <v>47</v>
      </c>
      <c r="K502" s="8" t="s">
        <v>1698</v>
      </c>
      <c r="L502">
        <v>2090</v>
      </c>
      <c r="M502" s="8" t="s">
        <v>56</v>
      </c>
      <c r="N502">
        <v>2090</v>
      </c>
      <c r="O502" s="8" t="s">
        <v>1701</v>
      </c>
      <c r="P502" s="8" t="s">
        <v>1553</v>
      </c>
      <c r="Q502" s="8" t="s">
        <v>1554</v>
      </c>
      <c r="R502" s="8" t="s">
        <v>59</v>
      </c>
      <c r="S502" s="8" t="s">
        <v>1542</v>
      </c>
      <c r="T502" s="8" t="s">
        <v>1572</v>
      </c>
      <c r="U502" s="8" t="s">
        <v>1571</v>
      </c>
      <c r="V502">
        <v>2200</v>
      </c>
      <c r="W502">
        <v>1450</v>
      </c>
      <c r="X502">
        <v>2090</v>
      </c>
      <c r="Y502">
        <v>640</v>
      </c>
    </row>
    <row r="503" spans="1:25" x14ac:dyDescent="0.3">
      <c r="A503" s="8" t="s">
        <v>815</v>
      </c>
      <c r="B503" s="14">
        <v>46169</v>
      </c>
      <c r="C503" s="8" t="s">
        <v>269</v>
      </c>
      <c r="D503" s="8" t="s">
        <v>123</v>
      </c>
      <c r="E503" s="8" t="s">
        <v>16</v>
      </c>
      <c r="F503">
        <v>2</v>
      </c>
      <c r="G503">
        <v>682.5</v>
      </c>
      <c r="H503">
        <v>0.05</v>
      </c>
      <c r="I503" s="8" t="s">
        <v>17</v>
      </c>
      <c r="J503" s="8" t="s">
        <v>71</v>
      </c>
      <c r="K503" s="8" t="s">
        <v>55</v>
      </c>
      <c r="L503">
        <v>1296.75</v>
      </c>
      <c r="M503" s="8" t="s">
        <v>82</v>
      </c>
      <c r="N503">
        <v>1296.75</v>
      </c>
      <c r="O503" s="8" t="s">
        <v>1701</v>
      </c>
      <c r="P503" s="8" t="s">
        <v>1558</v>
      </c>
      <c r="Q503" s="8" t="s">
        <v>1559</v>
      </c>
      <c r="R503" s="8" t="s">
        <v>138</v>
      </c>
      <c r="S503" s="8" t="s">
        <v>1542</v>
      </c>
      <c r="T503" s="8" t="s">
        <v>1570</v>
      </c>
      <c r="U503" s="8" t="s">
        <v>1571</v>
      </c>
      <c r="V503">
        <v>650</v>
      </c>
      <c r="W503">
        <v>390</v>
      </c>
      <c r="X503">
        <v>1296.75</v>
      </c>
      <c r="Y503">
        <v>516.75</v>
      </c>
    </row>
    <row r="504" spans="1:25" x14ac:dyDescent="0.3">
      <c r="A504" s="8" t="s">
        <v>816</v>
      </c>
      <c r="B504" s="14">
        <v>46073</v>
      </c>
      <c r="C504" s="8" t="s">
        <v>414</v>
      </c>
      <c r="D504" s="8" t="s">
        <v>62</v>
      </c>
      <c r="E504" s="8" t="s">
        <v>161</v>
      </c>
      <c r="F504">
        <v>3</v>
      </c>
      <c r="G504">
        <v>2600</v>
      </c>
      <c r="H504">
        <v>0</v>
      </c>
      <c r="I504" s="8" t="s">
        <v>17</v>
      </c>
      <c r="J504" s="8" t="s">
        <v>31</v>
      </c>
      <c r="K504" s="8" t="s">
        <v>67</v>
      </c>
      <c r="L504">
        <v>7800</v>
      </c>
      <c r="M504" s="8" t="s">
        <v>32</v>
      </c>
      <c r="N504">
        <v>7800</v>
      </c>
      <c r="O504" s="8" t="s">
        <v>1701</v>
      </c>
      <c r="P504" s="8" t="s">
        <v>1551</v>
      </c>
      <c r="Q504" s="8" t="s">
        <v>1549</v>
      </c>
      <c r="R504" s="8" t="s">
        <v>1552</v>
      </c>
      <c r="S504" s="8" t="s">
        <v>1542</v>
      </c>
      <c r="T504" s="8" t="s">
        <v>1578</v>
      </c>
      <c r="U504" s="8" t="s">
        <v>1571</v>
      </c>
      <c r="V504">
        <v>2600</v>
      </c>
      <c r="W504">
        <v>1750</v>
      </c>
      <c r="X504">
        <v>7800</v>
      </c>
      <c r="Y504">
        <v>2550</v>
      </c>
    </row>
    <row r="505" spans="1:25" x14ac:dyDescent="0.3">
      <c r="A505" s="8" t="s">
        <v>819</v>
      </c>
      <c r="B505" s="14">
        <v>46175</v>
      </c>
      <c r="C505" s="8" t="s">
        <v>820</v>
      </c>
      <c r="D505" s="8" t="s">
        <v>95</v>
      </c>
      <c r="E505" s="8" t="s">
        <v>16</v>
      </c>
      <c r="F505">
        <v>4</v>
      </c>
      <c r="G505">
        <v>682.5</v>
      </c>
      <c r="H505">
        <v>0</v>
      </c>
      <c r="I505" s="8" t="s">
        <v>116</v>
      </c>
      <c r="J505" s="8" t="s">
        <v>18</v>
      </c>
      <c r="K505" s="8" t="s">
        <v>1698</v>
      </c>
      <c r="L505">
        <v>2730</v>
      </c>
      <c r="M505" s="8" t="s">
        <v>52</v>
      </c>
      <c r="N505">
        <v>2730</v>
      </c>
      <c r="O505" s="8" t="s">
        <v>1701</v>
      </c>
      <c r="P505" s="8" t="s">
        <v>1556</v>
      </c>
      <c r="Q505" s="8" t="s">
        <v>1554</v>
      </c>
      <c r="R505" s="8" t="s">
        <v>1557</v>
      </c>
      <c r="S505" s="8" t="s">
        <v>1542</v>
      </c>
      <c r="T505" s="8" t="s">
        <v>1570</v>
      </c>
      <c r="U505" s="8" t="s">
        <v>1571</v>
      </c>
      <c r="V505">
        <v>650</v>
      </c>
      <c r="W505">
        <v>390</v>
      </c>
      <c r="X505">
        <v>0</v>
      </c>
      <c r="Y505">
        <v>-1560</v>
      </c>
    </row>
    <row r="506" spans="1:25" x14ac:dyDescent="0.3">
      <c r="A506" s="8" t="s">
        <v>821</v>
      </c>
      <c r="B506" s="14">
        <v>46074</v>
      </c>
      <c r="C506" s="8" t="s">
        <v>196</v>
      </c>
      <c r="D506" s="8" t="s">
        <v>95</v>
      </c>
      <c r="E506" s="8" t="s">
        <v>36</v>
      </c>
      <c r="F506">
        <v>1</v>
      </c>
      <c r="G506">
        <v>1330</v>
      </c>
      <c r="H506">
        <v>0.2</v>
      </c>
      <c r="I506" s="8" t="s">
        <v>66</v>
      </c>
      <c r="J506" s="8" t="s">
        <v>71</v>
      </c>
      <c r="K506" s="8" t="s">
        <v>25</v>
      </c>
      <c r="L506">
        <v>1064</v>
      </c>
      <c r="M506" s="8" t="s">
        <v>59</v>
      </c>
      <c r="N506">
        <v>1064</v>
      </c>
      <c r="O506" s="8" t="s">
        <v>1701</v>
      </c>
      <c r="P506" s="8" t="s">
        <v>1556</v>
      </c>
      <c r="Q506" s="8" t="s">
        <v>1554</v>
      </c>
      <c r="R506" s="8" t="s">
        <v>1557</v>
      </c>
      <c r="S506" s="8" t="s">
        <v>1542</v>
      </c>
      <c r="T506" s="8" t="s">
        <v>1577</v>
      </c>
      <c r="U506" s="8" t="s">
        <v>1571</v>
      </c>
      <c r="V506">
        <v>1400</v>
      </c>
      <c r="W506">
        <v>780</v>
      </c>
      <c r="X506">
        <v>0</v>
      </c>
      <c r="Y506">
        <v>-780</v>
      </c>
    </row>
    <row r="507" spans="1:25" x14ac:dyDescent="0.3">
      <c r="A507" s="8" t="s">
        <v>822</v>
      </c>
      <c r="B507" s="14">
        <v>46096</v>
      </c>
      <c r="C507" s="8" t="s">
        <v>507</v>
      </c>
      <c r="D507" s="8" t="s">
        <v>168</v>
      </c>
      <c r="E507" s="8" t="s">
        <v>36</v>
      </c>
      <c r="F507">
        <v>3</v>
      </c>
      <c r="G507">
        <v>1470</v>
      </c>
      <c r="H507">
        <v>0</v>
      </c>
      <c r="I507" s="8" t="s">
        <v>17</v>
      </c>
      <c r="J507" s="8" t="s">
        <v>47</v>
      </c>
      <c r="K507" s="8" t="s">
        <v>41</v>
      </c>
      <c r="L507">
        <v>4410</v>
      </c>
      <c r="M507" s="8" t="s">
        <v>82</v>
      </c>
      <c r="N507">
        <v>4410</v>
      </c>
      <c r="O507" s="8" t="s">
        <v>1701</v>
      </c>
      <c r="P507" s="8" t="s">
        <v>1540</v>
      </c>
      <c r="Q507" s="8" t="s">
        <v>1541</v>
      </c>
      <c r="R507" s="8" t="s">
        <v>20</v>
      </c>
      <c r="S507" s="8" t="s">
        <v>1542</v>
      </c>
      <c r="T507" s="8" t="s">
        <v>1577</v>
      </c>
      <c r="U507" s="8" t="s">
        <v>1571</v>
      </c>
      <c r="V507">
        <v>1400</v>
      </c>
      <c r="W507">
        <v>780</v>
      </c>
      <c r="X507">
        <v>4410</v>
      </c>
      <c r="Y507">
        <v>2070</v>
      </c>
    </row>
    <row r="508" spans="1:25" x14ac:dyDescent="0.3">
      <c r="A508" s="8" t="s">
        <v>823</v>
      </c>
      <c r="B508" s="14">
        <v>46077</v>
      </c>
      <c r="C508" s="8" t="s">
        <v>576</v>
      </c>
      <c r="D508" s="8" t="s">
        <v>23</v>
      </c>
      <c r="E508" s="8" t="s">
        <v>51</v>
      </c>
      <c r="F508">
        <v>2</v>
      </c>
      <c r="G508">
        <v>18500</v>
      </c>
      <c r="H508">
        <v>0.05</v>
      </c>
      <c r="I508" s="8" t="s">
        <v>17</v>
      </c>
      <c r="J508" s="8" t="s">
        <v>18</v>
      </c>
      <c r="K508" s="8" t="s">
        <v>25</v>
      </c>
      <c r="L508">
        <v>35150</v>
      </c>
      <c r="M508" s="8" t="s">
        <v>82</v>
      </c>
      <c r="N508">
        <v>35150</v>
      </c>
      <c r="O508" s="8" t="s">
        <v>1701</v>
      </c>
      <c r="P508" s="8" t="s">
        <v>1545</v>
      </c>
      <c r="Q508" s="8" t="s">
        <v>1541</v>
      </c>
      <c r="R508" s="8" t="s">
        <v>1546</v>
      </c>
      <c r="S508" s="8" t="s">
        <v>1542</v>
      </c>
      <c r="T508" s="8" t="s">
        <v>1581</v>
      </c>
      <c r="U508" s="8" t="s">
        <v>1580</v>
      </c>
      <c r="V508">
        <v>18500</v>
      </c>
      <c r="W508">
        <v>13900</v>
      </c>
      <c r="X508">
        <v>35150</v>
      </c>
      <c r="Y508">
        <v>7350</v>
      </c>
    </row>
    <row r="509" spans="1:25" x14ac:dyDescent="0.3">
      <c r="A509" s="8" t="s">
        <v>824</v>
      </c>
      <c r="B509" s="14">
        <v>46034</v>
      </c>
      <c r="C509" s="8" t="s">
        <v>196</v>
      </c>
      <c r="D509" s="8" t="s">
        <v>45</v>
      </c>
      <c r="E509" s="8" t="s">
        <v>30</v>
      </c>
      <c r="F509">
        <v>1</v>
      </c>
      <c r="G509">
        <v>1800</v>
      </c>
      <c r="H509">
        <v>0</v>
      </c>
      <c r="I509" s="8" t="s">
        <v>17</v>
      </c>
      <c r="J509" s="8" t="s">
        <v>18</v>
      </c>
      <c r="K509" s="8" t="s">
        <v>1698</v>
      </c>
      <c r="L509">
        <v>1800</v>
      </c>
      <c r="M509" s="8" t="s">
        <v>42</v>
      </c>
      <c r="N509">
        <v>1800</v>
      </c>
      <c r="O509" s="8" t="s">
        <v>1701</v>
      </c>
      <c r="P509" s="8" t="s">
        <v>1547</v>
      </c>
      <c r="Q509" s="8" t="s">
        <v>1541</v>
      </c>
      <c r="R509" s="8" t="s">
        <v>56</v>
      </c>
      <c r="S509" s="8" t="s">
        <v>1542</v>
      </c>
      <c r="T509" s="8" t="s">
        <v>1573</v>
      </c>
      <c r="U509" s="8" t="s">
        <v>1571</v>
      </c>
      <c r="V509">
        <v>1800</v>
      </c>
      <c r="W509">
        <v>1120</v>
      </c>
      <c r="X509">
        <v>1800</v>
      </c>
      <c r="Y509">
        <v>680</v>
      </c>
    </row>
    <row r="510" spans="1:25" x14ac:dyDescent="0.3">
      <c r="A510" s="8" t="s">
        <v>825</v>
      </c>
      <c r="B510" s="14">
        <v>46122</v>
      </c>
      <c r="C510" s="8" t="s">
        <v>576</v>
      </c>
      <c r="D510" s="8" t="s">
        <v>95</v>
      </c>
      <c r="E510" s="8" t="s">
        <v>135</v>
      </c>
      <c r="F510">
        <v>3</v>
      </c>
      <c r="G510">
        <v>15960</v>
      </c>
      <c r="H510">
        <v>0.2</v>
      </c>
      <c r="I510" s="8" t="s">
        <v>17</v>
      </c>
      <c r="J510" s="8" t="s">
        <v>47</v>
      </c>
      <c r="K510" s="8" t="s">
        <v>55</v>
      </c>
      <c r="L510">
        <v>38304</v>
      </c>
      <c r="M510" s="8" t="s">
        <v>52</v>
      </c>
      <c r="N510">
        <v>38304</v>
      </c>
      <c r="O510" s="8" t="s">
        <v>1701</v>
      </c>
      <c r="P510" s="8" t="s">
        <v>1556</v>
      </c>
      <c r="Q510" s="8" t="s">
        <v>1554</v>
      </c>
      <c r="R510" s="8" t="s">
        <v>1557</v>
      </c>
      <c r="S510" s="8" t="s">
        <v>1542</v>
      </c>
      <c r="T510" s="8" t="s">
        <v>1576</v>
      </c>
      <c r="U510" s="8" t="s">
        <v>1575</v>
      </c>
      <c r="V510">
        <v>16800</v>
      </c>
      <c r="W510">
        <v>12600</v>
      </c>
      <c r="X510">
        <v>38304</v>
      </c>
      <c r="Y510">
        <v>504</v>
      </c>
    </row>
    <row r="511" spans="1:25" x14ac:dyDescent="0.3">
      <c r="A511" s="8" t="s">
        <v>826</v>
      </c>
      <c r="B511" s="14">
        <v>46120</v>
      </c>
      <c r="C511" s="8" t="s">
        <v>484</v>
      </c>
      <c r="D511" s="8" t="s">
        <v>152</v>
      </c>
      <c r="E511" s="8" t="s">
        <v>85</v>
      </c>
      <c r="F511">
        <v>1</v>
      </c>
      <c r="G511">
        <v>46075</v>
      </c>
      <c r="H511">
        <v>0.05</v>
      </c>
      <c r="I511" s="8" t="s">
        <v>17</v>
      </c>
      <c r="J511" s="8" t="s">
        <v>71</v>
      </c>
      <c r="K511" s="8" t="s">
        <v>25</v>
      </c>
      <c r="L511">
        <v>43771.25</v>
      </c>
      <c r="M511" s="8" t="s">
        <v>56</v>
      </c>
      <c r="N511">
        <v>43771.25</v>
      </c>
      <c r="O511" s="8" t="s">
        <v>1701</v>
      </c>
      <c r="P511" s="8" t="s">
        <v>1553</v>
      </c>
      <c r="Q511" s="8" t="s">
        <v>1554</v>
      </c>
      <c r="R511" s="8" t="s">
        <v>59</v>
      </c>
      <c r="S511" s="8" t="s">
        <v>1542</v>
      </c>
      <c r="T511" s="8" t="s">
        <v>1585</v>
      </c>
      <c r="U511" s="8" t="s">
        <v>1586</v>
      </c>
      <c r="V511">
        <v>48500</v>
      </c>
      <c r="W511">
        <v>41200</v>
      </c>
      <c r="X511">
        <v>43771.25</v>
      </c>
      <c r="Y511">
        <v>2571.25</v>
      </c>
    </row>
    <row r="512" spans="1:25" x14ac:dyDescent="0.3">
      <c r="A512" s="8" t="s">
        <v>827</v>
      </c>
      <c r="B512" s="14">
        <v>46166</v>
      </c>
      <c r="C512" s="8" t="s">
        <v>346</v>
      </c>
      <c r="D512" s="8" t="s">
        <v>77</v>
      </c>
      <c r="E512" s="8" t="s">
        <v>85</v>
      </c>
      <c r="F512">
        <v>1</v>
      </c>
      <c r="G512">
        <v>48500</v>
      </c>
      <c r="H512">
        <v>0</v>
      </c>
      <c r="I512" s="8" t="s">
        <v>80</v>
      </c>
      <c r="J512" s="8" t="s">
        <v>18</v>
      </c>
      <c r="K512" s="8" t="s">
        <v>55</v>
      </c>
      <c r="L512">
        <v>48500</v>
      </c>
      <c r="M512" s="8" t="s">
        <v>59</v>
      </c>
      <c r="N512">
        <v>48500</v>
      </c>
      <c r="O512" s="8" t="s">
        <v>1701</v>
      </c>
      <c r="P512" s="8" t="s">
        <v>1564</v>
      </c>
      <c r="Q512" s="8" t="s">
        <v>1563</v>
      </c>
      <c r="R512" s="8" t="s">
        <v>1565</v>
      </c>
      <c r="S512" s="8" t="s">
        <v>1542</v>
      </c>
      <c r="T512" s="8" t="s">
        <v>1585</v>
      </c>
      <c r="U512" s="8" t="s">
        <v>1586</v>
      </c>
      <c r="V512">
        <v>48500</v>
      </c>
      <c r="W512">
        <v>41200</v>
      </c>
      <c r="X512">
        <v>0</v>
      </c>
      <c r="Y512">
        <v>-41200</v>
      </c>
    </row>
    <row r="513" spans="1:25" x14ac:dyDescent="0.3">
      <c r="A513" s="8" t="s">
        <v>828</v>
      </c>
      <c r="B513" s="14">
        <v>46027</v>
      </c>
      <c r="C513" s="8" t="s">
        <v>426</v>
      </c>
      <c r="D513" s="8" t="s">
        <v>35</v>
      </c>
      <c r="E513" s="8" t="s">
        <v>74</v>
      </c>
      <c r="F513">
        <v>2</v>
      </c>
      <c r="G513">
        <v>2400</v>
      </c>
      <c r="H513">
        <v>0.2</v>
      </c>
      <c r="I513" s="8" t="s">
        <v>17</v>
      </c>
      <c r="J513" s="8" t="s">
        <v>47</v>
      </c>
      <c r="K513" s="8" t="s">
        <v>55</v>
      </c>
      <c r="L513">
        <v>3840</v>
      </c>
      <c r="M513" s="8" t="s">
        <v>20</v>
      </c>
      <c r="N513">
        <v>3840</v>
      </c>
      <c r="O513" s="8" t="s">
        <v>1701</v>
      </c>
      <c r="P513" s="8" t="s">
        <v>1548</v>
      </c>
      <c r="Q513" s="8" t="s">
        <v>1549</v>
      </c>
      <c r="R513" s="8" t="s">
        <v>42</v>
      </c>
      <c r="S513" s="8" t="s">
        <v>1542</v>
      </c>
      <c r="T513" s="8" t="s">
        <v>1584</v>
      </c>
      <c r="U513" s="8" t="s">
        <v>1583</v>
      </c>
      <c r="V513">
        <v>2400</v>
      </c>
      <c r="W513">
        <v>1480</v>
      </c>
      <c r="X513">
        <v>3840</v>
      </c>
      <c r="Y513">
        <v>880</v>
      </c>
    </row>
    <row r="514" spans="1:25" x14ac:dyDescent="0.3">
      <c r="A514" s="8" t="s">
        <v>829</v>
      </c>
      <c r="B514" s="14">
        <v>46165</v>
      </c>
      <c r="C514" s="8" t="s">
        <v>258</v>
      </c>
      <c r="D514" s="8" t="s">
        <v>45</v>
      </c>
      <c r="E514" s="8" t="s">
        <v>24</v>
      </c>
      <c r="F514">
        <v>1</v>
      </c>
      <c r="G514">
        <v>10640</v>
      </c>
      <c r="H514">
        <v>0.1</v>
      </c>
      <c r="I514" s="8" t="s">
        <v>17</v>
      </c>
      <c r="J514" s="8" t="s">
        <v>71</v>
      </c>
      <c r="K514" s="8" t="s">
        <v>55</v>
      </c>
      <c r="L514">
        <v>9576</v>
      </c>
      <c r="M514" s="8" t="s">
        <v>52</v>
      </c>
      <c r="N514">
        <v>9576</v>
      </c>
      <c r="O514" s="8" t="s">
        <v>1701</v>
      </c>
      <c r="P514" s="8" t="s">
        <v>1547</v>
      </c>
      <c r="Q514" s="8" t="s">
        <v>1541</v>
      </c>
      <c r="R514" s="8" t="s">
        <v>56</v>
      </c>
      <c r="S514" s="8" t="s">
        <v>1542</v>
      </c>
      <c r="T514" s="8" t="s">
        <v>1574</v>
      </c>
      <c r="U514" s="8" t="s">
        <v>1575</v>
      </c>
      <c r="V514">
        <v>11200</v>
      </c>
      <c r="W514">
        <v>8300</v>
      </c>
      <c r="X514">
        <v>9576</v>
      </c>
      <c r="Y514">
        <v>1276</v>
      </c>
    </row>
    <row r="515" spans="1:25" x14ac:dyDescent="0.3">
      <c r="A515" s="8" t="s">
        <v>830</v>
      </c>
      <c r="B515" s="14">
        <v>46169</v>
      </c>
      <c r="C515" s="8" t="s">
        <v>623</v>
      </c>
      <c r="D515" s="8" t="s">
        <v>50</v>
      </c>
      <c r="E515" s="8" t="s">
        <v>161</v>
      </c>
      <c r="F515">
        <v>10</v>
      </c>
      <c r="G515">
        <v>2600</v>
      </c>
      <c r="H515">
        <v>0.15</v>
      </c>
      <c r="I515" s="8" t="s">
        <v>17</v>
      </c>
      <c r="J515" s="8" t="s">
        <v>71</v>
      </c>
      <c r="K515" s="8" t="s">
        <v>25</v>
      </c>
      <c r="L515">
        <v>22100</v>
      </c>
      <c r="M515" s="8" t="s">
        <v>82</v>
      </c>
      <c r="N515">
        <v>22100</v>
      </c>
      <c r="O515" s="8" t="s">
        <v>1701</v>
      </c>
      <c r="P515" s="8" t="s">
        <v>1544</v>
      </c>
      <c r="Q515" s="8" t="s">
        <v>1541</v>
      </c>
      <c r="R515" s="8" t="s">
        <v>26</v>
      </c>
      <c r="S515" s="8" t="s">
        <v>1542</v>
      </c>
      <c r="T515" s="8" t="s">
        <v>1578</v>
      </c>
      <c r="U515" s="8" t="s">
        <v>1571</v>
      </c>
      <c r="V515">
        <v>2600</v>
      </c>
      <c r="W515">
        <v>1750</v>
      </c>
      <c r="X515">
        <v>22100</v>
      </c>
      <c r="Y515">
        <v>4600</v>
      </c>
    </row>
    <row r="516" spans="1:25" x14ac:dyDescent="0.3">
      <c r="A516" s="8" t="s">
        <v>831</v>
      </c>
      <c r="B516" s="14">
        <v>46198</v>
      </c>
      <c r="C516" s="8" t="s">
        <v>279</v>
      </c>
      <c r="D516" s="8" t="s">
        <v>29</v>
      </c>
      <c r="E516" s="8" t="s">
        <v>24</v>
      </c>
      <c r="F516">
        <v>5</v>
      </c>
      <c r="G516">
        <v>11200</v>
      </c>
      <c r="H516">
        <v>0.05</v>
      </c>
      <c r="I516" s="8" t="s">
        <v>17</v>
      </c>
      <c r="J516" s="8" t="s">
        <v>71</v>
      </c>
      <c r="K516" s="8" t="s">
        <v>25</v>
      </c>
      <c r="L516">
        <v>53200</v>
      </c>
      <c r="M516" s="8" t="s">
        <v>59</v>
      </c>
      <c r="N516">
        <v>53200</v>
      </c>
      <c r="O516" s="8" t="s">
        <v>1701</v>
      </c>
      <c r="P516" s="8" t="s">
        <v>1560</v>
      </c>
      <c r="Q516" s="8" t="s">
        <v>1559</v>
      </c>
      <c r="R516" s="8" t="s">
        <v>1561</v>
      </c>
      <c r="S516" s="8" t="s">
        <v>1542</v>
      </c>
      <c r="T516" s="8" t="s">
        <v>1574</v>
      </c>
      <c r="U516" s="8" t="s">
        <v>1575</v>
      </c>
      <c r="V516">
        <v>11200</v>
      </c>
      <c r="W516">
        <v>8300</v>
      </c>
      <c r="X516">
        <v>53200</v>
      </c>
      <c r="Y516">
        <v>11700</v>
      </c>
    </row>
    <row r="517" spans="1:25" x14ac:dyDescent="0.3">
      <c r="A517" s="8" t="s">
        <v>832</v>
      </c>
      <c r="B517" s="14">
        <v>46104</v>
      </c>
      <c r="C517" s="8" t="s">
        <v>820</v>
      </c>
      <c r="D517" s="8" t="s">
        <v>15</v>
      </c>
      <c r="E517" s="8" t="s">
        <v>51</v>
      </c>
      <c r="F517">
        <v>2</v>
      </c>
      <c r="G517">
        <v>18500</v>
      </c>
      <c r="H517">
        <v>0.2</v>
      </c>
      <c r="I517" s="8" t="s">
        <v>17</v>
      </c>
      <c r="J517" s="8" t="s">
        <v>31</v>
      </c>
      <c r="K517" s="8" t="s">
        <v>67</v>
      </c>
      <c r="L517">
        <v>29600</v>
      </c>
      <c r="M517" s="8" t="s">
        <v>32</v>
      </c>
      <c r="N517">
        <v>29600</v>
      </c>
      <c r="O517" s="8" t="s">
        <v>1701</v>
      </c>
      <c r="P517" s="8" t="s">
        <v>1543</v>
      </c>
      <c r="Q517" s="8" t="s">
        <v>1541</v>
      </c>
      <c r="R517" s="8" t="s">
        <v>52</v>
      </c>
      <c r="S517" s="8" t="s">
        <v>1542</v>
      </c>
      <c r="T517" s="8" t="s">
        <v>1581</v>
      </c>
      <c r="U517" s="8" t="s">
        <v>1580</v>
      </c>
      <c r="V517">
        <v>18500</v>
      </c>
      <c r="W517">
        <v>13900</v>
      </c>
      <c r="X517">
        <v>29600</v>
      </c>
      <c r="Y517">
        <v>1800</v>
      </c>
    </row>
    <row r="518" spans="1:25" x14ac:dyDescent="0.3">
      <c r="A518" s="8" t="s">
        <v>833</v>
      </c>
      <c r="B518" s="14">
        <v>46128</v>
      </c>
      <c r="C518" s="8" t="s">
        <v>200</v>
      </c>
      <c r="D518" s="8" t="s">
        <v>45</v>
      </c>
      <c r="E518" s="8" t="s">
        <v>46</v>
      </c>
      <c r="F518">
        <v>4</v>
      </c>
      <c r="G518">
        <v>7800</v>
      </c>
      <c r="H518">
        <v>0.2</v>
      </c>
      <c r="I518" s="8" t="s">
        <v>80</v>
      </c>
      <c r="J518" s="8" t="s">
        <v>71</v>
      </c>
      <c r="K518" s="8" t="s">
        <v>1698</v>
      </c>
      <c r="L518">
        <v>24960</v>
      </c>
      <c r="M518" s="8" t="s">
        <v>59</v>
      </c>
      <c r="N518">
        <v>24960</v>
      </c>
      <c r="O518" s="8" t="s">
        <v>1701</v>
      </c>
      <c r="P518" s="8" t="s">
        <v>1547</v>
      </c>
      <c r="Q518" s="8" t="s">
        <v>1541</v>
      </c>
      <c r="R518" s="8" t="s">
        <v>56</v>
      </c>
      <c r="S518" s="8" t="s">
        <v>1542</v>
      </c>
      <c r="T518" s="8" t="s">
        <v>1579</v>
      </c>
      <c r="U518" s="8" t="s">
        <v>1580</v>
      </c>
      <c r="V518">
        <v>7800</v>
      </c>
      <c r="W518">
        <v>5200</v>
      </c>
      <c r="X518">
        <v>0</v>
      </c>
      <c r="Y518">
        <v>-20800</v>
      </c>
    </row>
    <row r="519" spans="1:25" x14ac:dyDescent="0.3">
      <c r="A519" s="8" t="s">
        <v>834</v>
      </c>
      <c r="B519" s="14">
        <v>46070</v>
      </c>
      <c r="C519" s="8" t="s">
        <v>158</v>
      </c>
      <c r="D519" s="8" t="s">
        <v>168</v>
      </c>
      <c r="E519" s="8" t="s">
        <v>183</v>
      </c>
      <c r="F519">
        <v>3</v>
      </c>
      <c r="G519">
        <v>3200</v>
      </c>
      <c r="H519">
        <v>0.15</v>
      </c>
      <c r="I519" s="8" t="s">
        <v>17</v>
      </c>
      <c r="J519" s="8" t="s">
        <v>71</v>
      </c>
      <c r="K519" s="8" t="s">
        <v>1698</v>
      </c>
      <c r="L519">
        <v>8160</v>
      </c>
      <c r="M519" s="8" t="s">
        <v>138</v>
      </c>
      <c r="N519">
        <v>8160</v>
      </c>
      <c r="O519" s="8" t="s">
        <v>1701</v>
      </c>
      <c r="P519" s="8" t="s">
        <v>1540</v>
      </c>
      <c r="Q519" s="8" t="s">
        <v>1541</v>
      </c>
      <c r="R519" s="8" t="s">
        <v>20</v>
      </c>
      <c r="S519" s="8" t="s">
        <v>1542</v>
      </c>
      <c r="T519" s="8" t="s">
        <v>1582</v>
      </c>
      <c r="U519" s="8" t="s">
        <v>1583</v>
      </c>
      <c r="V519">
        <v>3200</v>
      </c>
      <c r="W519">
        <v>2050</v>
      </c>
      <c r="X519">
        <v>8160</v>
      </c>
      <c r="Y519">
        <v>2010</v>
      </c>
    </row>
    <row r="520" spans="1:25" x14ac:dyDescent="0.3">
      <c r="A520" s="8" t="s">
        <v>835</v>
      </c>
      <c r="B520" s="14">
        <v>46043</v>
      </c>
      <c r="C520" s="8" t="s">
        <v>198</v>
      </c>
      <c r="D520" s="8" t="s">
        <v>123</v>
      </c>
      <c r="E520" s="8" t="s">
        <v>46</v>
      </c>
      <c r="F520">
        <v>1</v>
      </c>
      <c r="G520">
        <v>7800</v>
      </c>
      <c r="H520">
        <v>0.15</v>
      </c>
      <c r="I520" s="8" t="s">
        <v>17</v>
      </c>
      <c r="J520" s="8" t="s">
        <v>18</v>
      </c>
      <c r="K520" s="8" t="s">
        <v>55</v>
      </c>
      <c r="L520">
        <v>6630</v>
      </c>
      <c r="M520" s="8" t="s">
        <v>56</v>
      </c>
      <c r="N520">
        <v>6630</v>
      </c>
      <c r="O520" s="8" t="s">
        <v>1701</v>
      </c>
      <c r="P520" s="8" t="s">
        <v>1558</v>
      </c>
      <c r="Q520" s="8" t="s">
        <v>1559</v>
      </c>
      <c r="R520" s="8" t="s">
        <v>138</v>
      </c>
      <c r="S520" s="8" t="s">
        <v>1542</v>
      </c>
      <c r="T520" s="8" t="s">
        <v>1579</v>
      </c>
      <c r="U520" s="8" t="s">
        <v>1580</v>
      </c>
      <c r="V520">
        <v>7800</v>
      </c>
      <c r="W520">
        <v>5200</v>
      </c>
      <c r="X520">
        <v>6630</v>
      </c>
      <c r="Y520">
        <v>1430</v>
      </c>
    </row>
    <row r="521" spans="1:25" x14ac:dyDescent="0.3">
      <c r="A521" s="8" t="s">
        <v>836</v>
      </c>
      <c r="B521" s="14">
        <v>46058</v>
      </c>
      <c r="C521" s="8" t="s">
        <v>473</v>
      </c>
      <c r="D521" s="8" t="s">
        <v>50</v>
      </c>
      <c r="E521" s="8" t="s">
        <v>24</v>
      </c>
      <c r="F521">
        <v>1</v>
      </c>
      <c r="G521">
        <v>10640</v>
      </c>
      <c r="H521">
        <v>0.1</v>
      </c>
      <c r="I521" s="8" t="s">
        <v>17</v>
      </c>
      <c r="J521" s="8" t="s">
        <v>18</v>
      </c>
      <c r="K521" s="8" t="s">
        <v>41</v>
      </c>
      <c r="L521">
        <v>9576</v>
      </c>
      <c r="M521" s="8" t="s">
        <v>52</v>
      </c>
      <c r="N521">
        <v>9576</v>
      </c>
      <c r="O521" s="8" t="s">
        <v>1701</v>
      </c>
      <c r="P521" s="8" t="s">
        <v>1544</v>
      </c>
      <c r="Q521" s="8" t="s">
        <v>1541</v>
      </c>
      <c r="R521" s="8" t="s">
        <v>26</v>
      </c>
      <c r="S521" s="8" t="s">
        <v>1542</v>
      </c>
      <c r="T521" s="8" t="s">
        <v>1574</v>
      </c>
      <c r="U521" s="8" t="s">
        <v>1575</v>
      </c>
      <c r="V521">
        <v>11200</v>
      </c>
      <c r="W521">
        <v>8300</v>
      </c>
      <c r="X521">
        <v>9576</v>
      </c>
      <c r="Y521">
        <v>1276</v>
      </c>
    </row>
    <row r="522" spans="1:25" x14ac:dyDescent="0.3">
      <c r="A522" s="8" t="s">
        <v>837</v>
      </c>
      <c r="B522" s="14">
        <v>46075</v>
      </c>
      <c r="C522" s="8" t="s">
        <v>405</v>
      </c>
      <c r="D522" s="8" t="s">
        <v>15</v>
      </c>
      <c r="E522" s="8" t="s">
        <v>30</v>
      </c>
      <c r="F522">
        <v>8</v>
      </c>
      <c r="G522">
        <v>1890</v>
      </c>
      <c r="H522">
        <v>0.1</v>
      </c>
      <c r="I522" s="8" t="s">
        <v>66</v>
      </c>
      <c r="J522" s="8" t="s">
        <v>18</v>
      </c>
      <c r="K522" s="8" t="s">
        <v>41</v>
      </c>
      <c r="L522">
        <v>13608</v>
      </c>
      <c r="M522" s="8" t="s">
        <v>32</v>
      </c>
      <c r="N522">
        <v>13608</v>
      </c>
      <c r="O522" s="8" t="s">
        <v>1701</v>
      </c>
      <c r="P522" s="8" t="s">
        <v>1543</v>
      </c>
      <c r="Q522" s="8" t="s">
        <v>1541</v>
      </c>
      <c r="R522" s="8" t="s">
        <v>52</v>
      </c>
      <c r="S522" s="8" t="s">
        <v>1542</v>
      </c>
      <c r="T522" s="8" t="s">
        <v>1573</v>
      </c>
      <c r="U522" s="8" t="s">
        <v>1571</v>
      </c>
      <c r="V522">
        <v>1800</v>
      </c>
      <c r="W522">
        <v>1120</v>
      </c>
      <c r="X522">
        <v>0</v>
      </c>
      <c r="Y522">
        <v>-8960</v>
      </c>
    </row>
    <row r="523" spans="1:25" x14ac:dyDescent="0.3">
      <c r="A523" s="8" t="s">
        <v>838</v>
      </c>
      <c r="B523" s="14">
        <v>46126</v>
      </c>
      <c r="C523" s="8" t="s">
        <v>419</v>
      </c>
      <c r="D523" s="8" t="s">
        <v>29</v>
      </c>
      <c r="E523" s="8" t="s">
        <v>16</v>
      </c>
      <c r="F523">
        <v>3</v>
      </c>
      <c r="G523">
        <v>682.5</v>
      </c>
      <c r="H523">
        <v>0.1</v>
      </c>
      <c r="I523" s="8" t="s">
        <v>17</v>
      </c>
      <c r="J523" s="8" t="s">
        <v>31</v>
      </c>
      <c r="K523" s="8" t="s">
        <v>67</v>
      </c>
      <c r="L523">
        <v>1842.75</v>
      </c>
      <c r="M523" s="8" t="s">
        <v>56</v>
      </c>
      <c r="N523">
        <v>1842.75</v>
      </c>
      <c r="O523" s="8" t="s">
        <v>1701</v>
      </c>
      <c r="P523" s="8" t="s">
        <v>1560</v>
      </c>
      <c r="Q523" s="8" t="s">
        <v>1559</v>
      </c>
      <c r="R523" s="8" t="s">
        <v>1561</v>
      </c>
      <c r="S523" s="8" t="s">
        <v>1542</v>
      </c>
      <c r="T523" s="8" t="s">
        <v>1570</v>
      </c>
      <c r="U523" s="8" t="s">
        <v>1571</v>
      </c>
      <c r="V523">
        <v>650</v>
      </c>
      <c r="W523">
        <v>390</v>
      </c>
      <c r="X523">
        <v>1842.75</v>
      </c>
      <c r="Y523">
        <v>672.75</v>
      </c>
    </row>
    <row r="524" spans="1:25" x14ac:dyDescent="0.3">
      <c r="A524" s="8" t="s">
        <v>839</v>
      </c>
      <c r="B524" s="14">
        <v>46033</v>
      </c>
      <c r="C524" s="8" t="s">
        <v>319</v>
      </c>
      <c r="D524" s="8" t="s">
        <v>77</v>
      </c>
      <c r="E524" s="8" t="s">
        <v>24</v>
      </c>
      <c r="F524">
        <v>2</v>
      </c>
      <c r="G524">
        <v>10640</v>
      </c>
      <c r="H524">
        <v>0.1</v>
      </c>
      <c r="I524" s="8" t="s">
        <v>116</v>
      </c>
      <c r="J524" s="8" t="s">
        <v>31</v>
      </c>
      <c r="K524" s="8" t="s">
        <v>41</v>
      </c>
      <c r="L524">
        <v>19152</v>
      </c>
      <c r="M524" s="8" t="s">
        <v>26</v>
      </c>
      <c r="N524">
        <v>19152</v>
      </c>
      <c r="O524" s="8" t="s">
        <v>1701</v>
      </c>
      <c r="P524" s="8" t="s">
        <v>1564</v>
      </c>
      <c r="Q524" s="8" t="s">
        <v>1563</v>
      </c>
      <c r="R524" s="8" t="s">
        <v>1565</v>
      </c>
      <c r="S524" s="8" t="s">
        <v>1542</v>
      </c>
      <c r="T524" s="8" t="s">
        <v>1574</v>
      </c>
      <c r="U524" s="8" t="s">
        <v>1575</v>
      </c>
      <c r="V524">
        <v>11200</v>
      </c>
      <c r="W524">
        <v>8300</v>
      </c>
      <c r="X524">
        <v>0</v>
      </c>
      <c r="Y524">
        <v>-16600</v>
      </c>
    </row>
    <row r="525" spans="1:25" x14ac:dyDescent="0.3">
      <c r="A525" s="8" t="s">
        <v>840</v>
      </c>
      <c r="B525" s="14">
        <v>46135</v>
      </c>
      <c r="C525" s="8" t="s">
        <v>355</v>
      </c>
      <c r="D525" s="8" t="s">
        <v>70</v>
      </c>
      <c r="E525" s="8" t="s">
        <v>135</v>
      </c>
      <c r="F525">
        <v>4</v>
      </c>
      <c r="G525">
        <v>17640</v>
      </c>
      <c r="H525">
        <v>0.05</v>
      </c>
      <c r="I525" s="8" t="s">
        <v>17</v>
      </c>
      <c r="J525" s="8" t="s">
        <v>31</v>
      </c>
      <c r="K525" s="8" t="s">
        <v>25</v>
      </c>
      <c r="L525">
        <v>67032</v>
      </c>
      <c r="M525" s="8" t="s">
        <v>59</v>
      </c>
      <c r="N525">
        <v>67032</v>
      </c>
      <c r="O525" s="8" t="s">
        <v>1701</v>
      </c>
      <c r="P525" s="8" t="s">
        <v>1550</v>
      </c>
      <c r="Q525" s="8" t="s">
        <v>1549</v>
      </c>
      <c r="R525" s="8" t="s">
        <v>32</v>
      </c>
      <c r="S525" s="8" t="s">
        <v>1542</v>
      </c>
      <c r="T525" s="8" t="s">
        <v>1576</v>
      </c>
      <c r="U525" s="8" t="s">
        <v>1575</v>
      </c>
      <c r="V525">
        <v>16800</v>
      </c>
      <c r="W525">
        <v>12600</v>
      </c>
      <c r="X525">
        <v>67032</v>
      </c>
      <c r="Y525">
        <v>16632</v>
      </c>
    </row>
    <row r="526" spans="1:25" x14ac:dyDescent="0.3">
      <c r="A526" s="8" t="s">
        <v>841</v>
      </c>
      <c r="B526" s="14">
        <v>46141</v>
      </c>
      <c r="C526" s="8" t="s">
        <v>167</v>
      </c>
      <c r="D526" s="8" t="s">
        <v>90</v>
      </c>
      <c r="E526" s="8" t="s">
        <v>74</v>
      </c>
      <c r="F526">
        <v>2</v>
      </c>
      <c r="G526">
        <v>2400</v>
      </c>
      <c r="H526">
        <v>0.2</v>
      </c>
      <c r="I526" s="8" t="s">
        <v>17</v>
      </c>
      <c r="J526" s="8" t="s">
        <v>18</v>
      </c>
      <c r="K526" s="8" t="s">
        <v>55</v>
      </c>
      <c r="L526">
        <v>3840</v>
      </c>
      <c r="M526" s="8" t="s">
        <v>138</v>
      </c>
      <c r="N526">
        <v>3840</v>
      </c>
      <c r="O526" s="8" t="s">
        <v>1701</v>
      </c>
      <c r="P526" s="8" t="s">
        <v>1562</v>
      </c>
      <c r="Q526" s="8" t="s">
        <v>1563</v>
      </c>
      <c r="R526" s="8" t="s">
        <v>48</v>
      </c>
      <c r="S526" s="8" t="s">
        <v>1542</v>
      </c>
      <c r="T526" s="8" t="s">
        <v>1584</v>
      </c>
      <c r="U526" s="8" t="s">
        <v>1583</v>
      </c>
      <c r="V526">
        <v>2400</v>
      </c>
      <c r="W526">
        <v>1480</v>
      </c>
      <c r="X526">
        <v>3840</v>
      </c>
      <c r="Y526">
        <v>880</v>
      </c>
    </row>
    <row r="527" spans="1:25" x14ac:dyDescent="0.3">
      <c r="A527" s="8" t="s">
        <v>842</v>
      </c>
      <c r="B527" s="14">
        <v>46138</v>
      </c>
      <c r="C527" s="8" t="s">
        <v>843</v>
      </c>
      <c r="D527" s="8" t="s">
        <v>168</v>
      </c>
      <c r="E527" s="8" t="s">
        <v>30</v>
      </c>
      <c r="F527">
        <v>2</v>
      </c>
      <c r="G527">
        <v>1890</v>
      </c>
      <c r="H527">
        <v>0.2</v>
      </c>
      <c r="I527" s="8" t="s">
        <v>66</v>
      </c>
      <c r="J527" s="8" t="s">
        <v>47</v>
      </c>
      <c r="K527" s="8" t="s">
        <v>67</v>
      </c>
      <c r="L527">
        <v>3024</v>
      </c>
      <c r="M527" s="8" t="s">
        <v>59</v>
      </c>
      <c r="N527">
        <v>3024</v>
      </c>
      <c r="O527" s="8" t="s">
        <v>1701</v>
      </c>
      <c r="P527" s="8" t="s">
        <v>1540</v>
      </c>
      <c r="Q527" s="8" t="s">
        <v>1541</v>
      </c>
      <c r="R527" s="8" t="s">
        <v>20</v>
      </c>
      <c r="S527" s="8" t="s">
        <v>1542</v>
      </c>
      <c r="T527" s="8" t="s">
        <v>1573</v>
      </c>
      <c r="U527" s="8" t="s">
        <v>1571</v>
      </c>
      <c r="V527">
        <v>1800</v>
      </c>
      <c r="W527">
        <v>1120</v>
      </c>
      <c r="X527">
        <v>0</v>
      </c>
      <c r="Y527">
        <v>-2240</v>
      </c>
    </row>
    <row r="528" spans="1:25" x14ac:dyDescent="0.3">
      <c r="A528" s="8" t="s">
        <v>844</v>
      </c>
      <c r="B528" s="14">
        <v>46054</v>
      </c>
      <c r="C528" s="8" t="s">
        <v>845</v>
      </c>
      <c r="D528" s="8" t="s">
        <v>15</v>
      </c>
      <c r="E528" s="8" t="s">
        <v>63</v>
      </c>
      <c r="F528">
        <v>3</v>
      </c>
      <c r="G528">
        <v>2310</v>
      </c>
      <c r="H528">
        <v>0.2</v>
      </c>
      <c r="I528" s="8" t="s">
        <v>17</v>
      </c>
      <c r="J528" s="8" t="s">
        <v>18</v>
      </c>
      <c r="K528" s="8" t="s">
        <v>25</v>
      </c>
      <c r="L528">
        <v>5544</v>
      </c>
      <c r="M528" s="8" t="s">
        <v>32</v>
      </c>
      <c r="N528">
        <v>5544</v>
      </c>
      <c r="O528" s="8" t="s">
        <v>1701</v>
      </c>
      <c r="P528" s="8" t="s">
        <v>1543</v>
      </c>
      <c r="Q528" s="8" t="s">
        <v>1541</v>
      </c>
      <c r="R528" s="8" t="s">
        <v>52</v>
      </c>
      <c r="S528" s="8" t="s">
        <v>1542</v>
      </c>
      <c r="T528" s="8" t="s">
        <v>1572</v>
      </c>
      <c r="U528" s="8" t="s">
        <v>1571</v>
      </c>
      <c r="V528">
        <v>2200</v>
      </c>
      <c r="W528">
        <v>1450</v>
      </c>
      <c r="X528">
        <v>5544</v>
      </c>
      <c r="Y528">
        <v>1194</v>
      </c>
    </row>
    <row r="529" spans="1:25" x14ac:dyDescent="0.3">
      <c r="A529" s="8" t="s">
        <v>846</v>
      </c>
      <c r="B529" s="14">
        <v>46118</v>
      </c>
      <c r="C529" s="8" t="s">
        <v>848</v>
      </c>
      <c r="D529" s="8" t="s">
        <v>29</v>
      </c>
      <c r="E529" s="8" t="s">
        <v>30</v>
      </c>
      <c r="F529">
        <v>5</v>
      </c>
      <c r="G529">
        <v>1800</v>
      </c>
      <c r="H529">
        <v>0.15</v>
      </c>
      <c r="I529" s="8" t="s">
        <v>66</v>
      </c>
      <c r="J529" s="8" t="s">
        <v>71</v>
      </c>
      <c r="K529" s="8" t="s">
        <v>41</v>
      </c>
      <c r="L529">
        <v>7650</v>
      </c>
      <c r="M529" s="8" t="s">
        <v>20</v>
      </c>
      <c r="N529">
        <v>7650</v>
      </c>
      <c r="O529" s="8" t="s">
        <v>1701</v>
      </c>
      <c r="P529" s="8" t="s">
        <v>1560</v>
      </c>
      <c r="Q529" s="8" t="s">
        <v>1559</v>
      </c>
      <c r="R529" s="8" t="s">
        <v>1561</v>
      </c>
      <c r="S529" s="8" t="s">
        <v>1542</v>
      </c>
      <c r="T529" s="8" t="s">
        <v>1573</v>
      </c>
      <c r="U529" s="8" t="s">
        <v>1571</v>
      </c>
      <c r="V529">
        <v>1800</v>
      </c>
      <c r="W529">
        <v>1120</v>
      </c>
      <c r="X529">
        <v>0</v>
      </c>
      <c r="Y529">
        <v>-5600</v>
      </c>
    </row>
    <row r="530" spans="1:25" x14ac:dyDescent="0.3">
      <c r="A530" s="8" t="s">
        <v>849</v>
      </c>
      <c r="B530" s="14">
        <v>46130</v>
      </c>
      <c r="C530" s="8" t="s">
        <v>440</v>
      </c>
      <c r="D530" s="8" t="s">
        <v>45</v>
      </c>
      <c r="E530" s="8" t="s">
        <v>135</v>
      </c>
      <c r="F530">
        <v>4</v>
      </c>
      <c r="G530">
        <v>16800</v>
      </c>
      <c r="H530">
        <v>0.1</v>
      </c>
      <c r="I530" s="8" t="s">
        <v>17</v>
      </c>
      <c r="J530" s="8" t="s">
        <v>71</v>
      </c>
      <c r="K530" s="8" t="s">
        <v>41</v>
      </c>
      <c r="L530">
        <v>60480</v>
      </c>
      <c r="M530" s="8" t="s">
        <v>20</v>
      </c>
      <c r="N530">
        <v>60480</v>
      </c>
      <c r="O530" s="8" t="s">
        <v>1701</v>
      </c>
      <c r="P530" s="8" t="s">
        <v>1547</v>
      </c>
      <c r="Q530" s="8" t="s">
        <v>1541</v>
      </c>
      <c r="R530" s="8" t="s">
        <v>56</v>
      </c>
      <c r="S530" s="8" t="s">
        <v>1542</v>
      </c>
      <c r="T530" s="8" t="s">
        <v>1576</v>
      </c>
      <c r="U530" s="8" t="s">
        <v>1575</v>
      </c>
      <c r="V530">
        <v>16800</v>
      </c>
      <c r="W530">
        <v>12600</v>
      </c>
      <c r="X530">
        <v>60480</v>
      </c>
      <c r="Y530">
        <v>10080</v>
      </c>
    </row>
    <row r="531" spans="1:25" x14ac:dyDescent="0.3">
      <c r="A531" s="8" t="s">
        <v>850</v>
      </c>
      <c r="B531" s="14">
        <v>46182</v>
      </c>
      <c r="C531" s="8" t="s">
        <v>851</v>
      </c>
      <c r="D531" s="8" t="s">
        <v>29</v>
      </c>
      <c r="E531" s="8" t="s">
        <v>135</v>
      </c>
      <c r="F531">
        <v>1</v>
      </c>
      <c r="G531">
        <v>15960</v>
      </c>
      <c r="H531">
        <v>0.1</v>
      </c>
      <c r="I531" s="8" t="s">
        <v>66</v>
      </c>
      <c r="J531" s="8" t="s">
        <v>71</v>
      </c>
      <c r="K531" s="8" t="s">
        <v>41</v>
      </c>
      <c r="L531">
        <v>14364</v>
      </c>
      <c r="M531" s="8" t="s">
        <v>48</v>
      </c>
      <c r="N531">
        <v>14364</v>
      </c>
      <c r="O531" s="8" t="s">
        <v>1701</v>
      </c>
      <c r="P531" s="8" t="s">
        <v>1560</v>
      </c>
      <c r="Q531" s="8" t="s">
        <v>1559</v>
      </c>
      <c r="R531" s="8" t="s">
        <v>1561</v>
      </c>
      <c r="S531" s="8" t="s">
        <v>1542</v>
      </c>
      <c r="T531" s="8" t="s">
        <v>1576</v>
      </c>
      <c r="U531" s="8" t="s">
        <v>1575</v>
      </c>
      <c r="V531">
        <v>16800</v>
      </c>
      <c r="W531">
        <v>12600</v>
      </c>
      <c r="X531">
        <v>0</v>
      </c>
      <c r="Y531">
        <v>-12600</v>
      </c>
    </row>
    <row r="532" spans="1:25" x14ac:dyDescent="0.3">
      <c r="A532" s="8" t="s">
        <v>852</v>
      </c>
      <c r="B532" s="14">
        <v>46191</v>
      </c>
      <c r="C532" s="8" t="s">
        <v>446</v>
      </c>
      <c r="D532" s="8" t="s">
        <v>62</v>
      </c>
      <c r="E532" s="8" t="s">
        <v>46</v>
      </c>
      <c r="F532">
        <v>2</v>
      </c>
      <c r="G532">
        <v>7410</v>
      </c>
      <c r="H532">
        <v>0</v>
      </c>
      <c r="I532" s="8" t="s">
        <v>17</v>
      </c>
      <c r="J532" s="8" t="s">
        <v>47</v>
      </c>
      <c r="K532" s="8" t="s">
        <v>25</v>
      </c>
      <c r="L532">
        <v>14820</v>
      </c>
      <c r="M532" s="8" t="s">
        <v>82</v>
      </c>
      <c r="N532">
        <v>14820</v>
      </c>
      <c r="O532" s="8" t="s">
        <v>1701</v>
      </c>
      <c r="P532" s="8" t="s">
        <v>1551</v>
      </c>
      <c r="Q532" s="8" t="s">
        <v>1549</v>
      </c>
      <c r="R532" s="8" t="s">
        <v>1552</v>
      </c>
      <c r="S532" s="8" t="s">
        <v>1542</v>
      </c>
      <c r="T532" s="8" t="s">
        <v>1579</v>
      </c>
      <c r="U532" s="8" t="s">
        <v>1580</v>
      </c>
      <c r="V532">
        <v>7800</v>
      </c>
      <c r="W532">
        <v>5200</v>
      </c>
      <c r="X532">
        <v>14820</v>
      </c>
      <c r="Y532">
        <v>4420</v>
      </c>
    </row>
    <row r="533" spans="1:25" x14ac:dyDescent="0.3">
      <c r="A533" s="8" t="s">
        <v>853</v>
      </c>
      <c r="B533" s="14">
        <v>46076</v>
      </c>
      <c r="C533" s="8" t="s">
        <v>444</v>
      </c>
      <c r="D533" s="8" t="s">
        <v>168</v>
      </c>
      <c r="E533" s="8" t="s">
        <v>30</v>
      </c>
      <c r="F533">
        <v>1</v>
      </c>
      <c r="G533">
        <v>1800</v>
      </c>
      <c r="H533">
        <v>0.2</v>
      </c>
      <c r="I533" s="8" t="s">
        <v>17</v>
      </c>
      <c r="J533" s="8" t="s">
        <v>47</v>
      </c>
      <c r="K533" s="8" t="s">
        <v>67</v>
      </c>
      <c r="L533">
        <v>1440</v>
      </c>
      <c r="M533" s="8" t="s">
        <v>42</v>
      </c>
      <c r="N533">
        <v>1440</v>
      </c>
      <c r="O533" s="8" t="s">
        <v>1701</v>
      </c>
      <c r="P533" s="8" t="s">
        <v>1540</v>
      </c>
      <c r="Q533" s="8" t="s">
        <v>1541</v>
      </c>
      <c r="R533" s="8" t="s">
        <v>20</v>
      </c>
      <c r="S533" s="8" t="s">
        <v>1542</v>
      </c>
      <c r="T533" s="8" t="s">
        <v>1573</v>
      </c>
      <c r="U533" s="8" t="s">
        <v>1571</v>
      </c>
      <c r="V533">
        <v>1800</v>
      </c>
      <c r="W533">
        <v>1120</v>
      </c>
      <c r="X533">
        <v>1440</v>
      </c>
      <c r="Y533">
        <v>320</v>
      </c>
    </row>
    <row r="534" spans="1:25" x14ac:dyDescent="0.3">
      <c r="A534" s="8" t="s">
        <v>854</v>
      </c>
      <c r="B534" s="14">
        <v>46035</v>
      </c>
      <c r="C534" s="8" t="s">
        <v>148</v>
      </c>
      <c r="D534" s="8" t="s">
        <v>15</v>
      </c>
      <c r="E534" s="8" t="s">
        <v>161</v>
      </c>
      <c r="F534">
        <v>10</v>
      </c>
      <c r="G534">
        <v>2600</v>
      </c>
      <c r="H534">
        <v>0</v>
      </c>
      <c r="I534" s="8" t="s">
        <v>17</v>
      </c>
      <c r="J534" s="8" t="s">
        <v>47</v>
      </c>
      <c r="K534" s="8" t="s">
        <v>1698</v>
      </c>
      <c r="L534">
        <v>26000</v>
      </c>
      <c r="M534" s="8" t="s">
        <v>42</v>
      </c>
      <c r="N534">
        <v>26000</v>
      </c>
      <c r="O534" s="8" t="s">
        <v>1701</v>
      </c>
      <c r="P534" s="8" t="s">
        <v>1543</v>
      </c>
      <c r="Q534" s="8" t="s">
        <v>1541</v>
      </c>
      <c r="R534" s="8" t="s">
        <v>52</v>
      </c>
      <c r="S534" s="8" t="s">
        <v>1542</v>
      </c>
      <c r="T534" s="8" t="s">
        <v>1578</v>
      </c>
      <c r="U534" s="8" t="s">
        <v>1571</v>
      </c>
      <c r="V534">
        <v>2600</v>
      </c>
      <c r="W534">
        <v>1750</v>
      </c>
      <c r="X534">
        <v>26000</v>
      </c>
      <c r="Y534">
        <v>8500</v>
      </c>
    </row>
    <row r="535" spans="1:25" x14ac:dyDescent="0.3">
      <c r="A535" s="8" t="s">
        <v>855</v>
      </c>
      <c r="B535" s="14">
        <v>46099</v>
      </c>
      <c r="C535" s="8" t="s">
        <v>601</v>
      </c>
      <c r="D535" s="8" t="s">
        <v>35</v>
      </c>
      <c r="E535" s="8" t="s">
        <v>36</v>
      </c>
      <c r="F535">
        <v>5</v>
      </c>
      <c r="G535">
        <v>1330</v>
      </c>
      <c r="H535">
        <v>0</v>
      </c>
      <c r="I535" s="8" t="s">
        <v>17</v>
      </c>
      <c r="J535" s="8" t="s">
        <v>18</v>
      </c>
      <c r="K535" s="8" t="s">
        <v>41</v>
      </c>
      <c r="L535">
        <v>6650</v>
      </c>
      <c r="M535" s="8" t="s">
        <v>42</v>
      </c>
      <c r="N535">
        <v>6650</v>
      </c>
      <c r="O535" s="8" t="s">
        <v>1701</v>
      </c>
      <c r="P535" s="8" t="s">
        <v>1548</v>
      </c>
      <c r="Q535" s="8" t="s">
        <v>1549</v>
      </c>
      <c r="R535" s="8" t="s">
        <v>42</v>
      </c>
      <c r="S535" s="8" t="s">
        <v>1542</v>
      </c>
      <c r="T535" s="8" t="s">
        <v>1577</v>
      </c>
      <c r="U535" s="8" t="s">
        <v>1571</v>
      </c>
      <c r="V535">
        <v>1400</v>
      </c>
      <c r="W535">
        <v>780</v>
      </c>
      <c r="X535">
        <v>6650</v>
      </c>
      <c r="Y535">
        <v>2750</v>
      </c>
    </row>
    <row r="536" spans="1:25" x14ac:dyDescent="0.3">
      <c r="A536" s="8" t="s">
        <v>856</v>
      </c>
      <c r="B536" s="14">
        <v>46200</v>
      </c>
      <c r="C536" s="8" t="s">
        <v>857</v>
      </c>
      <c r="D536" s="8" t="s">
        <v>90</v>
      </c>
      <c r="E536" s="8" t="s">
        <v>135</v>
      </c>
      <c r="F536">
        <v>2</v>
      </c>
      <c r="G536">
        <v>16800</v>
      </c>
      <c r="H536">
        <v>0.1</v>
      </c>
      <c r="I536" s="8" t="s">
        <v>17</v>
      </c>
      <c r="J536" s="8" t="s">
        <v>31</v>
      </c>
      <c r="K536" s="8" t="s">
        <v>25</v>
      </c>
      <c r="L536">
        <v>30240</v>
      </c>
      <c r="M536" s="8" t="s">
        <v>82</v>
      </c>
      <c r="N536">
        <v>30240</v>
      </c>
      <c r="O536" s="8" t="s">
        <v>1701</v>
      </c>
      <c r="P536" s="8" t="s">
        <v>1562</v>
      </c>
      <c r="Q536" s="8" t="s">
        <v>1563</v>
      </c>
      <c r="R536" s="8" t="s">
        <v>48</v>
      </c>
      <c r="S536" s="8" t="s">
        <v>1542</v>
      </c>
      <c r="T536" s="8" t="s">
        <v>1576</v>
      </c>
      <c r="U536" s="8" t="s">
        <v>1575</v>
      </c>
      <c r="V536">
        <v>16800</v>
      </c>
      <c r="W536">
        <v>12600</v>
      </c>
      <c r="X536">
        <v>30240</v>
      </c>
      <c r="Y536">
        <v>5040</v>
      </c>
    </row>
    <row r="537" spans="1:25" x14ac:dyDescent="0.3">
      <c r="A537" s="8" t="s">
        <v>858</v>
      </c>
      <c r="B537" s="14">
        <v>46045</v>
      </c>
      <c r="C537" s="8" t="s">
        <v>693</v>
      </c>
      <c r="D537" s="8" t="s">
        <v>62</v>
      </c>
      <c r="E537" s="8" t="s">
        <v>85</v>
      </c>
      <c r="F537">
        <v>3</v>
      </c>
      <c r="G537">
        <v>48500</v>
      </c>
      <c r="H537">
        <v>0.2</v>
      </c>
      <c r="I537" s="8" t="s">
        <v>17</v>
      </c>
      <c r="J537" s="8" t="s">
        <v>47</v>
      </c>
      <c r="K537" s="8" t="s">
        <v>41</v>
      </c>
      <c r="L537">
        <v>116400</v>
      </c>
      <c r="M537" s="8" t="s">
        <v>48</v>
      </c>
      <c r="N537">
        <v>116400</v>
      </c>
      <c r="O537" s="8" t="s">
        <v>1701</v>
      </c>
      <c r="P537" s="8" t="s">
        <v>1551</v>
      </c>
      <c r="Q537" s="8" t="s">
        <v>1549</v>
      </c>
      <c r="R537" s="8" t="s">
        <v>1552</v>
      </c>
      <c r="S537" s="8" t="s">
        <v>1542</v>
      </c>
      <c r="T537" s="8" t="s">
        <v>1585</v>
      </c>
      <c r="U537" s="8" t="s">
        <v>1586</v>
      </c>
      <c r="V537">
        <v>48500</v>
      </c>
      <c r="W537">
        <v>41200</v>
      </c>
      <c r="X537">
        <v>116400</v>
      </c>
      <c r="Y537">
        <v>-7200</v>
      </c>
    </row>
    <row r="538" spans="1:25" x14ac:dyDescent="0.3">
      <c r="A538" s="8" t="s">
        <v>859</v>
      </c>
      <c r="B538" s="14">
        <v>46167</v>
      </c>
      <c r="C538" s="8" t="s">
        <v>448</v>
      </c>
      <c r="D538" s="8" t="s">
        <v>62</v>
      </c>
      <c r="E538" s="8" t="s">
        <v>51</v>
      </c>
      <c r="F538">
        <v>3</v>
      </c>
      <c r="G538">
        <v>18500</v>
      </c>
      <c r="H538">
        <v>0.1</v>
      </c>
      <c r="I538" s="8" t="s">
        <v>17</v>
      </c>
      <c r="J538" s="8" t="s">
        <v>47</v>
      </c>
      <c r="K538" s="8" t="s">
        <v>41</v>
      </c>
      <c r="L538">
        <v>49950</v>
      </c>
      <c r="M538" s="8" t="s">
        <v>20</v>
      </c>
      <c r="N538">
        <v>49950</v>
      </c>
      <c r="O538" s="8" t="s">
        <v>1701</v>
      </c>
      <c r="P538" s="8" t="s">
        <v>1551</v>
      </c>
      <c r="Q538" s="8" t="s">
        <v>1549</v>
      </c>
      <c r="R538" s="8" t="s">
        <v>1552</v>
      </c>
      <c r="S538" s="8" t="s">
        <v>1542</v>
      </c>
      <c r="T538" s="8" t="s">
        <v>1581</v>
      </c>
      <c r="U538" s="8" t="s">
        <v>1580</v>
      </c>
      <c r="V538">
        <v>18500</v>
      </c>
      <c r="W538">
        <v>13900</v>
      </c>
      <c r="X538">
        <v>49950</v>
      </c>
      <c r="Y538">
        <v>8250</v>
      </c>
    </row>
    <row r="539" spans="1:25" x14ac:dyDescent="0.3">
      <c r="A539" s="8" t="s">
        <v>860</v>
      </c>
      <c r="B539" s="14">
        <v>46053</v>
      </c>
      <c r="C539" s="8" t="s">
        <v>252</v>
      </c>
      <c r="D539" s="8" t="s">
        <v>168</v>
      </c>
      <c r="E539" s="8" t="s">
        <v>46</v>
      </c>
      <c r="F539">
        <v>3</v>
      </c>
      <c r="G539">
        <v>7800</v>
      </c>
      <c r="H539">
        <v>0</v>
      </c>
      <c r="I539" s="8" t="s">
        <v>17</v>
      </c>
      <c r="J539" s="8" t="s">
        <v>18</v>
      </c>
      <c r="K539" s="8" t="s">
        <v>1698</v>
      </c>
      <c r="L539">
        <v>23400</v>
      </c>
      <c r="M539" s="8" t="s">
        <v>138</v>
      </c>
      <c r="N539">
        <v>23400</v>
      </c>
      <c r="O539" s="8" t="s">
        <v>1701</v>
      </c>
      <c r="P539" s="8" t="s">
        <v>1540</v>
      </c>
      <c r="Q539" s="8" t="s">
        <v>1541</v>
      </c>
      <c r="R539" s="8" t="s">
        <v>20</v>
      </c>
      <c r="S539" s="8" t="s">
        <v>1542</v>
      </c>
      <c r="T539" s="8" t="s">
        <v>1579</v>
      </c>
      <c r="U539" s="8" t="s">
        <v>1580</v>
      </c>
      <c r="V539">
        <v>7800</v>
      </c>
      <c r="W539">
        <v>5200</v>
      </c>
      <c r="X539">
        <v>23400</v>
      </c>
      <c r="Y539">
        <v>7800</v>
      </c>
    </row>
    <row r="540" spans="1:25" x14ac:dyDescent="0.3">
      <c r="A540" s="8" t="s">
        <v>861</v>
      </c>
      <c r="B540" s="14">
        <v>46112</v>
      </c>
      <c r="C540" s="8" t="s">
        <v>243</v>
      </c>
      <c r="D540" s="8" t="s">
        <v>152</v>
      </c>
      <c r="E540" s="8" t="s">
        <v>74</v>
      </c>
      <c r="F540">
        <v>1</v>
      </c>
      <c r="G540">
        <v>2400</v>
      </c>
      <c r="H540">
        <v>0.2</v>
      </c>
      <c r="I540" s="8" t="s">
        <v>17</v>
      </c>
      <c r="J540" s="8" t="s">
        <v>31</v>
      </c>
      <c r="K540" s="8" t="s">
        <v>67</v>
      </c>
      <c r="L540">
        <v>1920</v>
      </c>
      <c r="M540" s="8" t="s">
        <v>26</v>
      </c>
      <c r="N540">
        <v>1920</v>
      </c>
      <c r="O540" s="8" t="s">
        <v>1701</v>
      </c>
      <c r="P540" s="8" t="s">
        <v>1553</v>
      </c>
      <c r="Q540" s="8" t="s">
        <v>1554</v>
      </c>
      <c r="R540" s="8" t="s">
        <v>59</v>
      </c>
      <c r="S540" s="8" t="s">
        <v>1542</v>
      </c>
      <c r="T540" s="8" t="s">
        <v>1584</v>
      </c>
      <c r="U540" s="8" t="s">
        <v>1583</v>
      </c>
      <c r="V540">
        <v>2400</v>
      </c>
      <c r="W540">
        <v>1480</v>
      </c>
      <c r="X540">
        <v>1920</v>
      </c>
      <c r="Y540">
        <v>440</v>
      </c>
    </row>
    <row r="541" spans="1:25" x14ac:dyDescent="0.3">
      <c r="A541" s="8" t="s">
        <v>862</v>
      </c>
      <c r="B541" s="14">
        <v>46152</v>
      </c>
      <c r="C541" s="8" t="s">
        <v>411</v>
      </c>
      <c r="D541" s="8" t="s">
        <v>152</v>
      </c>
      <c r="E541" s="8" t="s">
        <v>36</v>
      </c>
      <c r="F541">
        <v>4</v>
      </c>
      <c r="G541">
        <v>1400</v>
      </c>
      <c r="H541">
        <v>0</v>
      </c>
      <c r="I541" s="8" t="s">
        <v>17</v>
      </c>
      <c r="J541" s="8" t="s">
        <v>31</v>
      </c>
      <c r="K541" s="8" t="s">
        <v>41</v>
      </c>
      <c r="L541">
        <v>5600</v>
      </c>
      <c r="M541" s="8" t="s">
        <v>52</v>
      </c>
      <c r="N541">
        <v>5600</v>
      </c>
      <c r="O541" s="8" t="s">
        <v>1701</v>
      </c>
      <c r="P541" s="8" t="s">
        <v>1553</v>
      </c>
      <c r="Q541" s="8" t="s">
        <v>1554</v>
      </c>
      <c r="R541" s="8" t="s">
        <v>59</v>
      </c>
      <c r="S541" s="8" t="s">
        <v>1542</v>
      </c>
      <c r="T541" s="8" t="s">
        <v>1577</v>
      </c>
      <c r="U541" s="8" t="s">
        <v>1571</v>
      </c>
      <c r="V541">
        <v>1400</v>
      </c>
      <c r="W541">
        <v>780</v>
      </c>
      <c r="X541">
        <v>5600</v>
      </c>
      <c r="Y541">
        <v>2480</v>
      </c>
    </row>
    <row r="542" spans="1:25" x14ac:dyDescent="0.3">
      <c r="A542" s="8" t="s">
        <v>863</v>
      </c>
      <c r="B542" s="14">
        <v>46107</v>
      </c>
      <c r="C542" s="8" t="s">
        <v>167</v>
      </c>
      <c r="D542" s="8" t="s">
        <v>90</v>
      </c>
      <c r="E542" s="8" t="s">
        <v>36</v>
      </c>
      <c r="F542">
        <v>8</v>
      </c>
      <c r="G542">
        <v>1330</v>
      </c>
      <c r="H542">
        <v>0.1</v>
      </c>
      <c r="I542" s="8" t="s">
        <v>80</v>
      </c>
      <c r="J542" s="8" t="s">
        <v>18</v>
      </c>
      <c r="K542" s="8" t="s">
        <v>41</v>
      </c>
      <c r="L542">
        <v>9576</v>
      </c>
      <c r="M542" s="8" t="s">
        <v>56</v>
      </c>
      <c r="N542">
        <v>9576</v>
      </c>
      <c r="O542" s="8" t="s">
        <v>1701</v>
      </c>
      <c r="P542" s="8" t="s">
        <v>1562</v>
      </c>
      <c r="Q542" s="8" t="s">
        <v>1563</v>
      </c>
      <c r="R542" s="8" t="s">
        <v>48</v>
      </c>
      <c r="S542" s="8" t="s">
        <v>1542</v>
      </c>
      <c r="T542" s="8" t="s">
        <v>1577</v>
      </c>
      <c r="U542" s="8" t="s">
        <v>1571</v>
      </c>
      <c r="V542">
        <v>1400</v>
      </c>
      <c r="W542">
        <v>780</v>
      </c>
      <c r="X542">
        <v>0</v>
      </c>
      <c r="Y542">
        <v>-6240</v>
      </c>
    </row>
    <row r="543" spans="1:25" x14ac:dyDescent="0.3">
      <c r="A543" s="8" t="s">
        <v>864</v>
      </c>
      <c r="B543" s="14">
        <v>46160</v>
      </c>
      <c r="C543" s="8" t="s">
        <v>115</v>
      </c>
      <c r="D543" s="8" t="s">
        <v>77</v>
      </c>
      <c r="E543" s="8" t="s">
        <v>36</v>
      </c>
      <c r="F543">
        <v>2</v>
      </c>
      <c r="G543">
        <v>1330</v>
      </c>
      <c r="H543">
        <v>0.1</v>
      </c>
      <c r="I543" s="8" t="s">
        <v>80</v>
      </c>
      <c r="J543" s="8" t="s">
        <v>47</v>
      </c>
      <c r="K543" s="8" t="s">
        <v>25</v>
      </c>
      <c r="L543">
        <v>2394</v>
      </c>
      <c r="M543" s="8" t="s">
        <v>82</v>
      </c>
      <c r="N543">
        <v>2394</v>
      </c>
      <c r="O543" s="8" t="s">
        <v>1701</v>
      </c>
      <c r="P543" s="8" t="s">
        <v>1564</v>
      </c>
      <c r="Q543" s="8" t="s">
        <v>1563</v>
      </c>
      <c r="R543" s="8" t="s">
        <v>1565</v>
      </c>
      <c r="S543" s="8" t="s">
        <v>1542</v>
      </c>
      <c r="T543" s="8" t="s">
        <v>1577</v>
      </c>
      <c r="U543" s="8" t="s">
        <v>1571</v>
      </c>
      <c r="V543">
        <v>1400</v>
      </c>
      <c r="W543">
        <v>780</v>
      </c>
      <c r="X543">
        <v>0</v>
      </c>
      <c r="Y543">
        <v>-1560</v>
      </c>
    </row>
    <row r="544" spans="1:25" x14ac:dyDescent="0.3">
      <c r="A544" s="8" t="s">
        <v>865</v>
      </c>
      <c r="B544" s="14">
        <v>46027</v>
      </c>
      <c r="C544" s="8" t="s">
        <v>559</v>
      </c>
      <c r="D544" s="8" t="s">
        <v>23</v>
      </c>
      <c r="E544" s="8" t="s">
        <v>183</v>
      </c>
      <c r="F544">
        <v>3</v>
      </c>
      <c r="G544">
        <v>3200</v>
      </c>
      <c r="H544">
        <v>0.05</v>
      </c>
      <c r="I544" s="8" t="s">
        <v>17</v>
      </c>
      <c r="J544" s="8" t="s">
        <v>31</v>
      </c>
      <c r="K544" s="8" t="s">
        <v>67</v>
      </c>
      <c r="L544">
        <v>9120</v>
      </c>
      <c r="M544" s="8" t="s">
        <v>32</v>
      </c>
      <c r="N544">
        <v>9120</v>
      </c>
      <c r="O544" s="8" t="s">
        <v>1701</v>
      </c>
      <c r="P544" s="8" t="s">
        <v>1545</v>
      </c>
      <c r="Q544" s="8" t="s">
        <v>1541</v>
      </c>
      <c r="R544" s="8" t="s">
        <v>1546</v>
      </c>
      <c r="S544" s="8" t="s">
        <v>1542</v>
      </c>
      <c r="T544" s="8" t="s">
        <v>1582</v>
      </c>
      <c r="U544" s="8" t="s">
        <v>1583</v>
      </c>
      <c r="V544">
        <v>3200</v>
      </c>
      <c r="W544">
        <v>2050</v>
      </c>
      <c r="X544">
        <v>9120</v>
      </c>
      <c r="Y544">
        <v>2970</v>
      </c>
    </row>
    <row r="545" spans="1:25" x14ac:dyDescent="0.3">
      <c r="A545" s="8" t="s">
        <v>866</v>
      </c>
      <c r="B545" s="14">
        <v>46183</v>
      </c>
      <c r="C545" s="8" t="s">
        <v>867</v>
      </c>
      <c r="D545" s="8" t="s">
        <v>152</v>
      </c>
      <c r="E545" s="8" t="s">
        <v>30</v>
      </c>
      <c r="F545">
        <v>3</v>
      </c>
      <c r="G545">
        <v>1710</v>
      </c>
      <c r="H545">
        <v>0.1</v>
      </c>
      <c r="I545" s="8" t="s">
        <v>17</v>
      </c>
      <c r="J545" s="8" t="s">
        <v>47</v>
      </c>
      <c r="K545" s="8" t="s">
        <v>1698</v>
      </c>
      <c r="L545">
        <v>4617</v>
      </c>
      <c r="M545" s="8" t="s">
        <v>26</v>
      </c>
      <c r="N545">
        <v>4617</v>
      </c>
      <c r="O545" s="8" t="s">
        <v>1701</v>
      </c>
      <c r="P545" s="8" t="s">
        <v>1553</v>
      </c>
      <c r="Q545" s="8" t="s">
        <v>1554</v>
      </c>
      <c r="R545" s="8" t="s">
        <v>59</v>
      </c>
      <c r="S545" s="8" t="s">
        <v>1542</v>
      </c>
      <c r="T545" s="8" t="s">
        <v>1573</v>
      </c>
      <c r="U545" s="8" t="s">
        <v>1571</v>
      </c>
      <c r="V545">
        <v>1800</v>
      </c>
      <c r="W545">
        <v>1120</v>
      </c>
      <c r="X545">
        <v>4617</v>
      </c>
      <c r="Y545">
        <v>1257</v>
      </c>
    </row>
    <row r="546" spans="1:25" x14ac:dyDescent="0.3">
      <c r="A546" s="8" t="s">
        <v>868</v>
      </c>
      <c r="B546" s="14">
        <v>46128</v>
      </c>
      <c r="C546" s="8" t="s">
        <v>566</v>
      </c>
      <c r="D546" s="8" t="s">
        <v>15</v>
      </c>
      <c r="E546" s="8" t="s">
        <v>46</v>
      </c>
      <c r="F546">
        <v>5</v>
      </c>
      <c r="G546">
        <v>7800</v>
      </c>
      <c r="H546">
        <v>0.05</v>
      </c>
      <c r="I546" s="8" t="s">
        <v>17</v>
      </c>
      <c r="J546" s="8" t="s">
        <v>47</v>
      </c>
      <c r="K546" s="8" t="s">
        <v>41</v>
      </c>
      <c r="L546">
        <v>37050</v>
      </c>
      <c r="M546" s="8" t="s">
        <v>42</v>
      </c>
      <c r="N546">
        <v>37050</v>
      </c>
      <c r="O546" s="8" t="s">
        <v>1701</v>
      </c>
      <c r="P546" s="8" t="s">
        <v>1543</v>
      </c>
      <c r="Q546" s="8" t="s">
        <v>1541</v>
      </c>
      <c r="R546" s="8" t="s">
        <v>52</v>
      </c>
      <c r="S546" s="8" t="s">
        <v>1542</v>
      </c>
      <c r="T546" s="8" t="s">
        <v>1579</v>
      </c>
      <c r="U546" s="8" t="s">
        <v>1580</v>
      </c>
      <c r="V546">
        <v>7800</v>
      </c>
      <c r="W546">
        <v>5200</v>
      </c>
      <c r="X546">
        <v>37050</v>
      </c>
      <c r="Y546">
        <v>11050</v>
      </c>
    </row>
    <row r="547" spans="1:25" x14ac:dyDescent="0.3">
      <c r="A547" s="8" t="s">
        <v>869</v>
      </c>
      <c r="B547" s="14">
        <v>46118</v>
      </c>
      <c r="C547" s="8" t="s">
        <v>407</v>
      </c>
      <c r="D547" s="8" t="s">
        <v>29</v>
      </c>
      <c r="E547" s="8" t="s">
        <v>16</v>
      </c>
      <c r="F547">
        <v>4</v>
      </c>
      <c r="G547">
        <v>617.5</v>
      </c>
      <c r="H547">
        <v>0</v>
      </c>
      <c r="I547" s="8" t="s">
        <v>17</v>
      </c>
      <c r="J547" s="8" t="s">
        <v>71</v>
      </c>
      <c r="K547" s="8" t="s">
        <v>41</v>
      </c>
      <c r="L547">
        <v>2470</v>
      </c>
      <c r="M547" s="8" t="s">
        <v>138</v>
      </c>
      <c r="N547">
        <v>2470</v>
      </c>
      <c r="O547" s="8" t="s">
        <v>1701</v>
      </c>
      <c r="P547" s="8" t="s">
        <v>1560</v>
      </c>
      <c r="Q547" s="8" t="s">
        <v>1559</v>
      </c>
      <c r="R547" s="8" t="s">
        <v>1561</v>
      </c>
      <c r="S547" s="8" t="s">
        <v>1542</v>
      </c>
      <c r="T547" s="8" t="s">
        <v>1570</v>
      </c>
      <c r="U547" s="8" t="s">
        <v>1571</v>
      </c>
      <c r="V547">
        <v>650</v>
      </c>
      <c r="W547">
        <v>390</v>
      </c>
      <c r="X547">
        <v>2470</v>
      </c>
      <c r="Y547">
        <v>910</v>
      </c>
    </row>
    <row r="548" spans="1:25" x14ac:dyDescent="0.3">
      <c r="A548" s="8" t="s">
        <v>870</v>
      </c>
      <c r="B548" s="14">
        <v>46146</v>
      </c>
      <c r="C548" s="8" t="s">
        <v>326</v>
      </c>
      <c r="D548" s="8" t="s">
        <v>123</v>
      </c>
      <c r="E548" s="8" t="s">
        <v>51</v>
      </c>
      <c r="F548">
        <v>2</v>
      </c>
      <c r="G548">
        <v>17575</v>
      </c>
      <c r="H548">
        <v>0.05</v>
      </c>
      <c r="I548" s="8" t="s">
        <v>17</v>
      </c>
      <c r="J548" s="8" t="s">
        <v>71</v>
      </c>
      <c r="K548" s="8" t="s">
        <v>1698</v>
      </c>
      <c r="L548">
        <v>33392.5</v>
      </c>
      <c r="M548" s="8" t="s">
        <v>56</v>
      </c>
      <c r="N548">
        <v>33392.5</v>
      </c>
      <c r="O548" s="8" t="s">
        <v>1701</v>
      </c>
      <c r="P548" s="8" t="s">
        <v>1558</v>
      </c>
      <c r="Q548" s="8" t="s">
        <v>1559</v>
      </c>
      <c r="R548" s="8" t="s">
        <v>138</v>
      </c>
      <c r="S548" s="8" t="s">
        <v>1542</v>
      </c>
      <c r="T548" s="8" t="s">
        <v>1581</v>
      </c>
      <c r="U548" s="8" t="s">
        <v>1580</v>
      </c>
      <c r="V548">
        <v>18500</v>
      </c>
      <c r="W548">
        <v>13900</v>
      </c>
      <c r="X548">
        <v>33392.5</v>
      </c>
      <c r="Y548">
        <v>5592.5</v>
      </c>
    </row>
    <row r="549" spans="1:25" x14ac:dyDescent="0.3">
      <c r="A549" s="8" t="s">
        <v>871</v>
      </c>
      <c r="B549" s="14">
        <v>46122</v>
      </c>
      <c r="C549" s="8" t="s">
        <v>346</v>
      </c>
      <c r="D549" s="8" t="s">
        <v>123</v>
      </c>
      <c r="E549" s="8" t="s">
        <v>51</v>
      </c>
      <c r="F549">
        <v>1</v>
      </c>
      <c r="G549">
        <v>17575</v>
      </c>
      <c r="H549">
        <v>0.05</v>
      </c>
      <c r="I549" s="8" t="s">
        <v>80</v>
      </c>
      <c r="J549" s="8" t="s">
        <v>18</v>
      </c>
      <c r="K549" s="8" t="s">
        <v>1698</v>
      </c>
      <c r="L549">
        <v>16696.25</v>
      </c>
      <c r="M549" s="8" t="s">
        <v>42</v>
      </c>
      <c r="N549">
        <v>16696.25</v>
      </c>
      <c r="O549" s="8" t="s">
        <v>1701</v>
      </c>
      <c r="P549" s="8" t="s">
        <v>1558</v>
      </c>
      <c r="Q549" s="8" t="s">
        <v>1559</v>
      </c>
      <c r="R549" s="8" t="s">
        <v>138</v>
      </c>
      <c r="S549" s="8" t="s">
        <v>1542</v>
      </c>
      <c r="T549" s="8" t="s">
        <v>1581</v>
      </c>
      <c r="U549" s="8" t="s">
        <v>1580</v>
      </c>
      <c r="V549">
        <v>18500</v>
      </c>
      <c r="W549">
        <v>13900</v>
      </c>
      <c r="X549">
        <v>0</v>
      </c>
      <c r="Y549">
        <v>-13900</v>
      </c>
    </row>
    <row r="550" spans="1:25" x14ac:dyDescent="0.3">
      <c r="A550" s="8" t="s">
        <v>872</v>
      </c>
      <c r="B550" s="14">
        <v>46156</v>
      </c>
      <c r="C550" s="8" t="s">
        <v>44</v>
      </c>
      <c r="D550" s="8" t="s">
        <v>29</v>
      </c>
      <c r="E550" s="8" t="s">
        <v>74</v>
      </c>
      <c r="F550">
        <v>4</v>
      </c>
      <c r="G550">
        <v>2400</v>
      </c>
      <c r="H550">
        <v>0</v>
      </c>
      <c r="I550" s="8" t="s">
        <v>17</v>
      </c>
      <c r="J550" s="8" t="s">
        <v>47</v>
      </c>
      <c r="K550" s="8" t="s">
        <v>41</v>
      </c>
      <c r="L550">
        <v>9600</v>
      </c>
      <c r="M550" s="8" t="s">
        <v>52</v>
      </c>
      <c r="N550">
        <v>9600</v>
      </c>
      <c r="O550" s="8" t="s">
        <v>1701</v>
      </c>
      <c r="P550" s="8" t="s">
        <v>1560</v>
      </c>
      <c r="Q550" s="8" t="s">
        <v>1559</v>
      </c>
      <c r="R550" s="8" t="s">
        <v>1561</v>
      </c>
      <c r="S550" s="8" t="s">
        <v>1542</v>
      </c>
      <c r="T550" s="8" t="s">
        <v>1584</v>
      </c>
      <c r="U550" s="8" t="s">
        <v>1583</v>
      </c>
      <c r="V550">
        <v>2400</v>
      </c>
      <c r="W550">
        <v>1480</v>
      </c>
      <c r="X550">
        <v>9600</v>
      </c>
      <c r="Y550">
        <v>3680</v>
      </c>
    </row>
    <row r="551" spans="1:25" x14ac:dyDescent="0.3">
      <c r="A551" s="8" t="s">
        <v>873</v>
      </c>
      <c r="B551" s="14">
        <v>46096</v>
      </c>
      <c r="C551" s="8" t="s">
        <v>709</v>
      </c>
      <c r="D551" s="8" t="s">
        <v>45</v>
      </c>
      <c r="E551" s="8" t="s">
        <v>51</v>
      </c>
      <c r="F551">
        <v>2</v>
      </c>
      <c r="G551">
        <v>18500</v>
      </c>
      <c r="H551">
        <v>0.1</v>
      </c>
      <c r="I551" s="8" t="s">
        <v>17</v>
      </c>
      <c r="J551" s="8" t="s">
        <v>71</v>
      </c>
      <c r="K551" s="8" t="s">
        <v>67</v>
      </c>
      <c r="L551">
        <v>33300</v>
      </c>
      <c r="M551" s="8" t="s">
        <v>42</v>
      </c>
      <c r="N551">
        <v>33300</v>
      </c>
      <c r="O551" s="8" t="s">
        <v>1701</v>
      </c>
      <c r="P551" s="8" t="s">
        <v>1547</v>
      </c>
      <c r="Q551" s="8" t="s">
        <v>1541</v>
      </c>
      <c r="R551" s="8" t="s">
        <v>56</v>
      </c>
      <c r="S551" s="8" t="s">
        <v>1542</v>
      </c>
      <c r="T551" s="8" t="s">
        <v>1581</v>
      </c>
      <c r="U551" s="8" t="s">
        <v>1580</v>
      </c>
      <c r="V551">
        <v>18500</v>
      </c>
      <c r="W551">
        <v>13900</v>
      </c>
      <c r="X551">
        <v>33300</v>
      </c>
      <c r="Y551">
        <v>5500</v>
      </c>
    </row>
    <row r="552" spans="1:25" x14ac:dyDescent="0.3">
      <c r="A552" s="8" t="s">
        <v>874</v>
      </c>
      <c r="B552" s="14">
        <v>46026</v>
      </c>
      <c r="C552" s="8" t="s">
        <v>473</v>
      </c>
      <c r="D552" s="8" t="s">
        <v>40</v>
      </c>
      <c r="E552" s="8" t="s">
        <v>51</v>
      </c>
      <c r="F552">
        <v>2</v>
      </c>
      <c r="G552">
        <v>18500</v>
      </c>
      <c r="H552">
        <v>0</v>
      </c>
      <c r="I552" s="8" t="s">
        <v>17</v>
      </c>
      <c r="J552" s="8" t="s">
        <v>71</v>
      </c>
      <c r="K552" s="8" t="s">
        <v>67</v>
      </c>
      <c r="L552">
        <v>37000</v>
      </c>
      <c r="M552" s="8" t="s">
        <v>48</v>
      </c>
      <c r="N552">
        <v>37000</v>
      </c>
      <c r="O552" s="8" t="s">
        <v>1701</v>
      </c>
      <c r="P552" s="8" t="s">
        <v>1555</v>
      </c>
      <c r="Q552" s="8" t="s">
        <v>1554</v>
      </c>
      <c r="R552" s="8" t="s">
        <v>82</v>
      </c>
      <c r="S552" s="8" t="s">
        <v>1542</v>
      </c>
      <c r="T552" s="8" t="s">
        <v>1581</v>
      </c>
      <c r="U552" s="8" t="s">
        <v>1580</v>
      </c>
      <c r="V552">
        <v>18500</v>
      </c>
      <c r="W552">
        <v>13900</v>
      </c>
      <c r="X552">
        <v>37000</v>
      </c>
      <c r="Y552">
        <v>9200</v>
      </c>
    </row>
    <row r="553" spans="1:25" x14ac:dyDescent="0.3">
      <c r="A553" s="8" t="s">
        <v>875</v>
      </c>
      <c r="B553" s="14">
        <v>46085</v>
      </c>
      <c r="C553" s="8" t="s">
        <v>269</v>
      </c>
      <c r="D553" s="8" t="s">
        <v>50</v>
      </c>
      <c r="E553" s="8" t="s">
        <v>63</v>
      </c>
      <c r="F553">
        <v>2</v>
      </c>
      <c r="G553">
        <v>2090</v>
      </c>
      <c r="H553">
        <v>0.05</v>
      </c>
      <c r="I553" s="8" t="s">
        <v>17</v>
      </c>
      <c r="J553" s="8" t="s">
        <v>31</v>
      </c>
      <c r="K553" s="8" t="s">
        <v>55</v>
      </c>
      <c r="L553">
        <v>3971</v>
      </c>
      <c r="M553" s="8" t="s">
        <v>20</v>
      </c>
      <c r="N553">
        <v>3971</v>
      </c>
      <c r="O553" s="8" t="s">
        <v>1701</v>
      </c>
      <c r="P553" s="8" t="s">
        <v>1544</v>
      </c>
      <c r="Q553" s="8" t="s">
        <v>1541</v>
      </c>
      <c r="R553" s="8" t="s">
        <v>26</v>
      </c>
      <c r="S553" s="8" t="s">
        <v>1542</v>
      </c>
      <c r="T553" s="8" t="s">
        <v>1572</v>
      </c>
      <c r="U553" s="8" t="s">
        <v>1571</v>
      </c>
      <c r="V553">
        <v>2200</v>
      </c>
      <c r="W553">
        <v>1450</v>
      </c>
      <c r="X553">
        <v>3971</v>
      </c>
      <c r="Y553">
        <v>1071</v>
      </c>
    </row>
    <row r="554" spans="1:25" x14ac:dyDescent="0.3">
      <c r="A554" s="8" t="s">
        <v>876</v>
      </c>
      <c r="B554" s="14">
        <v>46050</v>
      </c>
      <c r="C554" s="8" t="s">
        <v>877</v>
      </c>
      <c r="D554" s="8" t="s">
        <v>70</v>
      </c>
      <c r="E554" s="8" t="s">
        <v>16</v>
      </c>
      <c r="F554">
        <v>1</v>
      </c>
      <c r="G554">
        <v>682.5</v>
      </c>
      <c r="H554">
        <v>0.1</v>
      </c>
      <c r="I554" s="8" t="s">
        <v>17</v>
      </c>
      <c r="J554" s="8" t="s">
        <v>47</v>
      </c>
      <c r="K554" s="8" t="s">
        <v>67</v>
      </c>
      <c r="L554">
        <v>614.25</v>
      </c>
      <c r="M554" s="8" t="s">
        <v>52</v>
      </c>
      <c r="N554">
        <v>614.25</v>
      </c>
      <c r="O554" s="8" t="s">
        <v>1701</v>
      </c>
      <c r="P554" s="8" t="s">
        <v>1550</v>
      </c>
      <c r="Q554" s="8" t="s">
        <v>1549</v>
      </c>
      <c r="R554" s="8" t="s">
        <v>32</v>
      </c>
      <c r="S554" s="8" t="s">
        <v>1542</v>
      </c>
      <c r="T554" s="8" t="s">
        <v>1570</v>
      </c>
      <c r="U554" s="8" t="s">
        <v>1571</v>
      </c>
      <c r="V554">
        <v>650</v>
      </c>
      <c r="W554">
        <v>390</v>
      </c>
      <c r="X554">
        <v>614.25</v>
      </c>
      <c r="Y554">
        <v>224.25</v>
      </c>
    </row>
    <row r="555" spans="1:25" x14ac:dyDescent="0.3">
      <c r="A555" s="8" t="s">
        <v>878</v>
      </c>
      <c r="B555" s="14">
        <v>46194</v>
      </c>
      <c r="C555" s="8" t="s">
        <v>798</v>
      </c>
      <c r="D555" s="8" t="s">
        <v>29</v>
      </c>
      <c r="E555" s="8" t="s">
        <v>51</v>
      </c>
      <c r="F555">
        <v>1</v>
      </c>
      <c r="G555">
        <v>17575</v>
      </c>
      <c r="H555">
        <v>0.1</v>
      </c>
      <c r="I555" s="8" t="s">
        <v>17</v>
      </c>
      <c r="J555" s="8" t="s">
        <v>31</v>
      </c>
      <c r="K555" s="8" t="s">
        <v>55</v>
      </c>
      <c r="L555">
        <v>15817.5</v>
      </c>
      <c r="M555" s="8" t="s">
        <v>26</v>
      </c>
      <c r="N555">
        <v>15817.5</v>
      </c>
      <c r="O555" s="8" t="s">
        <v>1701</v>
      </c>
      <c r="P555" s="8" t="s">
        <v>1560</v>
      </c>
      <c r="Q555" s="8" t="s">
        <v>1559</v>
      </c>
      <c r="R555" s="8" t="s">
        <v>1561</v>
      </c>
      <c r="S555" s="8" t="s">
        <v>1542</v>
      </c>
      <c r="T555" s="8" t="s">
        <v>1581</v>
      </c>
      <c r="U555" s="8" t="s">
        <v>1580</v>
      </c>
      <c r="V555">
        <v>18500</v>
      </c>
      <c r="W555">
        <v>13900</v>
      </c>
      <c r="X555">
        <v>15817.5</v>
      </c>
      <c r="Y555">
        <v>1917.5</v>
      </c>
    </row>
    <row r="556" spans="1:25" x14ac:dyDescent="0.3">
      <c r="A556" s="8" t="s">
        <v>879</v>
      </c>
      <c r="B556" s="14">
        <v>46198</v>
      </c>
      <c r="C556" s="8" t="s">
        <v>475</v>
      </c>
      <c r="D556" s="8" t="s">
        <v>95</v>
      </c>
      <c r="E556" s="8" t="s">
        <v>85</v>
      </c>
      <c r="F556">
        <v>4</v>
      </c>
      <c r="G556">
        <v>48500</v>
      </c>
      <c r="H556">
        <v>0.1</v>
      </c>
      <c r="I556" s="8" t="s">
        <v>17</v>
      </c>
      <c r="J556" s="8" t="s">
        <v>47</v>
      </c>
      <c r="K556" s="8" t="s">
        <v>67</v>
      </c>
      <c r="L556">
        <v>174600</v>
      </c>
      <c r="M556" s="8" t="s">
        <v>32</v>
      </c>
      <c r="N556">
        <v>174600</v>
      </c>
      <c r="O556" s="8" t="s">
        <v>1701</v>
      </c>
      <c r="P556" s="8" t="s">
        <v>1556</v>
      </c>
      <c r="Q556" s="8" t="s">
        <v>1554</v>
      </c>
      <c r="R556" s="8" t="s">
        <v>1557</v>
      </c>
      <c r="S556" s="8" t="s">
        <v>1542</v>
      </c>
      <c r="T556" s="8" t="s">
        <v>1585</v>
      </c>
      <c r="U556" s="8" t="s">
        <v>1586</v>
      </c>
      <c r="V556">
        <v>48500</v>
      </c>
      <c r="W556">
        <v>41200</v>
      </c>
      <c r="X556">
        <v>174600</v>
      </c>
      <c r="Y556">
        <v>9800</v>
      </c>
    </row>
    <row r="557" spans="1:25" x14ac:dyDescent="0.3">
      <c r="A557" s="8" t="s">
        <v>880</v>
      </c>
      <c r="B557" s="14">
        <v>46069</v>
      </c>
      <c r="C557" s="8" t="s">
        <v>690</v>
      </c>
      <c r="D557" s="8" t="s">
        <v>123</v>
      </c>
      <c r="E557" s="8" t="s">
        <v>74</v>
      </c>
      <c r="G557">
        <v>2280</v>
      </c>
      <c r="H557">
        <v>0.05</v>
      </c>
      <c r="I557" s="8" t="s">
        <v>17</v>
      </c>
      <c r="J557" s="8" t="s">
        <v>18</v>
      </c>
      <c r="K557" s="8" t="s">
        <v>1698</v>
      </c>
      <c r="L557">
        <v>4332</v>
      </c>
      <c r="M557" s="8" t="s">
        <v>138</v>
      </c>
      <c r="O557" s="8" t="s">
        <v>1703</v>
      </c>
      <c r="P557" s="8" t="s">
        <v>1558</v>
      </c>
      <c r="Q557" s="8" t="s">
        <v>1559</v>
      </c>
      <c r="R557" s="8" t="s">
        <v>138</v>
      </c>
      <c r="S557" s="8" t="s">
        <v>1542</v>
      </c>
      <c r="T557" s="8" t="s">
        <v>1584</v>
      </c>
      <c r="U557" s="8" t="s">
        <v>1583</v>
      </c>
      <c r="V557">
        <v>2400</v>
      </c>
      <c r="W557">
        <v>1480</v>
      </c>
      <c r="X557">
        <v>0</v>
      </c>
      <c r="Y557">
        <v>0</v>
      </c>
    </row>
    <row r="558" spans="1:25" x14ac:dyDescent="0.3">
      <c r="A558" s="8" t="s">
        <v>881</v>
      </c>
      <c r="B558" s="14">
        <v>46145</v>
      </c>
      <c r="C558" s="8" t="s">
        <v>177</v>
      </c>
      <c r="D558" s="8" t="s">
        <v>62</v>
      </c>
      <c r="E558" s="8" t="s">
        <v>30</v>
      </c>
      <c r="F558">
        <v>1</v>
      </c>
      <c r="G558">
        <v>1800</v>
      </c>
      <c r="H558">
        <v>0.05</v>
      </c>
      <c r="I558" s="8" t="s">
        <v>17</v>
      </c>
      <c r="J558" s="8" t="s">
        <v>18</v>
      </c>
      <c r="K558" s="8" t="s">
        <v>1698</v>
      </c>
      <c r="L558">
        <v>1710</v>
      </c>
      <c r="M558" s="8" t="s">
        <v>138</v>
      </c>
      <c r="N558">
        <v>1710</v>
      </c>
      <c r="O558" s="8" t="s">
        <v>1701</v>
      </c>
      <c r="P558" s="8" t="s">
        <v>1551</v>
      </c>
      <c r="Q558" s="8" t="s">
        <v>1549</v>
      </c>
      <c r="R558" s="8" t="s">
        <v>1552</v>
      </c>
      <c r="S558" s="8" t="s">
        <v>1542</v>
      </c>
      <c r="T558" s="8" t="s">
        <v>1573</v>
      </c>
      <c r="U558" s="8" t="s">
        <v>1571</v>
      </c>
      <c r="V558">
        <v>1800</v>
      </c>
      <c r="W558">
        <v>1120</v>
      </c>
      <c r="X558">
        <v>1710</v>
      </c>
      <c r="Y558">
        <v>590</v>
      </c>
    </row>
    <row r="559" spans="1:25" x14ac:dyDescent="0.3">
      <c r="A559" s="8" t="s">
        <v>882</v>
      </c>
      <c r="B559" s="14">
        <v>46165</v>
      </c>
      <c r="C559" s="8" t="s">
        <v>156</v>
      </c>
      <c r="D559" s="8" t="s">
        <v>95</v>
      </c>
      <c r="E559" s="8" t="s">
        <v>63</v>
      </c>
      <c r="F559">
        <v>4</v>
      </c>
      <c r="G559">
        <v>2310</v>
      </c>
      <c r="H559">
        <v>0.15</v>
      </c>
      <c r="I559" s="8" t="s">
        <v>17</v>
      </c>
      <c r="J559" s="8" t="s">
        <v>71</v>
      </c>
      <c r="K559" s="8" t="s">
        <v>25</v>
      </c>
      <c r="L559">
        <v>7854</v>
      </c>
      <c r="M559" s="8" t="s">
        <v>59</v>
      </c>
      <c r="N559">
        <v>7854</v>
      </c>
      <c r="O559" s="8" t="s">
        <v>1701</v>
      </c>
      <c r="P559" s="8" t="s">
        <v>1556</v>
      </c>
      <c r="Q559" s="8" t="s">
        <v>1554</v>
      </c>
      <c r="R559" s="8" t="s">
        <v>1557</v>
      </c>
      <c r="S559" s="8" t="s">
        <v>1542</v>
      </c>
      <c r="T559" s="8" t="s">
        <v>1572</v>
      </c>
      <c r="U559" s="8" t="s">
        <v>1571</v>
      </c>
      <c r="V559">
        <v>2200</v>
      </c>
      <c r="W559">
        <v>1450</v>
      </c>
      <c r="X559">
        <v>7854</v>
      </c>
      <c r="Y559">
        <v>2054</v>
      </c>
    </row>
    <row r="560" spans="1:25" x14ac:dyDescent="0.3">
      <c r="A560" s="8" t="s">
        <v>883</v>
      </c>
      <c r="B560" s="14">
        <v>46146</v>
      </c>
      <c r="C560" s="8" t="s">
        <v>118</v>
      </c>
      <c r="D560" s="8" t="s">
        <v>70</v>
      </c>
      <c r="E560" s="8" t="s">
        <v>63</v>
      </c>
      <c r="F560">
        <v>2</v>
      </c>
      <c r="G560">
        <v>2310</v>
      </c>
      <c r="H560">
        <v>0.2</v>
      </c>
      <c r="I560" s="8" t="s">
        <v>17</v>
      </c>
      <c r="J560" s="8" t="s">
        <v>71</v>
      </c>
      <c r="K560" s="8" t="s">
        <v>41</v>
      </c>
      <c r="L560">
        <v>3696</v>
      </c>
      <c r="M560" s="8" t="s">
        <v>42</v>
      </c>
      <c r="N560">
        <v>3696</v>
      </c>
      <c r="O560" s="8" t="s">
        <v>1701</v>
      </c>
      <c r="P560" s="8" t="s">
        <v>1550</v>
      </c>
      <c r="Q560" s="8" t="s">
        <v>1549</v>
      </c>
      <c r="R560" s="8" t="s">
        <v>32</v>
      </c>
      <c r="S560" s="8" t="s">
        <v>1542</v>
      </c>
      <c r="T560" s="8" t="s">
        <v>1572</v>
      </c>
      <c r="U560" s="8" t="s">
        <v>1571</v>
      </c>
      <c r="V560">
        <v>2200</v>
      </c>
      <c r="W560">
        <v>1450</v>
      </c>
      <c r="X560">
        <v>3696</v>
      </c>
      <c r="Y560">
        <v>796</v>
      </c>
    </row>
    <row r="561" spans="1:25" x14ac:dyDescent="0.3">
      <c r="A561" s="8" t="s">
        <v>884</v>
      </c>
      <c r="B561" s="14">
        <v>46169</v>
      </c>
      <c r="C561" s="8" t="s">
        <v>357</v>
      </c>
      <c r="D561" s="8" t="s">
        <v>90</v>
      </c>
      <c r="E561" s="8" t="s">
        <v>46</v>
      </c>
      <c r="F561">
        <v>1</v>
      </c>
      <c r="G561">
        <v>7410</v>
      </c>
      <c r="H561">
        <v>0.15</v>
      </c>
      <c r="I561" s="8" t="s">
        <v>17</v>
      </c>
      <c r="J561" s="8" t="s">
        <v>71</v>
      </c>
      <c r="K561" s="8" t="s">
        <v>67</v>
      </c>
      <c r="L561">
        <v>6298.5</v>
      </c>
      <c r="M561" s="8" t="s">
        <v>32</v>
      </c>
      <c r="N561">
        <v>6298.5</v>
      </c>
      <c r="O561" s="8" t="s">
        <v>1701</v>
      </c>
      <c r="P561" s="8" t="s">
        <v>1562</v>
      </c>
      <c r="Q561" s="8" t="s">
        <v>1563</v>
      </c>
      <c r="R561" s="8" t="s">
        <v>48</v>
      </c>
      <c r="S561" s="8" t="s">
        <v>1542</v>
      </c>
      <c r="T561" s="8" t="s">
        <v>1579</v>
      </c>
      <c r="U561" s="8" t="s">
        <v>1580</v>
      </c>
      <c r="V561">
        <v>7800</v>
      </c>
      <c r="W561">
        <v>5200</v>
      </c>
      <c r="X561">
        <v>6298.5</v>
      </c>
      <c r="Y561">
        <v>1098.5</v>
      </c>
    </row>
    <row r="562" spans="1:25" x14ac:dyDescent="0.3">
      <c r="A562" s="8" t="s">
        <v>885</v>
      </c>
      <c r="B562" s="14">
        <v>46040</v>
      </c>
      <c r="C562" s="8" t="s">
        <v>396</v>
      </c>
      <c r="D562" s="8" t="s">
        <v>40</v>
      </c>
      <c r="E562" s="8" t="s">
        <v>63</v>
      </c>
      <c r="F562">
        <v>3</v>
      </c>
      <c r="G562">
        <v>2310</v>
      </c>
      <c r="H562">
        <v>0.15</v>
      </c>
      <c r="I562" s="8" t="s">
        <v>17</v>
      </c>
      <c r="J562" s="8" t="s">
        <v>18</v>
      </c>
      <c r="K562" s="8" t="s">
        <v>1698</v>
      </c>
      <c r="L562">
        <v>5890.5</v>
      </c>
      <c r="M562" s="8" t="s">
        <v>42</v>
      </c>
      <c r="N562">
        <v>5890.5</v>
      </c>
      <c r="O562" s="8" t="s">
        <v>1701</v>
      </c>
      <c r="P562" s="8" t="s">
        <v>1555</v>
      </c>
      <c r="Q562" s="8" t="s">
        <v>1554</v>
      </c>
      <c r="R562" s="8" t="s">
        <v>82</v>
      </c>
      <c r="S562" s="8" t="s">
        <v>1542</v>
      </c>
      <c r="T562" s="8" t="s">
        <v>1572</v>
      </c>
      <c r="U562" s="8" t="s">
        <v>1571</v>
      </c>
      <c r="V562">
        <v>2200</v>
      </c>
      <c r="W562">
        <v>1450</v>
      </c>
      <c r="X562">
        <v>5890.5</v>
      </c>
      <c r="Y562">
        <v>1540.5</v>
      </c>
    </row>
    <row r="563" spans="1:25" x14ac:dyDescent="0.3">
      <c r="A563" s="8" t="s">
        <v>886</v>
      </c>
      <c r="B563" s="14">
        <v>46078</v>
      </c>
      <c r="C563" s="8" t="s">
        <v>709</v>
      </c>
      <c r="D563" s="8" t="s">
        <v>90</v>
      </c>
      <c r="E563" s="8" t="s">
        <v>30</v>
      </c>
      <c r="F563">
        <v>5</v>
      </c>
      <c r="G563">
        <v>1800</v>
      </c>
      <c r="H563">
        <v>0.2</v>
      </c>
      <c r="I563" s="8" t="s">
        <v>17</v>
      </c>
      <c r="J563" s="8" t="s">
        <v>18</v>
      </c>
      <c r="K563" s="8" t="s">
        <v>25</v>
      </c>
      <c r="L563">
        <v>7200</v>
      </c>
      <c r="M563" s="8" t="s">
        <v>26</v>
      </c>
      <c r="N563">
        <v>7200</v>
      </c>
      <c r="O563" s="8" t="s">
        <v>1701</v>
      </c>
      <c r="P563" s="8" t="s">
        <v>1562</v>
      </c>
      <c r="Q563" s="8" t="s">
        <v>1563</v>
      </c>
      <c r="R563" s="8" t="s">
        <v>48</v>
      </c>
      <c r="S563" s="8" t="s">
        <v>1542</v>
      </c>
      <c r="T563" s="8" t="s">
        <v>1573</v>
      </c>
      <c r="U563" s="8" t="s">
        <v>1571</v>
      </c>
      <c r="V563">
        <v>1800</v>
      </c>
      <c r="W563">
        <v>1120</v>
      </c>
      <c r="X563">
        <v>7200</v>
      </c>
      <c r="Y563">
        <v>1600</v>
      </c>
    </row>
    <row r="564" spans="1:25" x14ac:dyDescent="0.3">
      <c r="A564" s="8" t="s">
        <v>887</v>
      </c>
      <c r="B564" s="14">
        <v>46122</v>
      </c>
      <c r="C564" s="8" t="s">
        <v>115</v>
      </c>
      <c r="D564" s="8" t="s">
        <v>40</v>
      </c>
      <c r="E564" s="8" t="s">
        <v>183</v>
      </c>
      <c r="F564">
        <v>2</v>
      </c>
      <c r="G564">
        <v>3200</v>
      </c>
      <c r="H564">
        <v>0</v>
      </c>
      <c r="I564" s="8" t="s">
        <v>17</v>
      </c>
      <c r="J564" s="8" t="s">
        <v>47</v>
      </c>
      <c r="K564" s="8" t="s">
        <v>55</v>
      </c>
      <c r="L564">
        <v>6400</v>
      </c>
      <c r="M564" s="8" t="s">
        <v>138</v>
      </c>
      <c r="N564">
        <v>6400</v>
      </c>
      <c r="O564" s="8" t="s">
        <v>1701</v>
      </c>
      <c r="P564" s="8" t="s">
        <v>1555</v>
      </c>
      <c r="Q564" s="8" t="s">
        <v>1554</v>
      </c>
      <c r="R564" s="8" t="s">
        <v>82</v>
      </c>
      <c r="S564" s="8" t="s">
        <v>1542</v>
      </c>
      <c r="T564" s="8" t="s">
        <v>1582</v>
      </c>
      <c r="U564" s="8" t="s">
        <v>1583</v>
      </c>
      <c r="V564">
        <v>3200</v>
      </c>
      <c r="W564">
        <v>2050</v>
      </c>
      <c r="X564">
        <v>6400</v>
      </c>
      <c r="Y564">
        <v>2300</v>
      </c>
    </row>
    <row r="565" spans="1:25" x14ac:dyDescent="0.3">
      <c r="A565" s="8" t="s">
        <v>888</v>
      </c>
      <c r="B565" s="14">
        <v>46045</v>
      </c>
      <c r="C565" s="8" t="s">
        <v>355</v>
      </c>
      <c r="D565" s="8" t="s">
        <v>40</v>
      </c>
      <c r="E565" s="8" t="s">
        <v>16</v>
      </c>
      <c r="F565">
        <v>3</v>
      </c>
      <c r="G565">
        <v>650</v>
      </c>
      <c r="H565">
        <v>0.15</v>
      </c>
      <c r="I565" s="8" t="s">
        <v>17</v>
      </c>
      <c r="J565" s="8" t="s">
        <v>31</v>
      </c>
      <c r="K565" s="8" t="s">
        <v>67</v>
      </c>
      <c r="L565">
        <v>1657.5</v>
      </c>
      <c r="M565" s="8" t="s">
        <v>82</v>
      </c>
      <c r="N565">
        <v>1657.5</v>
      </c>
      <c r="O565" s="8" t="s">
        <v>1701</v>
      </c>
      <c r="P565" s="8" t="s">
        <v>1555</v>
      </c>
      <c r="Q565" s="8" t="s">
        <v>1554</v>
      </c>
      <c r="R565" s="8" t="s">
        <v>82</v>
      </c>
      <c r="S565" s="8" t="s">
        <v>1542</v>
      </c>
      <c r="T565" s="8" t="s">
        <v>1570</v>
      </c>
      <c r="U565" s="8" t="s">
        <v>1571</v>
      </c>
      <c r="V565">
        <v>650</v>
      </c>
      <c r="W565">
        <v>390</v>
      </c>
      <c r="X565">
        <v>1657.5</v>
      </c>
      <c r="Y565">
        <v>487.5</v>
      </c>
    </row>
    <row r="566" spans="1:25" x14ac:dyDescent="0.3">
      <c r="A566" s="8" t="s">
        <v>889</v>
      </c>
      <c r="B566" s="14">
        <v>46036</v>
      </c>
      <c r="C566" s="8" t="s">
        <v>568</v>
      </c>
      <c r="D566" s="8" t="s">
        <v>168</v>
      </c>
      <c r="E566" s="8" t="s">
        <v>85</v>
      </c>
      <c r="F566">
        <v>3</v>
      </c>
      <c r="G566">
        <v>48500</v>
      </c>
      <c r="H566">
        <v>0.05</v>
      </c>
      <c r="I566" s="8" t="s">
        <v>17</v>
      </c>
      <c r="J566" s="8" t="s">
        <v>71</v>
      </c>
      <c r="K566" s="8" t="s">
        <v>55</v>
      </c>
      <c r="L566">
        <v>138225</v>
      </c>
      <c r="M566" s="8" t="s">
        <v>48</v>
      </c>
      <c r="N566">
        <v>138225</v>
      </c>
      <c r="O566" s="8" t="s">
        <v>1701</v>
      </c>
      <c r="P566" s="8" t="s">
        <v>1540</v>
      </c>
      <c r="Q566" s="8" t="s">
        <v>1541</v>
      </c>
      <c r="R566" s="8" t="s">
        <v>20</v>
      </c>
      <c r="S566" s="8" t="s">
        <v>1542</v>
      </c>
      <c r="T566" s="8" t="s">
        <v>1585</v>
      </c>
      <c r="U566" s="8" t="s">
        <v>1586</v>
      </c>
      <c r="V566">
        <v>48500</v>
      </c>
      <c r="W566">
        <v>41200</v>
      </c>
      <c r="X566">
        <v>138225</v>
      </c>
      <c r="Y566">
        <v>14625</v>
      </c>
    </row>
    <row r="567" spans="1:25" x14ac:dyDescent="0.3">
      <c r="A567" s="8" t="s">
        <v>890</v>
      </c>
      <c r="B567" s="14">
        <v>46123</v>
      </c>
      <c r="C567" s="8" t="s">
        <v>809</v>
      </c>
      <c r="D567" s="8" t="s">
        <v>95</v>
      </c>
      <c r="E567" s="8" t="s">
        <v>36</v>
      </c>
      <c r="F567">
        <v>3</v>
      </c>
      <c r="G567">
        <v>1400</v>
      </c>
      <c r="H567">
        <v>0.1</v>
      </c>
      <c r="I567" s="8" t="s">
        <v>17</v>
      </c>
      <c r="J567" s="8" t="s">
        <v>18</v>
      </c>
      <c r="K567" s="8" t="s">
        <v>41</v>
      </c>
      <c r="L567">
        <v>3780</v>
      </c>
      <c r="M567" s="8" t="s">
        <v>52</v>
      </c>
      <c r="N567">
        <v>3780</v>
      </c>
      <c r="O567" s="8" t="s">
        <v>1701</v>
      </c>
      <c r="P567" s="8" t="s">
        <v>1556</v>
      </c>
      <c r="Q567" s="8" t="s">
        <v>1554</v>
      </c>
      <c r="R567" s="8" t="s">
        <v>1557</v>
      </c>
      <c r="S567" s="8" t="s">
        <v>1542</v>
      </c>
      <c r="T567" s="8" t="s">
        <v>1577</v>
      </c>
      <c r="U567" s="8" t="s">
        <v>1571</v>
      </c>
      <c r="V567">
        <v>1400</v>
      </c>
      <c r="W567">
        <v>780</v>
      </c>
      <c r="X567">
        <v>3780</v>
      </c>
      <c r="Y567">
        <v>1440</v>
      </c>
    </row>
    <row r="568" spans="1:25" x14ac:dyDescent="0.3">
      <c r="A568" s="8" t="s">
        <v>891</v>
      </c>
      <c r="B568" s="14">
        <v>46165</v>
      </c>
      <c r="C568" s="8" t="s">
        <v>421</v>
      </c>
      <c r="D568" s="8" t="s">
        <v>70</v>
      </c>
      <c r="E568" s="8" t="s">
        <v>36</v>
      </c>
      <c r="F568">
        <v>4</v>
      </c>
      <c r="G568">
        <v>1400</v>
      </c>
      <c r="H568">
        <v>0</v>
      </c>
      <c r="I568" s="8" t="s">
        <v>17</v>
      </c>
      <c r="J568" s="8" t="s">
        <v>31</v>
      </c>
      <c r="K568" s="8" t="s">
        <v>1698</v>
      </c>
      <c r="L568">
        <v>5600</v>
      </c>
      <c r="M568" s="8" t="s">
        <v>20</v>
      </c>
      <c r="N568">
        <v>5600</v>
      </c>
      <c r="O568" s="8" t="s">
        <v>1701</v>
      </c>
      <c r="P568" s="8" t="s">
        <v>1550</v>
      </c>
      <c r="Q568" s="8" t="s">
        <v>1549</v>
      </c>
      <c r="R568" s="8" t="s">
        <v>32</v>
      </c>
      <c r="S568" s="8" t="s">
        <v>1542</v>
      </c>
      <c r="T568" s="8" t="s">
        <v>1577</v>
      </c>
      <c r="U568" s="8" t="s">
        <v>1571</v>
      </c>
      <c r="V568">
        <v>1400</v>
      </c>
      <c r="W568">
        <v>780</v>
      </c>
      <c r="X568">
        <v>5600</v>
      </c>
      <c r="Y568">
        <v>2480</v>
      </c>
    </row>
    <row r="569" spans="1:25" x14ac:dyDescent="0.3">
      <c r="A569" s="8" t="s">
        <v>892</v>
      </c>
      <c r="B569" s="14">
        <v>46059</v>
      </c>
      <c r="C569" s="8" t="s">
        <v>148</v>
      </c>
      <c r="D569" s="8" t="s">
        <v>123</v>
      </c>
      <c r="E569" s="8" t="s">
        <v>46</v>
      </c>
      <c r="F569">
        <v>3</v>
      </c>
      <c r="G569">
        <v>8190</v>
      </c>
      <c r="H569">
        <v>0</v>
      </c>
      <c r="I569" s="8" t="s">
        <v>17</v>
      </c>
      <c r="J569" s="8" t="s">
        <v>18</v>
      </c>
      <c r="K569" s="8" t="s">
        <v>25</v>
      </c>
      <c r="L569">
        <v>24570</v>
      </c>
      <c r="M569" s="8" t="s">
        <v>59</v>
      </c>
      <c r="N569">
        <v>24570</v>
      </c>
      <c r="O569" s="8" t="s">
        <v>1701</v>
      </c>
      <c r="P569" s="8" t="s">
        <v>1558</v>
      </c>
      <c r="Q569" s="8" t="s">
        <v>1559</v>
      </c>
      <c r="R569" s="8" t="s">
        <v>138</v>
      </c>
      <c r="S569" s="8" t="s">
        <v>1542</v>
      </c>
      <c r="T569" s="8" t="s">
        <v>1579</v>
      </c>
      <c r="U569" s="8" t="s">
        <v>1580</v>
      </c>
      <c r="V569">
        <v>7800</v>
      </c>
      <c r="W569">
        <v>5200</v>
      </c>
      <c r="X569">
        <v>24570</v>
      </c>
      <c r="Y569">
        <v>8970</v>
      </c>
    </row>
    <row r="570" spans="1:25" x14ac:dyDescent="0.3">
      <c r="A570" s="8" t="s">
        <v>893</v>
      </c>
      <c r="B570" s="14">
        <v>46139</v>
      </c>
      <c r="C570" s="8" t="s">
        <v>484</v>
      </c>
      <c r="D570" s="8" t="s">
        <v>152</v>
      </c>
      <c r="E570" s="8" t="s">
        <v>161</v>
      </c>
      <c r="F570">
        <v>3</v>
      </c>
      <c r="G570">
        <v>2600</v>
      </c>
      <c r="H570">
        <v>0.1</v>
      </c>
      <c r="I570" s="8" t="s">
        <v>17</v>
      </c>
      <c r="J570" s="8" t="s">
        <v>18</v>
      </c>
      <c r="K570" s="8" t="s">
        <v>25</v>
      </c>
      <c r="L570">
        <v>7020</v>
      </c>
      <c r="M570" s="8" t="s">
        <v>20</v>
      </c>
      <c r="N570">
        <v>7020</v>
      </c>
      <c r="O570" s="8" t="s">
        <v>1701</v>
      </c>
      <c r="P570" s="8" t="s">
        <v>1553</v>
      </c>
      <c r="Q570" s="8" t="s">
        <v>1554</v>
      </c>
      <c r="R570" s="8" t="s">
        <v>59</v>
      </c>
      <c r="S570" s="8" t="s">
        <v>1542</v>
      </c>
      <c r="T570" s="8" t="s">
        <v>1578</v>
      </c>
      <c r="U570" s="8" t="s">
        <v>1571</v>
      </c>
      <c r="V570">
        <v>2600</v>
      </c>
      <c r="W570">
        <v>1750</v>
      </c>
      <c r="X570">
        <v>7020</v>
      </c>
      <c r="Y570">
        <v>1770</v>
      </c>
    </row>
    <row r="571" spans="1:25" x14ac:dyDescent="0.3">
      <c r="A571" s="8" t="s">
        <v>894</v>
      </c>
      <c r="B571" s="14">
        <v>46170</v>
      </c>
      <c r="C571" s="8" t="s">
        <v>895</v>
      </c>
      <c r="D571" s="8" t="s">
        <v>62</v>
      </c>
      <c r="E571" s="8" t="s">
        <v>85</v>
      </c>
      <c r="F571">
        <v>1</v>
      </c>
      <c r="G571">
        <v>48500</v>
      </c>
      <c r="H571">
        <v>0.15</v>
      </c>
      <c r="I571" s="8" t="s">
        <v>17</v>
      </c>
      <c r="J571" s="8" t="s">
        <v>31</v>
      </c>
      <c r="K571" s="8" t="s">
        <v>41</v>
      </c>
      <c r="L571">
        <v>41225</v>
      </c>
      <c r="M571" s="8" t="s">
        <v>56</v>
      </c>
      <c r="N571">
        <v>41225</v>
      </c>
      <c r="O571" s="8" t="s">
        <v>1701</v>
      </c>
      <c r="P571" s="8" t="s">
        <v>1551</v>
      </c>
      <c r="Q571" s="8" t="s">
        <v>1549</v>
      </c>
      <c r="R571" s="8" t="s">
        <v>1552</v>
      </c>
      <c r="S571" s="8" t="s">
        <v>1542</v>
      </c>
      <c r="T571" s="8" t="s">
        <v>1585</v>
      </c>
      <c r="U571" s="8" t="s">
        <v>1586</v>
      </c>
      <c r="V571">
        <v>48500</v>
      </c>
      <c r="W571">
        <v>41200</v>
      </c>
      <c r="X571">
        <v>41225</v>
      </c>
      <c r="Y571">
        <v>25</v>
      </c>
    </row>
    <row r="572" spans="1:25" x14ac:dyDescent="0.3">
      <c r="A572" s="8" t="s">
        <v>896</v>
      </c>
      <c r="B572" s="14">
        <v>46203</v>
      </c>
      <c r="C572" s="8" t="s">
        <v>144</v>
      </c>
      <c r="D572" s="8" t="s">
        <v>35</v>
      </c>
      <c r="E572" s="8" t="s">
        <v>63</v>
      </c>
      <c r="F572">
        <v>3</v>
      </c>
      <c r="G572">
        <v>2200</v>
      </c>
      <c r="H572">
        <v>0.2</v>
      </c>
      <c r="I572" s="8" t="s">
        <v>17</v>
      </c>
      <c r="J572" s="8" t="s">
        <v>31</v>
      </c>
      <c r="K572" s="8" t="s">
        <v>25</v>
      </c>
      <c r="L572">
        <v>5280</v>
      </c>
      <c r="M572" s="8" t="s">
        <v>48</v>
      </c>
      <c r="N572">
        <v>5280</v>
      </c>
      <c r="O572" s="8" t="s">
        <v>1701</v>
      </c>
      <c r="P572" s="8" t="s">
        <v>1548</v>
      </c>
      <c r="Q572" s="8" t="s">
        <v>1549</v>
      </c>
      <c r="R572" s="8" t="s">
        <v>42</v>
      </c>
      <c r="S572" s="8" t="s">
        <v>1542</v>
      </c>
      <c r="T572" s="8" t="s">
        <v>1572</v>
      </c>
      <c r="U572" s="8" t="s">
        <v>1571</v>
      </c>
      <c r="V572">
        <v>2200</v>
      </c>
      <c r="W572">
        <v>1450</v>
      </c>
      <c r="X572">
        <v>5280</v>
      </c>
      <c r="Y572">
        <v>930</v>
      </c>
    </row>
    <row r="573" spans="1:25" x14ac:dyDescent="0.3">
      <c r="A573" s="8" t="s">
        <v>897</v>
      </c>
      <c r="B573" s="14">
        <v>46045</v>
      </c>
      <c r="C573" s="8" t="s">
        <v>781</v>
      </c>
      <c r="D573" s="8" t="s">
        <v>23</v>
      </c>
      <c r="E573" s="8" t="s">
        <v>46</v>
      </c>
      <c r="F573">
        <v>3</v>
      </c>
      <c r="G573">
        <v>7410</v>
      </c>
      <c r="H573">
        <v>0.2</v>
      </c>
      <c r="I573" s="8" t="s">
        <v>116</v>
      </c>
      <c r="J573" s="8" t="s">
        <v>31</v>
      </c>
      <c r="K573" s="8" t="s">
        <v>67</v>
      </c>
      <c r="L573">
        <v>17784</v>
      </c>
      <c r="M573" s="8" t="s">
        <v>82</v>
      </c>
      <c r="N573">
        <v>17784</v>
      </c>
      <c r="O573" s="8" t="s">
        <v>1701</v>
      </c>
      <c r="P573" s="8" t="s">
        <v>1545</v>
      </c>
      <c r="Q573" s="8" t="s">
        <v>1541</v>
      </c>
      <c r="R573" s="8" t="s">
        <v>1546</v>
      </c>
      <c r="S573" s="8" t="s">
        <v>1542</v>
      </c>
      <c r="T573" s="8" t="s">
        <v>1579</v>
      </c>
      <c r="U573" s="8" t="s">
        <v>1580</v>
      </c>
      <c r="V573">
        <v>7800</v>
      </c>
      <c r="W573">
        <v>5200</v>
      </c>
      <c r="X573">
        <v>0</v>
      </c>
      <c r="Y573">
        <v>-15600</v>
      </c>
    </row>
    <row r="574" spans="1:25" x14ac:dyDescent="0.3">
      <c r="A574" s="8" t="s">
        <v>898</v>
      </c>
      <c r="B574" s="14">
        <v>46025</v>
      </c>
      <c r="C574" s="8" t="s">
        <v>160</v>
      </c>
      <c r="D574" s="8" t="s">
        <v>62</v>
      </c>
      <c r="E574" s="8" t="s">
        <v>46</v>
      </c>
      <c r="F574">
        <v>2</v>
      </c>
      <c r="G574">
        <v>7800</v>
      </c>
      <c r="H574">
        <v>0.1</v>
      </c>
      <c r="I574" s="8" t="s">
        <v>17</v>
      </c>
      <c r="J574" s="8" t="s">
        <v>47</v>
      </c>
      <c r="K574" s="8" t="s">
        <v>67</v>
      </c>
      <c r="L574">
        <v>14040</v>
      </c>
      <c r="M574" s="8" t="s">
        <v>26</v>
      </c>
      <c r="N574">
        <v>14040</v>
      </c>
      <c r="O574" s="8" t="s">
        <v>1701</v>
      </c>
      <c r="P574" s="8" t="s">
        <v>1551</v>
      </c>
      <c r="Q574" s="8" t="s">
        <v>1549</v>
      </c>
      <c r="R574" s="8" t="s">
        <v>1552</v>
      </c>
      <c r="S574" s="8" t="s">
        <v>1542</v>
      </c>
      <c r="T574" s="8" t="s">
        <v>1579</v>
      </c>
      <c r="U574" s="8" t="s">
        <v>1580</v>
      </c>
      <c r="V574">
        <v>7800</v>
      </c>
      <c r="W574">
        <v>5200</v>
      </c>
      <c r="X574">
        <v>14040</v>
      </c>
      <c r="Y574">
        <v>3640</v>
      </c>
    </row>
    <row r="575" spans="1:25" x14ac:dyDescent="0.3">
      <c r="A575" s="8" t="s">
        <v>899</v>
      </c>
      <c r="B575" s="14">
        <v>46065</v>
      </c>
      <c r="C575" s="8" t="s">
        <v>426</v>
      </c>
      <c r="D575" s="8" t="s">
        <v>168</v>
      </c>
      <c r="E575" s="8" t="s">
        <v>85</v>
      </c>
      <c r="F575">
        <v>8</v>
      </c>
      <c r="G575">
        <v>48500</v>
      </c>
      <c r="H575">
        <v>0.2</v>
      </c>
      <c r="I575" s="8" t="s">
        <v>17</v>
      </c>
      <c r="J575" s="8" t="s">
        <v>18</v>
      </c>
      <c r="K575" s="8" t="s">
        <v>25</v>
      </c>
      <c r="L575">
        <v>310400</v>
      </c>
      <c r="M575" s="8" t="s">
        <v>59</v>
      </c>
      <c r="N575">
        <v>310400</v>
      </c>
      <c r="O575" s="8" t="s">
        <v>1701</v>
      </c>
      <c r="P575" s="8" t="s">
        <v>1540</v>
      </c>
      <c r="Q575" s="8" t="s">
        <v>1541</v>
      </c>
      <c r="R575" s="8" t="s">
        <v>20</v>
      </c>
      <c r="S575" s="8" t="s">
        <v>1542</v>
      </c>
      <c r="T575" s="8" t="s">
        <v>1585</v>
      </c>
      <c r="U575" s="8" t="s">
        <v>1586</v>
      </c>
      <c r="V575">
        <v>48500</v>
      </c>
      <c r="W575">
        <v>41200</v>
      </c>
      <c r="X575">
        <v>310400</v>
      </c>
      <c r="Y575">
        <v>-19200</v>
      </c>
    </row>
    <row r="576" spans="1:25" x14ac:dyDescent="0.3">
      <c r="A576" s="8" t="s">
        <v>900</v>
      </c>
      <c r="B576" s="14">
        <v>46169</v>
      </c>
      <c r="C576" s="8" t="s">
        <v>901</v>
      </c>
      <c r="D576" s="8" t="s">
        <v>168</v>
      </c>
      <c r="E576" s="8" t="s">
        <v>74</v>
      </c>
      <c r="F576">
        <v>10</v>
      </c>
      <c r="G576">
        <v>2400</v>
      </c>
      <c r="H576">
        <v>0.2</v>
      </c>
      <c r="I576" s="8" t="s">
        <v>17</v>
      </c>
      <c r="J576" s="8" t="s">
        <v>31</v>
      </c>
      <c r="K576" s="8" t="s">
        <v>41</v>
      </c>
      <c r="L576">
        <v>19200</v>
      </c>
      <c r="M576" s="8" t="s">
        <v>82</v>
      </c>
      <c r="N576">
        <v>19200</v>
      </c>
      <c r="O576" s="8" t="s">
        <v>1701</v>
      </c>
      <c r="P576" s="8" t="s">
        <v>1540</v>
      </c>
      <c r="Q576" s="8" t="s">
        <v>1541</v>
      </c>
      <c r="R576" s="8" t="s">
        <v>20</v>
      </c>
      <c r="S576" s="8" t="s">
        <v>1542</v>
      </c>
      <c r="T576" s="8" t="s">
        <v>1584</v>
      </c>
      <c r="U576" s="8" t="s">
        <v>1583</v>
      </c>
      <c r="V576">
        <v>2400</v>
      </c>
      <c r="W576">
        <v>1480</v>
      </c>
      <c r="X576">
        <v>19200</v>
      </c>
      <c r="Y576">
        <v>4400</v>
      </c>
    </row>
    <row r="577" spans="1:25" x14ac:dyDescent="0.3">
      <c r="A577" s="8" t="s">
        <v>902</v>
      </c>
      <c r="B577" s="14">
        <v>46042</v>
      </c>
      <c r="C577" s="8" t="s">
        <v>234</v>
      </c>
      <c r="D577" s="8" t="s">
        <v>90</v>
      </c>
      <c r="E577" s="8" t="s">
        <v>135</v>
      </c>
      <c r="F577">
        <v>1</v>
      </c>
      <c r="G577">
        <v>16800</v>
      </c>
      <c r="H577">
        <v>0.15</v>
      </c>
      <c r="I577" s="8" t="s">
        <v>17</v>
      </c>
      <c r="J577" s="8" t="s">
        <v>31</v>
      </c>
      <c r="K577" s="8" t="s">
        <v>25</v>
      </c>
      <c r="L577">
        <v>14280</v>
      </c>
      <c r="M577" s="8" t="s">
        <v>59</v>
      </c>
      <c r="N577">
        <v>14280</v>
      </c>
      <c r="O577" s="8" t="s">
        <v>1701</v>
      </c>
      <c r="P577" s="8" t="s">
        <v>1562</v>
      </c>
      <c r="Q577" s="8" t="s">
        <v>1563</v>
      </c>
      <c r="R577" s="8" t="s">
        <v>48</v>
      </c>
      <c r="S577" s="8" t="s">
        <v>1542</v>
      </c>
      <c r="T577" s="8" t="s">
        <v>1576</v>
      </c>
      <c r="U577" s="8" t="s">
        <v>1575</v>
      </c>
      <c r="V577">
        <v>16800</v>
      </c>
      <c r="W577">
        <v>12600</v>
      </c>
      <c r="X577">
        <v>14280</v>
      </c>
      <c r="Y577">
        <v>1680</v>
      </c>
    </row>
    <row r="578" spans="1:25" x14ac:dyDescent="0.3">
      <c r="A578" s="8" t="s">
        <v>903</v>
      </c>
      <c r="B578" s="14">
        <v>46174</v>
      </c>
      <c r="C578" s="8" t="s">
        <v>264</v>
      </c>
      <c r="D578" s="8" t="s">
        <v>123</v>
      </c>
      <c r="E578" s="8" t="s">
        <v>30</v>
      </c>
      <c r="F578">
        <v>3</v>
      </c>
      <c r="G578">
        <v>1800</v>
      </c>
      <c r="H578">
        <v>0.05</v>
      </c>
      <c r="I578" s="8" t="s">
        <v>17</v>
      </c>
      <c r="J578" s="8" t="s">
        <v>18</v>
      </c>
      <c r="K578" s="8" t="s">
        <v>41</v>
      </c>
      <c r="L578">
        <v>5130</v>
      </c>
      <c r="M578" s="8" t="s">
        <v>82</v>
      </c>
      <c r="N578">
        <v>5130</v>
      </c>
      <c r="O578" s="8" t="s">
        <v>1701</v>
      </c>
      <c r="P578" s="8" t="s">
        <v>1558</v>
      </c>
      <c r="Q578" s="8" t="s">
        <v>1559</v>
      </c>
      <c r="R578" s="8" t="s">
        <v>138</v>
      </c>
      <c r="S578" s="8" t="s">
        <v>1542</v>
      </c>
      <c r="T578" s="8" t="s">
        <v>1573</v>
      </c>
      <c r="U578" s="8" t="s">
        <v>1571</v>
      </c>
      <c r="V578">
        <v>1800</v>
      </c>
      <c r="W578">
        <v>1120</v>
      </c>
      <c r="X578">
        <v>5130</v>
      </c>
      <c r="Y578">
        <v>1770</v>
      </c>
    </row>
    <row r="579" spans="1:25" x14ac:dyDescent="0.3">
      <c r="A579" s="8" t="s">
        <v>904</v>
      </c>
      <c r="B579" s="14">
        <v>46031</v>
      </c>
      <c r="C579" s="8" t="s">
        <v>232</v>
      </c>
      <c r="D579" s="8" t="s">
        <v>35</v>
      </c>
      <c r="E579" s="8" t="s">
        <v>63</v>
      </c>
      <c r="F579">
        <v>8</v>
      </c>
      <c r="G579">
        <v>2200</v>
      </c>
      <c r="H579">
        <v>0.15</v>
      </c>
      <c r="I579" s="8" t="s">
        <v>80</v>
      </c>
      <c r="J579" s="8" t="s">
        <v>18</v>
      </c>
      <c r="K579" s="8" t="s">
        <v>55</v>
      </c>
      <c r="L579">
        <v>14960</v>
      </c>
      <c r="M579" s="8" t="s">
        <v>52</v>
      </c>
      <c r="N579">
        <v>14960</v>
      </c>
      <c r="O579" s="8" t="s">
        <v>1701</v>
      </c>
      <c r="P579" s="8" t="s">
        <v>1548</v>
      </c>
      <c r="Q579" s="8" t="s">
        <v>1549</v>
      </c>
      <c r="R579" s="8" t="s">
        <v>42</v>
      </c>
      <c r="S579" s="8" t="s">
        <v>1542</v>
      </c>
      <c r="T579" s="8" t="s">
        <v>1572</v>
      </c>
      <c r="U579" s="8" t="s">
        <v>1571</v>
      </c>
      <c r="V579">
        <v>2200</v>
      </c>
      <c r="W579">
        <v>1450</v>
      </c>
      <c r="X579">
        <v>0</v>
      </c>
      <c r="Y579">
        <v>-11600</v>
      </c>
    </row>
    <row r="580" spans="1:25" x14ac:dyDescent="0.3">
      <c r="A580" s="8" t="s">
        <v>905</v>
      </c>
      <c r="B580" s="14">
        <v>46192</v>
      </c>
      <c r="C580" s="8" t="s">
        <v>196</v>
      </c>
      <c r="D580" s="8" t="s">
        <v>62</v>
      </c>
      <c r="E580" s="8" t="s">
        <v>85</v>
      </c>
      <c r="F580">
        <v>3</v>
      </c>
      <c r="G580">
        <v>48500</v>
      </c>
      <c r="H580">
        <v>0</v>
      </c>
      <c r="I580" s="8" t="s">
        <v>17</v>
      </c>
      <c r="J580" s="8" t="s">
        <v>47</v>
      </c>
      <c r="K580" s="8" t="s">
        <v>1698</v>
      </c>
      <c r="L580">
        <v>145500</v>
      </c>
      <c r="M580" s="8" t="s">
        <v>20</v>
      </c>
      <c r="N580">
        <v>145500</v>
      </c>
      <c r="O580" s="8" t="s">
        <v>1701</v>
      </c>
      <c r="P580" s="8" t="s">
        <v>1551</v>
      </c>
      <c r="Q580" s="8" t="s">
        <v>1549</v>
      </c>
      <c r="R580" s="8" t="s">
        <v>1552</v>
      </c>
      <c r="S580" s="8" t="s">
        <v>1542</v>
      </c>
      <c r="T580" s="8" t="s">
        <v>1585</v>
      </c>
      <c r="U580" s="8" t="s">
        <v>1586</v>
      </c>
      <c r="V580">
        <v>48500</v>
      </c>
      <c r="W580">
        <v>41200</v>
      </c>
      <c r="X580">
        <v>145500</v>
      </c>
      <c r="Y580">
        <v>21900</v>
      </c>
    </row>
    <row r="581" spans="1:25" x14ac:dyDescent="0.3">
      <c r="A581" s="8" t="s">
        <v>906</v>
      </c>
      <c r="B581" s="14">
        <v>46065</v>
      </c>
      <c r="C581" s="8" t="s">
        <v>202</v>
      </c>
      <c r="D581" s="8" t="s">
        <v>62</v>
      </c>
      <c r="E581" s="8" t="s">
        <v>161</v>
      </c>
      <c r="F581">
        <v>2</v>
      </c>
      <c r="G581">
        <v>2600</v>
      </c>
      <c r="H581">
        <v>0.1</v>
      </c>
      <c r="I581" s="8" t="s">
        <v>17</v>
      </c>
      <c r="J581" s="8" t="s">
        <v>18</v>
      </c>
      <c r="K581" s="8" t="s">
        <v>55</v>
      </c>
      <c r="L581">
        <v>4680</v>
      </c>
      <c r="M581" s="8" t="s">
        <v>26</v>
      </c>
      <c r="N581">
        <v>4680</v>
      </c>
      <c r="O581" s="8" t="s">
        <v>1701</v>
      </c>
      <c r="P581" s="8" t="s">
        <v>1551</v>
      </c>
      <c r="Q581" s="8" t="s">
        <v>1549</v>
      </c>
      <c r="R581" s="8" t="s">
        <v>1552</v>
      </c>
      <c r="S581" s="8" t="s">
        <v>1542</v>
      </c>
      <c r="T581" s="8" t="s">
        <v>1578</v>
      </c>
      <c r="U581" s="8" t="s">
        <v>1571</v>
      </c>
      <c r="V581">
        <v>2600</v>
      </c>
      <c r="W581">
        <v>1750</v>
      </c>
      <c r="X581">
        <v>4680</v>
      </c>
      <c r="Y581">
        <v>1180</v>
      </c>
    </row>
    <row r="582" spans="1:25" x14ac:dyDescent="0.3">
      <c r="A582" s="8" t="s">
        <v>907</v>
      </c>
      <c r="B582" s="14">
        <v>46060</v>
      </c>
      <c r="C582" s="8" t="s">
        <v>519</v>
      </c>
      <c r="D582" s="8" t="s">
        <v>152</v>
      </c>
      <c r="E582" s="8" t="s">
        <v>161</v>
      </c>
      <c r="F582">
        <v>1</v>
      </c>
      <c r="G582">
        <v>2600</v>
      </c>
      <c r="H582">
        <v>0.1</v>
      </c>
      <c r="I582" s="8" t="s">
        <v>17</v>
      </c>
      <c r="J582" s="8" t="s">
        <v>31</v>
      </c>
      <c r="K582" s="8" t="s">
        <v>25</v>
      </c>
      <c r="L582">
        <v>2340</v>
      </c>
      <c r="M582" s="8" t="s">
        <v>138</v>
      </c>
      <c r="N582">
        <v>2340</v>
      </c>
      <c r="O582" s="8" t="s">
        <v>1701</v>
      </c>
      <c r="P582" s="8" t="s">
        <v>1553</v>
      </c>
      <c r="Q582" s="8" t="s">
        <v>1554</v>
      </c>
      <c r="R582" s="8" t="s">
        <v>59</v>
      </c>
      <c r="S582" s="8" t="s">
        <v>1542</v>
      </c>
      <c r="T582" s="8" t="s">
        <v>1578</v>
      </c>
      <c r="U582" s="8" t="s">
        <v>1571</v>
      </c>
      <c r="V582">
        <v>2600</v>
      </c>
      <c r="W582">
        <v>1750</v>
      </c>
      <c r="X582">
        <v>2340</v>
      </c>
      <c r="Y582">
        <v>590</v>
      </c>
    </row>
    <row r="583" spans="1:25" x14ac:dyDescent="0.3">
      <c r="A583" s="8" t="s">
        <v>908</v>
      </c>
      <c r="B583" s="14">
        <v>46133</v>
      </c>
      <c r="C583" s="8" t="s">
        <v>243</v>
      </c>
      <c r="D583" s="8" t="s">
        <v>40</v>
      </c>
      <c r="E583" s="8" t="s">
        <v>74</v>
      </c>
      <c r="F583">
        <v>5</v>
      </c>
      <c r="G583">
        <v>2280</v>
      </c>
      <c r="H583">
        <v>0.05</v>
      </c>
      <c r="I583" s="8" t="s">
        <v>17</v>
      </c>
      <c r="J583" s="8" t="s">
        <v>18</v>
      </c>
      <c r="K583" s="8" t="s">
        <v>55</v>
      </c>
      <c r="L583">
        <v>10830</v>
      </c>
      <c r="M583" s="8" t="s">
        <v>52</v>
      </c>
      <c r="N583">
        <v>10830</v>
      </c>
      <c r="O583" s="8" t="s">
        <v>1701</v>
      </c>
      <c r="P583" s="8" t="s">
        <v>1555</v>
      </c>
      <c r="Q583" s="8" t="s">
        <v>1554</v>
      </c>
      <c r="R583" s="8" t="s">
        <v>82</v>
      </c>
      <c r="S583" s="8" t="s">
        <v>1542</v>
      </c>
      <c r="T583" s="8" t="s">
        <v>1584</v>
      </c>
      <c r="U583" s="8" t="s">
        <v>1583</v>
      </c>
      <c r="V583">
        <v>2400</v>
      </c>
      <c r="W583">
        <v>1480</v>
      </c>
      <c r="X583">
        <v>10830</v>
      </c>
      <c r="Y583">
        <v>3430</v>
      </c>
    </row>
    <row r="584" spans="1:25" x14ac:dyDescent="0.3">
      <c r="A584" s="8" t="s">
        <v>909</v>
      </c>
      <c r="B584" s="14">
        <v>46195</v>
      </c>
      <c r="C584" s="8" t="s">
        <v>281</v>
      </c>
      <c r="D584" s="8" t="s">
        <v>40</v>
      </c>
      <c r="E584" s="8" t="s">
        <v>24</v>
      </c>
      <c r="F584">
        <v>2</v>
      </c>
      <c r="G584">
        <v>11200</v>
      </c>
      <c r="H584">
        <v>0.2</v>
      </c>
      <c r="I584" s="8" t="s">
        <v>17</v>
      </c>
      <c r="J584" s="8" t="s">
        <v>31</v>
      </c>
      <c r="K584" s="8" t="s">
        <v>1698</v>
      </c>
      <c r="L584">
        <v>17920</v>
      </c>
      <c r="M584" s="8" t="s">
        <v>42</v>
      </c>
      <c r="N584">
        <v>17920</v>
      </c>
      <c r="O584" s="8" t="s">
        <v>1701</v>
      </c>
      <c r="P584" s="8" t="s">
        <v>1555</v>
      </c>
      <c r="Q584" s="8" t="s">
        <v>1554</v>
      </c>
      <c r="R584" s="8" t="s">
        <v>82</v>
      </c>
      <c r="S584" s="8" t="s">
        <v>1542</v>
      </c>
      <c r="T584" s="8" t="s">
        <v>1574</v>
      </c>
      <c r="U584" s="8" t="s">
        <v>1575</v>
      </c>
      <c r="V584">
        <v>11200</v>
      </c>
      <c r="W584">
        <v>8300</v>
      </c>
      <c r="X584">
        <v>17920</v>
      </c>
      <c r="Y584">
        <v>1320</v>
      </c>
    </row>
    <row r="585" spans="1:25" x14ac:dyDescent="0.3">
      <c r="A585" s="8" t="s">
        <v>910</v>
      </c>
      <c r="B585" s="14">
        <v>46026</v>
      </c>
      <c r="C585" s="8" t="s">
        <v>321</v>
      </c>
      <c r="D585" s="8" t="s">
        <v>70</v>
      </c>
      <c r="E585" s="8" t="s">
        <v>63</v>
      </c>
      <c r="F585">
        <v>2</v>
      </c>
      <c r="G585">
        <v>2200</v>
      </c>
      <c r="H585">
        <v>0.2</v>
      </c>
      <c r="I585" s="8" t="s">
        <v>17</v>
      </c>
      <c r="J585" s="8" t="s">
        <v>47</v>
      </c>
      <c r="K585" s="8" t="s">
        <v>41</v>
      </c>
      <c r="L585">
        <v>3520</v>
      </c>
      <c r="M585" s="8" t="s">
        <v>20</v>
      </c>
      <c r="N585">
        <v>3520</v>
      </c>
      <c r="O585" s="8" t="s">
        <v>1701</v>
      </c>
      <c r="P585" s="8" t="s">
        <v>1550</v>
      </c>
      <c r="Q585" s="8" t="s">
        <v>1549</v>
      </c>
      <c r="R585" s="8" t="s">
        <v>32</v>
      </c>
      <c r="S585" s="8" t="s">
        <v>1542</v>
      </c>
      <c r="T585" s="8" t="s">
        <v>1572</v>
      </c>
      <c r="U585" s="8" t="s">
        <v>1571</v>
      </c>
      <c r="V585">
        <v>2200</v>
      </c>
      <c r="W585">
        <v>1450</v>
      </c>
      <c r="X585">
        <v>3520</v>
      </c>
      <c r="Y585">
        <v>620</v>
      </c>
    </row>
    <row r="586" spans="1:25" x14ac:dyDescent="0.3">
      <c r="A586" s="8" t="s">
        <v>911</v>
      </c>
      <c r="B586" s="14">
        <v>46029</v>
      </c>
      <c r="C586" s="8" t="s">
        <v>221</v>
      </c>
      <c r="D586" s="8" t="s">
        <v>40</v>
      </c>
      <c r="E586" s="8" t="s">
        <v>63</v>
      </c>
      <c r="F586">
        <v>1</v>
      </c>
      <c r="G586">
        <v>2200</v>
      </c>
      <c r="H586">
        <v>0.15</v>
      </c>
      <c r="I586" s="8" t="s">
        <v>17</v>
      </c>
      <c r="J586" s="8" t="s">
        <v>31</v>
      </c>
      <c r="K586" s="8" t="s">
        <v>1698</v>
      </c>
      <c r="L586">
        <v>1870</v>
      </c>
      <c r="M586" s="8" t="s">
        <v>48</v>
      </c>
      <c r="N586">
        <v>1870</v>
      </c>
      <c r="O586" s="8" t="s">
        <v>1701</v>
      </c>
      <c r="P586" s="8" t="s">
        <v>1555</v>
      </c>
      <c r="Q586" s="8" t="s">
        <v>1554</v>
      </c>
      <c r="R586" s="8" t="s">
        <v>82</v>
      </c>
      <c r="S586" s="8" t="s">
        <v>1542</v>
      </c>
      <c r="T586" s="8" t="s">
        <v>1572</v>
      </c>
      <c r="U586" s="8" t="s">
        <v>1571</v>
      </c>
      <c r="V586">
        <v>2200</v>
      </c>
      <c r="W586">
        <v>1450</v>
      </c>
      <c r="X586">
        <v>1870</v>
      </c>
      <c r="Y586">
        <v>420</v>
      </c>
    </row>
    <row r="587" spans="1:25" x14ac:dyDescent="0.3">
      <c r="A587" s="8" t="s">
        <v>912</v>
      </c>
      <c r="B587" s="14">
        <v>46056</v>
      </c>
      <c r="C587" s="8" t="s">
        <v>294</v>
      </c>
      <c r="D587" s="8" t="s">
        <v>70</v>
      </c>
      <c r="E587" s="8" t="s">
        <v>74</v>
      </c>
      <c r="F587">
        <v>4</v>
      </c>
      <c r="G587">
        <v>2400</v>
      </c>
      <c r="H587">
        <v>0.2</v>
      </c>
      <c r="I587" s="8" t="s">
        <v>17</v>
      </c>
      <c r="J587" s="8" t="s">
        <v>71</v>
      </c>
      <c r="K587" s="8" t="s">
        <v>67</v>
      </c>
      <c r="L587">
        <v>7680</v>
      </c>
      <c r="M587" s="8" t="s">
        <v>26</v>
      </c>
      <c r="N587">
        <v>7680</v>
      </c>
      <c r="O587" s="8" t="s">
        <v>1701</v>
      </c>
      <c r="P587" s="8" t="s">
        <v>1550</v>
      </c>
      <c r="Q587" s="8" t="s">
        <v>1549</v>
      </c>
      <c r="R587" s="8" t="s">
        <v>32</v>
      </c>
      <c r="S587" s="8" t="s">
        <v>1542</v>
      </c>
      <c r="T587" s="8" t="s">
        <v>1584</v>
      </c>
      <c r="U587" s="8" t="s">
        <v>1583</v>
      </c>
      <c r="V587">
        <v>2400</v>
      </c>
      <c r="W587">
        <v>1480</v>
      </c>
      <c r="X587">
        <v>7680</v>
      </c>
      <c r="Y587">
        <v>1760</v>
      </c>
    </row>
    <row r="588" spans="1:25" x14ac:dyDescent="0.3">
      <c r="A588" s="8" t="s">
        <v>913</v>
      </c>
      <c r="B588" s="14">
        <v>46142</v>
      </c>
      <c r="C588" s="8" t="s">
        <v>463</v>
      </c>
      <c r="D588" s="8" t="s">
        <v>95</v>
      </c>
      <c r="E588" s="8" t="s">
        <v>63</v>
      </c>
      <c r="F588">
        <v>3</v>
      </c>
      <c r="G588">
        <v>2200</v>
      </c>
      <c r="H588">
        <v>0.05</v>
      </c>
      <c r="I588" s="8" t="s">
        <v>17</v>
      </c>
      <c r="J588" s="8" t="s">
        <v>71</v>
      </c>
      <c r="K588" s="8" t="s">
        <v>1698</v>
      </c>
      <c r="L588">
        <v>6270</v>
      </c>
      <c r="M588" s="8" t="s">
        <v>26</v>
      </c>
      <c r="N588">
        <v>6270</v>
      </c>
      <c r="O588" s="8" t="s">
        <v>1701</v>
      </c>
      <c r="P588" s="8" t="s">
        <v>1556</v>
      </c>
      <c r="Q588" s="8" t="s">
        <v>1554</v>
      </c>
      <c r="R588" s="8" t="s">
        <v>1557</v>
      </c>
      <c r="S588" s="8" t="s">
        <v>1542</v>
      </c>
      <c r="T588" s="8" t="s">
        <v>1572</v>
      </c>
      <c r="U588" s="8" t="s">
        <v>1571</v>
      </c>
      <c r="V588">
        <v>2200</v>
      </c>
      <c r="W588">
        <v>1450</v>
      </c>
      <c r="X588">
        <v>6270</v>
      </c>
      <c r="Y588">
        <v>1920</v>
      </c>
    </row>
    <row r="589" spans="1:25" x14ac:dyDescent="0.3">
      <c r="A589" s="8" t="s">
        <v>914</v>
      </c>
      <c r="B589" s="14">
        <v>46038</v>
      </c>
      <c r="C589" s="8" t="s">
        <v>551</v>
      </c>
      <c r="D589" s="8" t="s">
        <v>70</v>
      </c>
      <c r="E589" s="8" t="s">
        <v>161</v>
      </c>
      <c r="F589">
        <v>2</v>
      </c>
      <c r="G589">
        <v>2600</v>
      </c>
      <c r="H589">
        <v>0</v>
      </c>
      <c r="I589" s="8" t="s">
        <v>17</v>
      </c>
      <c r="J589" s="8" t="s">
        <v>18</v>
      </c>
      <c r="K589" s="8" t="s">
        <v>1698</v>
      </c>
      <c r="L589">
        <v>5200</v>
      </c>
      <c r="M589" s="8" t="s">
        <v>56</v>
      </c>
      <c r="N589">
        <v>5200</v>
      </c>
      <c r="O589" s="8" t="s">
        <v>1701</v>
      </c>
      <c r="P589" s="8" t="s">
        <v>1550</v>
      </c>
      <c r="Q589" s="8" t="s">
        <v>1549</v>
      </c>
      <c r="R589" s="8" t="s">
        <v>32</v>
      </c>
      <c r="S589" s="8" t="s">
        <v>1542</v>
      </c>
      <c r="T589" s="8" t="s">
        <v>1578</v>
      </c>
      <c r="U589" s="8" t="s">
        <v>1571</v>
      </c>
      <c r="V589">
        <v>2600</v>
      </c>
      <c r="W589">
        <v>1750</v>
      </c>
      <c r="X589">
        <v>5200</v>
      </c>
      <c r="Y589">
        <v>1700</v>
      </c>
    </row>
    <row r="590" spans="1:25" x14ac:dyDescent="0.3">
      <c r="A590" s="8" t="s">
        <v>915</v>
      </c>
      <c r="B590" s="14">
        <v>46074</v>
      </c>
      <c r="C590" s="8" t="s">
        <v>434</v>
      </c>
      <c r="D590" s="8" t="s">
        <v>40</v>
      </c>
      <c r="E590" s="8" t="s">
        <v>161</v>
      </c>
      <c r="F590">
        <v>1</v>
      </c>
      <c r="G590">
        <v>2730</v>
      </c>
      <c r="H590">
        <v>0.1</v>
      </c>
      <c r="I590" s="8" t="s">
        <v>17</v>
      </c>
      <c r="J590" s="8" t="s">
        <v>31</v>
      </c>
      <c r="K590" s="8" t="s">
        <v>55</v>
      </c>
      <c r="L590">
        <v>2457</v>
      </c>
      <c r="M590" s="8" t="s">
        <v>26</v>
      </c>
      <c r="N590">
        <v>2457</v>
      </c>
      <c r="O590" s="8" t="s">
        <v>1701</v>
      </c>
      <c r="P590" s="8" t="s">
        <v>1555</v>
      </c>
      <c r="Q590" s="8" t="s">
        <v>1554</v>
      </c>
      <c r="R590" s="8" t="s">
        <v>82</v>
      </c>
      <c r="S590" s="8" t="s">
        <v>1542</v>
      </c>
      <c r="T590" s="8" t="s">
        <v>1578</v>
      </c>
      <c r="U590" s="8" t="s">
        <v>1571</v>
      </c>
      <c r="V590">
        <v>2600</v>
      </c>
      <c r="W590">
        <v>1750</v>
      </c>
      <c r="X590">
        <v>2457</v>
      </c>
      <c r="Y590">
        <v>707</v>
      </c>
    </row>
    <row r="591" spans="1:25" x14ac:dyDescent="0.3">
      <c r="A591" s="8" t="s">
        <v>916</v>
      </c>
      <c r="B591" s="14">
        <v>46049</v>
      </c>
      <c r="C591" s="8" t="s">
        <v>576</v>
      </c>
      <c r="D591" s="8" t="s">
        <v>168</v>
      </c>
      <c r="E591" s="8" t="s">
        <v>63</v>
      </c>
      <c r="F591">
        <v>1</v>
      </c>
      <c r="G591">
        <v>2310</v>
      </c>
      <c r="H591">
        <v>0.2</v>
      </c>
      <c r="I591" s="8" t="s">
        <v>17</v>
      </c>
      <c r="J591" s="8" t="s">
        <v>18</v>
      </c>
      <c r="K591" s="8" t="s">
        <v>41</v>
      </c>
      <c r="L591">
        <v>1848</v>
      </c>
      <c r="M591" s="8" t="s">
        <v>20</v>
      </c>
      <c r="N591">
        <v>1848</v>
      </c>
      <c r="O591" s="8" t="s">
        <v>1701</v>
      </c>
      <c r="P591" s="8" t="s">
        <v>1540</v>
      </c>
      <c r="Q591" s="8" t="s">
        <v>1541</v>
      </c>
      <c r="R591" s="8" t="s">
        <v>20</v>
      </c>
      <c r="S591" s="8" t="s">
        <v>1542</v>
      </c>
      <c r="T591" s="8" t="s">
        <v>1572</v>
      </c>
      <c r="U591" s="8" t="s">
        <v>1571</v>
      </c>
      <c r="V591">
        <v>2200</v>
      </c>
      <c r="W591">
        <v>1450</v>
      </c>
      <c r="X591">
        <v>1848</v>
      </c>
      <c r="Y591">
        <v>398</v>
      </c>
    </row>
    <row r="592" spans="1:25" x14ac:dyDescent="0.3">
      <c r="A592" s="8" t="s">
        <v>917</v>
      </c>
      <c r="B592" s="14">
        <v>46032</v>
      </c>
      <c r="C592" s="8" t="s">
        <v>120</v>
      </c>
      <c r="D592" s="8" t="s">
        <v>95</v>
      </c>
      <c r="E592" s="8" t="s">
        <v>161</v>
      </c>
      <c r="F592">
        <v>1</v>
      </c>
      <c r="G592">
        <v>2730</v>
      </c>
      <c r="H592">
        <v>0.2</v>
      </c>
      <c r="I592" s="8" t="s">
        <v>17</v>
      </c>
      <c r="J592" s="8" t="s">
        <v>18</v>
      </c>
      <c r="K592" s="8" t="s">
        <v>55</v>
      </c>
      <c r="L592">
        <v>2184</v>
      </c>
      <c r="M592" s="8" t="s">
        <v>32</v>
      </c>
      <c r="N592">
        <v>2184</v>
      </c>
      <c r="O592" s="8" t="s">
        <v>1701</v>
      </c>
      <c r="P592" s="8" t="s">
        <v>1556</v>
      </c>
      <c r="Q592" s="8" t="s">
        <v>1554</v>
      </c>
      <c r="R592" s="8" t="s">
        <v>1557</v>
      </c>
      <c r="S592" s="8" t="s">
        <v>1542</v>
      </c>
      <c r="T592" s="8" t="s">
        <v>1578</v>
      </c>
      <c r="U592" s="8" t="s">
        <v>1571</v>
      </c>
      <c r="V592">
        <v>2600</v>
      </c>
      <c r="W592">
        <v>1750</v>
      </c>
      <c r="X592">
        <v>2184</v>
      </c>
      <c r="Y592">
        <v>434</v>
      </c>
    </row>
    <row r="593" spans="1:25" x14ac:dyDescent="0.3">
      <c r="A593" s="8" t="s">
        <v>918</v>
      </c>
      <c r="B593" s="14">
        <v>46126</v>
      </c>
      <c r="C593" s="8" t="s">
        <v>230</v>
      </c>
      <c r="D593" s="8" t="s">
        <v>90</v>
      </c>
      <c r="E593" s="8" t="s">
        <v>85</v>
      </c>
      <c r="F593">
        <v>4</v>
      </c>
      <c r="G593">
        <v>46075</v>
      </c>
      <c r="H593">
        <v>0</v>
      </c>
      <c r="I593" s="8" t="s">
        <v>17</v>
      </c>
      <c r="J593" s="8" t="s">
        <v>18</v>
      </c>
      <c r="K593" s="8" t="s">
        <v>1698</v>
      </c>
      <c r="L593">
        <v>184300</v>
      </c>
      <c r="M593" s="8" t="s">
        <v>48</v>
      </c>
      <c r="N593">
        <v>184300</v>
      </c>
      <c r="O593" s="8" t="s">
        <v>1701</v>
      </c>
      <c r="P593" s="8" t="s">
        <v>1562</v>
      </c>
      <c r="Q593" s="8" t="s">
        <v>1563</v>
      </c>
      <c r="R593" s="8" t="s">
        <v>48</v>
      </c>
      <c r="S593" s="8" t="s">
        <v>1542</v>
      </c>
      <c r="T593" s="8" t="s">
        <v>1585</v>
      </c>
      <c r="U593" s="8" t="s">
        <v>1586</v>
      </c>
      <c r="V593">
        <v>48500</v>
      </c>
      <c r="W593">
        <v>41200</v>
      </c>
      <c r="X593">
        <v>184300</v>
      </c>
      <c r="Y593">
        <v>19500</v>
      </c>
    </row>
    <row r="594" spans="1:25" x14ac:dyDescent="0.3">
      <c r="A594" s="8" t="s">
        <v>919</v>
      </c>
      <c r="B594" s="14">
        <v>46160</v>
      </c>
      <c r="C594" s="8" t="s">
        <v>256</v>
      </c>
      <c r="D594" s="8" t="s">
        <v>77</v>
      </c>
      <c r="E594" s="8" t="s">
        <v>36</v>
      </c>
      <c r="F594">
        <v>2</v>
      </c>
      <c r="G594">
        <v>1330</v>
      </c>
      <c r="H594">
        <v>0.05</v>
      </c>
      <c r="I594" s="8" t="s">
        <v>17</v>
      </c>
      <c r="J594" s="8" t="s">
        <v>47</v>
      </c>
      <c r="K594" s="8" t="s">
        <v>1698</v>
      </c>
      <c r="L594">
        <v>2527</v>
      </c>
      <c r="M594" s="8" t="s">
        <v>56</v>
      </c>
      <c r="N594">
        <v>2527</v>
      </c>
      <c r="O594" s="8" t="s">
        <v>1701</v>
      </c>
      <c r="P594" s="8" t="s">
        <v>1564</v>
      </c>
      <c r="Q594" s="8" t="s">
        <v>1563</v>
      </c>
      <c r="R594" s="8" t="s">
        <v>1565</v>
      </c>
      <c r="S594" s="8" t="s">
        <v>1542</v>
      </c>
      <c r="T594" s="8" t="s">
        <v>1577</v>
      </c>
      <c r="U594" s="8" t="s">
        <v>1571</v>
      </c>
      <c r="V594">
        <v>1400</v>
      </c>
      <c r="W594">
        <v>780</v>
      </c>
      <c r="X594">
        <v>2527</v>
      </c>
      <c r="Y594">
        <v>967</v>
      </c>
    </row>
    <row r="595" spans="1:25" x14ac:dyDescent="0.3">
      <c r="A595" s="8" t="s">
        <v>920</v>
      </c>
      <c r="B595" s="14">
        <v>46097</v>
      </c>
      <c r="C595" s="8" t="s">
        <v>1702</v>
      </c>
      <c r="D595" s="8" t="s">
        <v>95</v>
      </c>
      <c r="E595" s="8" t="s">
        <v>24</v>
      </c>
      <c r="F595">
        <v>1</v>
      </c>
      <c r="G595">
        <v>11200</v>
      </c>
      <c r="H595">
        <v>0</v>
      </c>
      <c r="I595" s="8" t="s">
        <v>116</v>
      </c>
      <c r="J595" s="8" t="s">
        <v>18</v>
      </c>
      <c r="K595" s="8" t="s">
        <v>1698</v>
      </c>
      <c r="L595">
        <v>11200</v>
      </c>
      <c r="M595" s="8" t="s">
        <v>138</v>
      </c>
      <c r="N595">
        <v>11200</v>
      </c>
      <c r="O595" s="8" t="s">
        <v>1701</v>
      </c>
      <c r="P595" s="8" t="s">
        <v>1556</v>
      </c>
      <c r="Q595" s="8" t="s">
        <v>1554</v>
      </c>
      <c r="R595" s="8" t="s">
        <v>1557</v>
      </c>
      <c r="S595" s="8" t="s">
        <v>1542</v>
      </c>
      <c r="T595" s="8" t="s">
        <v>1574</v>
      </c>
      <c r="U595" s="8" t="s">
        <v>1575</v>
      </c>
      <c r="V595">
        <v>11200</v>
      </c>
      <c r="W595">
        <v>8300</v>
      </c>
      <c r="X595">
        <v>0</v>
      </c>
      <c r="Y595">
        <v>-8300</v>
      </c>
    </row>
    <row r="596" spans="1:25" x14ac:dyDescent="0.3">
      <c r="A596" s="8" t="s">
        <v>921</v>
      </c>
      <c r="B596" s="14">
        <v>46147</v>
      </c>
      <c r="C596" s="8" t="s">
        <v>922</v>
      </c>
      <c r="D596" s="8" t="s">
        <v>15</v>
      </c>
      <c r="E596" s="8" t="s">
        <v>74</v>
      </c>
      <c r="F596">
        <v>2</v>
      </c>
      <c r="G596">
        <v>2400</v>
      </c>
      <c r="H596">
        <v>0</v>
      </c>
      <c r="I596" s="8" t="s">
        <v>17</v>
      </c>
      <c r="J596" s="8" t="s">
        <v>71</v>
      </c>
      <c r="K596" s="8" t="s">
        <v>55</v>
      </c>
      <c r="L596">
        <v>4800</v>
      </c>
      <c r="M596" s="8" t="s">
        <v>32</v>
      </c>
      <c r="N596">
        <v>4800</v>
      </c>
      <c r="O596" s="8" t="s">
        <v>1701</v>
      </c>
      <c r="P596" s="8" t="s">
        <v>1543</v>
      </c>
      <c r="Q596" s="8" t="s">
        <v>1541</v>
      </c>
      <c r="R596" s="8" t="s">
        <v>52</v>
      </c>
      <c r="S596" s="8" t="s">
        <v>1542</v>
      </c>
      <c r="T596" s="8" t="s">
        <v>1584</v>
      </c>
      <c r="U596" s="8" t="s">
        <v>1583</v>
      </c>
      <c r="V596">
        <v>2400</v>
      </c>
      <c r="W596">
        <v>1480</v>
      </c>
      <c r="X596">
        <v>4800</v>
      </c>
      <c r="Y596">
        <v>1840</v>
      </c>
    </row>
    <row r="597" spans="1:25" x14ac:dyDescent="0.3">
      <c r="A597" s="8" t="s">
        <v>923</v>
      </c>
      <c r="B597" s="14">
        <v>46039</v>
      </c>
      <c r="C597" s="8" t="s">
        <v>467</v>
      </c>
      <c r="D597" s="8" t="s">
        <v>29</v>
      </c>
      <c r="E597" s="8" t="s">
        <v>51</v>
      </c>
      <c r="F597">
        <v>3</v>
      </c>
      <c r="G597">
        <v>19425</v>
      </c>
      <c r="H597">
        <v>0.1</v>
      </c>
      <c r="I597" s="8" t="s">
        <v>17</v>
      </c>
      <c r="J597" s="8" t="s">
        <v>31</v>
      </c>
      <c r="K597" s="8" t="s">
        <v>67</v>
      </c>
      <c r="L597">
        <v>52447.5</v>
      </c>
      <c r="M597" s="8" t="s">
        <v>20</v>
      </c>
      <c r="N597">
        <v>52447.5</v>
      </c>
      <c r="O597" s="8" t="s">
        <v>1701</v>
      </c>
      <c r="P597" s="8" t="s">
        <v>1560</v>
      </c>
      <c r="Q597" s="8" t="s">
        <v>1559</v>
      </c>
      <c r="R597" s="8" t="s">
        <v>1561</v>
      </c>
      <c r="S597" s="8" t="s">
        <v>1542</v>
      </c>
      <c r="T597" s="8" t="s">
        <v>1581</v>
      </c>
      <c r="U597" s="8" t="s">
        <v>1580</v>
      </c>
      <c r="V597">
        <v>18500</v>
      </c>
      <c r="W597">
        <v>13900</v>
      </c>
      <c r="X597">
        <v>52447.5</v>
      </c>
      <c r="Y597">
        <v>10747.5</v>
      </c>
    </row>
    <row r="598" spans="1:25" x14ac:dyDescent="0.3">
      <c r="A598" s="8" t="s">
        <v>924</v>
      </c>
      <c r="B598" s="14">
        <v>46109</v>
      </c>
      <c r="C598" s="8" t="s">
        <v>709</v>
      </c>
      <c r="D598" s="8" t="s">
        <v>29</v>
      </c>
      <c r="E598" s="8" t="s">
        <v>85</v>
      </c>
      <c r="F598">
        <v>1</v>
      </c>
      <c r="G598">
        <v>50925</v>
      </c>
      <c r="H598">
        <v>0</v>
      </c>
      <c r="I598" s="8" t="s">
        <v>17</v>
      </c>
      <c r="J598" s="8" t="s">
        <v>71</v>
      </c>
      <c r="K598" s="8" t="s">
        <v>1698</v>
      </c>
      <c r="L598">
        <v>50925</v>
      </c>
      <c r="M598" s="8" t="s">
        <v>20</v>
      </c>
      <c r="N598">
        <v>50925</v>
      </c>
      <c r="O598" s="8" t="s">
        <v>1701</v>
      </c>
      <c r="P598" s="8" t="s">
        <v>1560</v>
      </c>
      <c r="Q598" s="8" t="s">
        <v>1559</v>
      </c>
      <c r="R598" s="8" t="s">
        <v>1561</v>
      </c>
      <c r="S598" s="8" t="s">
        <v>1542</v>
      </c>
      <c r="T598" s="8" t="s">
        <v>1585</v>
      </c>
      <c r="U598" s="8" t="s">
        <v>1586</v>
      </c>
      <c r="V598">
        <v>48500</v>
      </c>
      <c r="W598">
        <v>41200</v>
      </c>
      <c r="X598">
        <v>50925</v>
      </c>
      <c r="Y598">
        <v>9725</v>
      </c>
    </row>
    <row r="599" spans="1:25" x14ac:dyDescent="0.3">
      <c r="A599" s="8" t="s">
        <v>925</v>
      </c>
      <c r="B599" s="14">
        <v>46059</v>
      </c>
      <c r="C599" s="8" t="s">
        <v>234</v>
      </c>
      <c r="D599" s="8" t="s">
        <v>62</v>
      </c>
      <c r="E599" s="8" t="s">
        <v>74</v>
      </c>
      <c r="F599">
        <v>1</v>
      </c>
      <c r="G599">
        <v>2400</v>
      </c>
      <c r="H599">
        <v>0.15</v>
      </c>
      <c r="I599" s="8" t="s">
        <v>17</v>
      </c>
      <c r="J599" s="8" t="s">
        <v>71</v>
      </c>
      <c r="K599" s="8" t="s">
        <v>1698</v>
      </c>
      <c r="L599">
        <v>2040</v>
      </c>
      <c r="M599" s="8" t="s">
        <v>26</v>
      </c>
      <c r="N599">
        <v>2040</v>
      </c>
      <c r="O599" s="8" t="s">
        <v>1701</v>
      </c>
      <c r="P599" s="8" t="s">
        <v>1551</v>
      </c>
      <c r="Q599" s="8" t="s">
        <v>1549</v>
      </c>
      <c r="R599" s="8" t="s">
        <v>1552</v>
      </c>
      <c r="S599" s="8" t="s">
        <v>1542</v>
      </c>
      <c r="T599" s="8" t="s">
        <v>1584</v>
      </c>
      <c r="U599" s="8" t="s">
        <v>1583</v>
      </c>
      <c r="V599">
        <v>2400</v>
      </c>
      <c r="W599">
        <v>1480</v>
      </c>
      <c r="X599">
        <v>2040</v>
      </c>
      <c r="Y599">
        <v>560</v>
      </c>
    </row>
    <row r="600" spans="1:25" x14ac:dyDescent="0.3">
      <c r="A600" s="8" t="s">
        <v>926</v>
      </c>
      <c r="B600" s="14">
        <v>46047</v>
      </c>
      <c r="C600" s="8" t="s">
        <v>65</v>
      </c>
      <c r="D600" s="8" t="s">
        <v>62</v>
      </c>
      <c r="E600" s="8" t="s">
        <v>183</v>
      </c>
      <c r="F600">
        <v>1</v>
      </c>
      <c r="G600">
        <v>3040</v>
      </c>
      <c r="H600">
        <v>0.15</v>
      </c>
      <c r="I600" s="8" t="s">
        <v>17</v>
      </c>
      <c r="J600" s="8" t="s">
        <v>18</v>
      </c>
      <c r="K600" s="8" t="s">
        <v>25</v>
      </c>
      <c r="L600">
        <v>2584</v>
      </c>
      <c r="M600" s="8" t="s">
        <v>48</v>
      </c>
      <c r="N600">
        <v>2584</v>
      </c>
      <c r="O600" s="8" t="s">
        <v>1701</v>
      </c>
      <c r="P600" s="8" t="s">
        <v>1551</v>
      </c>
      <c r="Q600" s="8" t="s">
        <v>1549</v>
      </c>
      <c r="R600" s="8" t="s">
        <v>1552</v>
      </c>
      <c r="S600" s="8" t="s">
        <v>1542</v>
      </c>
      <c r="T600" s="8" t="s">
        <v>1582</v>
      </c>
      <c r="U600" s="8" t="s">
        <v>1583</v>
      </c>
      <c r="V600">
        <v>3200</v>
      </c>
      <c r="W600">
        <v>2050</v>
      </c>
      <c r="X600">
        <v>2584</v>
      </c>
      <c r="Y600">
        <v>534</v>
      </c>
    </row>
    <row r="601" spans="1:25" x14ac:dyDescent="0.3">
      <c r="A601" s="8" t="s">
        <v>927</v>
      </c>
      <c r="B601" s="14">
        <v>46079</v>
      </c>
      <c r="C601" s="8" t="s">
        <v>546</v>
      </c>
      <c r="D601" s="8" t="s">
        <v>15</v>
      </c>
      <c r="E601" s="8" t="s">
        <v>24</v>
      </c>
      <c r="F601">
        <v>2</v>
      </c>
      <c r="G601">
        <v>11200</v>
      </c>
      <c r="H601">
        <v>0.2</v>
      </c>
      <c r="I601" s="8" t="s">
        <v>17</v>
      </c>
      <c r="J601" s="8" t="s">
        <v>71</v>
      </c>
      <c r="K601" s="8" t="s">
        <v>67</v>
      </c>
      <c r="L601">
        <v>17920</v>
      </c>
      <c r="M601" s="8" t="s">
        <v>52</v>
      </c>
      <c r="N601">
        <v>17920</v>
      </c>
      <c r="O601" s="8" t="s">
        <v>1701</v>
      </c>
      <c r="P601" s="8" t="s">
        <v>1543</v>
      </c>
      <c r="Q601" s="8" t="s">
        <v>1541</v>
      </c>
      <c r="R601" s="8" t="s">
        <v>52</v>
      </c>
      <c r="S601" s="8" t="s">
        <v>1542</v>
      </c>
      <c r="T601" s="8" t="s">
        <v>1574</v>
      </c>
      <c r="U601" s="8" t="s">
        <v>1575</v>
      </c>
      <c r="V601">
        <v>11200</v>
      </c>
      <c r="W601">
        <v>8300</v>
      </c>
      <c r="X601">
        <v>17920</v>
      </c>
      <c r="Y601">
        <v>1320</v>
      </c>
    </row>
    <row r="602" spans="1:25" x14ac:dyDescent="0.3">
      <c r="A602" s="8" t="s">
        <v>928</v>
      </c>
      <c r="B602" s="14">
        <v>46034</v>
      </c>
      <c r="C602" s="8" t="s">
        <v>487</v>
      </c>
      <c r="D602" s="8" t="s">
        <v>40</v>
      </c>
      <c r="E602" s="8" t="s">
        <v>30</v>
      </c>
      <c r="F602">
        <v>2</v>
      </c>
      <c r="G602">
        <v>1890</v>
      </c>
      <c r="H602">
        <v>0</v>
      </c>
      <c r="I602" s="8" t="s">
        <v>17</v>
      </c>
      <c r="J602" s="8" t="s">
        <v>47</v>
      </c>
      <c r="K602" s="8" t="s">
        <v>25</v>
      </c>
      <c r="L602">
        <v>3780</v>
      </c>
      <c r="M602" s="8" t="s">
        <v>59</v>
      </c>
      <c r="N602">
        <v>3780</v>
      </c>
      <c r="O602" s="8" t="s">
        <v>1701</v>
      </c>
      <c r="P602" s="8" t="s">
        <v>1555</v>
      </c>
      <c r="Q602" s="8" t="s">
        <v>1554</v>
      </c>
      <c r="R602" s="8" t="s">
        <v>82</v>
      </c>
      <c r="S602" s="8" t="s">
        <v>1542</v>
      </c>
      <c r="T602" s="8" t="s">
        <v>1573</v>
      </c>
      <c r="U602" s="8" t="s">
        <v>1571</v>
      </c>
      <c r="V602">
        <v>1800</v>
      </c>
      <c r="W602">
        <v>1120</v>
      </c>
      <c r="X602">
        <v>3780</v>
      </c>
      <c r="Y602">
        <v>1540</v>
      </c>
    </row>
    <row r="603" spans="1:25" x14ac:dyDescent="0.3">
      <c r="A603" s="8" t="s">
        <v>929</v>
      </c>
      <c r="B603" s="14">
        <v>46135</v>
      </c>
      <c r="C603" s="8" t="s">
        <v>381</v>
      </c>
      <c r="D603" s="8" t="s">
        <v>23</v>
      </c>
      <c r="E603" s="8" t="s">
        <v>183</v>
      </c>
      <c r="F603">
        <v>1</v>
      </c>
      <c r="G603">
        <v>3360</v>
      </c>
      <c r="H603">
        <v>0</v>
      </c>
      <c r="I603" s="8" t="s">
        <v>17</v>
      </c>
      <c r="J603" s="8" t="s">
        <v>31</v>
      </c>
      <c r="K603" s="8" t="s">
        <v>55</v>
      </c>
      <c r="L603">
        <v>3360</v>
      </c>
      <c r="M603" s="8" t="s">
        <v>42</v>
      </c>
      <c r="N603">
        <v>3360</v>
      </c>
      <c r="O603" s="8" t="s">
        <v>1701</v>
      </c>
      <c r="P603" s="8" t="s">
        <v>1545</v>
      </c>
      <c r="Q603" s="8" t="s">
        <v>1541</v>
      </c>
      <c r="R603" s="8" t="s">
        <v>1546</v>
      </c>
      <c r="S603" s="8" t="s">
        <v>1542</v>
      </c>
      <c r="T603" s="8" t="s">
        <v>1582</v>
      </c>
      <c r="U603" s="8" t="s">
        <v>1583</v>
      </c>
      <c r="V603">
        <v>3200</v>
      </c>
      <c r="W603">
        <v>2050</v>
      </c>
      <c r="X603">
        <v>3360</v>
      </c>
      <c r="Y603">
        <v>1310</v>
      </c>
    </row>
    <row r="604" spans="1:25" x14ac:dyDescent="0.3">
      <c r="A604" s="8" t="s">
        <v>930</v>
      </c>
      <c r="B604" s="14">
        <v>46024</v>
      </c>
      <c r="C604" s="8" t="s">
        <v>1702</v>
      </c>
      <c r="D604" s="8" t="s">
        <v>168</v>
      </c>
      <c r="E604" s="8" t="s">
        <v>30</v>
      </c>
      <c r="F604">
        <v>8</v>
      </c>
      <c r="G604">
        <v>1800</v>
      </c>
      <c r="H604">
        <v>0.2</v>
      </c>
      <c r="I604" s="8" t="s">
        <v>17</v>
      </c>
      <c r="J604" s="8" t="s">
        <v>18</v>
      </c>
      <c r="K604" s="8" t="s">
        <v>41</v>
      </c>
      <c r="L604">
        <v>11520</v>
      </c>
      <c r="M604" s="8" t="s">
        <v>52</v>
      </c>
      <c r="N604">
        <v>11520</v>
      </c>
      <c r="O604" s="8" t="s">
        <v>1701</v>
      </c>
      <c r="P604" s="8" t="s">
        <v>1540</v>
      </c>
      <c r="Q604" s="8" t="s">
        <v>1541</v>
      </c>
      <c r="R604" s="8" t="s">
        <v>20</v>
      </c>
      <c r="S604" s="8" t="s">
        <v>1542</v>
      </c>
      <c r="T604" s="8" t="s">
        <v>1573</v>
      </c>
      <c r="U604" s="8" t="s">
        <v>1571</v>
      </c>
      <c r="V604">
        <v>1800</v>
      </c>
      <c r="W604">
        <v>1120</v>
      </c>
      <c r="X604">
        <v>11520</v>
      </c>
      <c r="Y604">
        <v>2560</v>
      </c>
    </row>
    <row r="605" spans="1:25" x14ac:dyDescent="0.3">
      <c r="A605" s="8" t="s">
        <v>931</v>
      </c>
      <c r="B605" s="14">
        <v>46059</v>
      </c>
      <c r="C605" s="8" t="s">
        <v>419</v>
      </c>
      <c r="D605" s="8" t="s">
        <v>95</v>
      </c>
      <c r="E605" s="8" t="s">
        <v>135</v>
      </c>
      <c r="F605">
        <v>2</v>
      </c>
      <c r="G605">
        <v>16800</v>
      </c>
      <c r="H605">
        <v>0.1</v>
      </c>
      <c r="I605" s="8" t="s">
        <v>17</v>
      </c>
      <c r="J605" s="8" t="s">
        <v>71</v>
      </c>
      <c r="K605" s="8" t="s">
        <v>55</v>
      </c>
      <c r="L605">
        <v>30240</v>
      </c>
      <c r="M605" s="8" t="s">
        <v>48</v>
      </c>
      <c r="N605">
        <v>30240</v>
      </c>
      <c r="O605" s="8" t="s">
        <v>1701</v>
      </c>
      <c r="P605" s="8" t="s">
        <v>1556</v>
      </c>
      <c r="Q605" s="8" t="s">
        <v>1554</v>
      </c>
      <c r="R605" s="8" t="s">
        <v>1557</v>
      </c>
      <c r="S605" s="8" t="s">
        <v>1542</v>
      </c>
      <c r="T605" s="8" t="s">
        <v>1576</v>
      </c>
      <c r="U605" s="8" t="s">
        <v>1575</v>
      </c>
      <c r="V605">
        <v>16800</v>
      </c>
      <c r="W605">
        <v>12600</v>
      </c>
      <c r="X605">
        <v>30240</v>
      </c>
      <c r="Y605">
        <v>5040</v>
      </c>
    </row>
    <row r="606" spans="1:25" x14ac:dyDescent="0.3">
      <c r="A606" s="8" t="s">
        <v>932</v>
      </c>
      <c r="B606" s="14">
        <v>46045</v>
      </c>
      <c r="C606" s="8" t="s">
        <v>440</v>
      </c>
      <c r="D606" s="8" t="s">
        <v>95</v>
      </c>
      <c r="E606" s="8" t="s">
        <v>135</v>
      </c>
      <c r="F606">
        <v>2</v>
      </c>
      <c r="G606">
        <v>16800</v>
      </c>
      <c r="H606">
        <v>0</v>
      </c>
      <c r="I606" s="8" t="s">
        <v>17</v>
      </c>
      <c r="J606" s="8" t="s">
        <v>31</v>
      </c>
      <c r="K606" s="8" t="s">
        <v>25</v>
      </c>
      <c r="L606">
        <v>33600</v>
      </c>
      <c r="M606" s="8" t="s">
        <v>138</v>
      </c>
      <c r="N606">
        <v>33600</v>
      </c>
      <c r="O606" s="8" t="s">
        <v>1701</v>
      </c>
      <c r="P606" s="8" t="s">
        <v>1556</v>
      </c>
      <c r="Q606" s="8" t="s">
        <v>1554</v>
      </c>
      <c r="R606" s="8" t="s">
        <v>1557</v>
      </c>
      <c r="S606" s="8" t="s">
        <v>1542</v>
      </c>
      <c r="T606" s="8" t="s">
        <v>1576</v>
      </c>
      <c r="U606" s="8" t="s">
        <v>1575</v>
      </c>
      <c r="V606">
        <v>16800</v>
      </c>
      <c r="W606">
        <v>12600</v>
      </c>
      <c r="X606">
        <v>33600</v>
      </c>
      <c r="Y606">
        <v>8400</v>
      </c>
    </row>
    <row r="607" spans="1:25" x14ac:dyDescent="0.3">
      <c r="A607" s="8" t="s">
        <v>933</v>
      </c>
      <c r="B607" s="14">
        <v>46161</v>
      </c>
      <c r="C607" s="8" t="s">
        <v>196</v>
      </c>
      <c r="D607" s="8" t="s">
        <v>152</v>
      </c>
      <c r="E607" s="8" t="s">
        <v>24</v>
      </c>
      <c r="F607">
        <v>2</v>
      </c>
      <c r="G607">
        <v>11200</v>
      </c>
      <c r="H607">
        <v>0.2</v>
      </c>
      <c r="I607" s="8" t="s">
        <v>17</v>
      </c>
      <c r="J607" s="8" t="s">
        <v>71</v>
      </c>
      <c r="K607" s="8" t="s">
        <v>1698</v>
      </c>
      <c r="L607">
        <v>17920</v>
      </c>
      <c r="M607" s="8" t="s">
        <v>59</v>
      </c>
      <c r="N607">
        <v>17920</v>
      </c>
      <c r="O607" s="8" t="s">
        <v>1701</v>
      </c>
      <c r="P607" s="8" t="s">
        <v>1553</v>
      </c>
      <c r="Q607" s="8" t="s">
        <v>1554</v>
      </c>
      <c r="R607" s="8" t="s">
        <v>59</v>
      </c>
      <c r="S607" s="8" t="s">
        <v>1542</v>
      </c>
      <c r="T607" s="8" t="s">
        <v>1574</v>
      </c>
      <c r="U607" s="8" t="s">
        <v>1575</v>
      </c>
      <c r="V607">
        <v>11200</v>
      </c>
      <c r="W607">
        <v>8300</v>
      </c>
      <c r="X607">
        <v>17920</v>
      </c>
      <c r="Y607">
        <v>1320</v>
      </c>
    </row>
    <row r="608" spans="1:25" x14ac:dyDescent="0.3">
      <c r="A608" s="8" t="s">
        <v>934</v>
      </c>
      <c r="B608" s="14">
        <v>46198</v>
      </c>
      <c r="C608" s="8" t="s">
        <v>196</v>
      </c>
      <c r="D608" s="8" t="s">
        <v>90</v>
      </c>
      <c r="E608" s="8" t="s">
        <v>46</v>
      </c>
      <c r="F608">
        <v>2</v>
      </c>
      <c r="G608">
        <v>7410</v>
      </c>
      <c r="H608">
        <v>0</v>
      </c>
      <c r="I608" s="8" t="s">
        <v>17</v>
      </c>
      <c r="J608" s="8" t="s">
        <v>47</v>
      </c>
      <c r="K608" s="8" t="s">
        <v>67</v>
      </c>
      <c r="L608">
        <v>14820</v>
      </c>
      <c r="M608" s="8" t="s">
        <v>52</v>
      </c>
      <c r="N608">
        <v>14820</v>
      </c>
      <c r="O608" s="8" t="s">
        <v>1701</v>
      </c>
      <c r="P608" s="8" t="s">
        <v>1562</v>
      </c>
      <c r="Q608" s="8" t="s">
        <v>1563</v>
      </c>
      <c r="R608" s="8" t="s">
        <v>48</v>
      </c>
      <c r="S608" s="8" t="s">
        <v>1542</v>
      </c>
      <c r="T608" s="8" t="s">
        <v>1579</v>
      </c>
      <c r="U608" s="8" t="s">
        <v>1580</v>
      </c>
      <c r="V608">
        <v>7800</v>
      </c>
      <c r="W608">
        <v>5200</v>
      </c>
      <c r="X608">
        <v>14820</v>
      </c>
      <c r="Y608">
        <v>4420</v>
      </c>
    </row>
    <row r="609" spans="1:25" x14ac:dyDescent="0.3">
      <c r="A609" s="8" t="s">
        <v>935</v>
      </c>
      <c r="B609" s="14">
        <v>46134</v>
      </c>
      <c r="C609" s="8" t="s">
        <v>310</v>
      </c>
      <c r="D609" s="8" t="s">
        <v>45</v>
      </c>
      <c r="E609" s="8" t="s">
        <v>36</v>
      </c>
      <c r="F609">
        <v>3</v>
      </c>
      <c r="G609">
        <v>1330</v>
      </c>
      <c r="H609">
        <v>0.1</v>
      </c>
      <c r="I609" s="8" t="s">
        <v>17</v>
      </c>
      <c r="J609" s="8" t="s">
        <v>71</v>
      </c>
      <c r="K609" s="8" t="s">
        <v>1698</v>
      </c>
      <c r="L609">
        <v>3591</v>
      </c>
      <c r="M609" s="8" t="s">
        <v>56</v>
      </c>
      <c r="N609">
        <v>3591</v>
      </c>
      <c r="O609" s="8" t="s">
        <v>1701</v>
      </c>
      <c r="P609" s="8" t="s">
        <v>1547</v>
      </c>
      <c r="Q609" s="8" t="s">
        <v>1541</v>
      </c>
      <c r="R609" s="8" t="s">
        <v>56</v>
      </c>
      <c r="S609" s="8" t="s">
        <v>1542</v>
      </c>
      <c r="T609" s="8" t="s">
        <v>1577</v>
      </c>
      <c r="U609" s="8" t="s">
        <v>1571</v>
      </c>
      <c r="V609">
        <v>1400</v>
      </c>
      <c r="W609">
        <v>780</v>
      </c>
      <c r="X609">
        <v>3591</v>
      </c>
      <c r="Y609">
        <v>1251</v>
      </c>
    </row>
    <row r="610" spans="1:25" x14ac:dyDescent="0.3">
      <c r="A610" s="8" t="s">
        <v>936</v>
      </c>
      <c r="B610" s="14">
        <v>46154</v>
      </c>
      <c r="C610" s="8" t="s">
        <v>163</v>
      </c>
      <c r="D610" s="8" t="s">
        <v>15</v>
      </c>
      <c r="E610" s="8" t="s">
        <v>63</v>
      </c>
      <c r="F610">
        <v>5</v>
      </c>
      <c r="G610">
        <v>2200</v>
      </c>
      <c r="H610">
        <v>0.2</v>
      </c>
      <c r="I610" s="8" t="s">
        <v>17</v>
      </c>
      <c r="J610" s="8" t="s">
        <v>71</v>
      </c>
      <c r="K610" s="8" t="s">
        <v>67</v>
      </c>
      <c r="L610">
        <v>8800</v>
      </c>
      <c r="M610" s="8" t="s">
        <v>52</v>
      </c>
      <c r="N610">
        <v>8800</v>
      </c>
      <c r="O610" s="8" t="s">
        <v>1701</v>
      </c>
      <c r="P610" s="8" t="s">
        <v>1543</v>
      </c>
      <c r="Q610" s="8" t="s">
        <v>1541</v>
      </c>
      <c r="R610" s="8" t="s">
        <v>52</v>
      </c>
      <c r="S610" s="8" t="s">
        <v>1542</v>
      </c>
      <c r="T610" s="8" t="s">
        <v>1572</v>
      </c>
      <c r="U610" s="8" t="s">
        <v>1571</v>
      </c>
      <c r="V610">
        <v>2200</v>
      </c>
      <c r="W610">
        <v>1450</v>
      </c>
      <c r="X610">
        <v>8800</v>
      </c>
      <c r="Y610">
        <v>1550</v>
      </c>
    </row>
    <row r="611" spans="1:25" x14ac:dyDescent="0.3">
      <c r="A611" s="8" t="s">
        <v>937</v>
      </c>
      <c r="B611" s="14">
        <v>46051</v>
      </c>
      <c r="C611" s="8" t="s">
        <v>596</v>
      </c>
      <c r="D611" s="8" t="s">
        <v>35</v>
      </c>
      <c r="E611" s="8" t="s">
        <v>24</v>
      </c>
      <c r="F611">
        <v>1</v>
      </c>
      <c r="G611">
        <v>11200</v>
      </c>
      <c r="H611">
        <v>0.2</v>
      </c>
      <c r="I611" s="8" t="s">
        <v>17</v>
      </c>
      <c r="J611" s="8" t="s">
        <v>71</v>
      </c>
      <c r="K611" s="8" t="s">
        <v>1698</v>
      </c>
      <c r="L611">
        <v>8960</v>
      </c>
      <c r="M611" s="8" t="s">
        <v>56</v>
      </c>
      <c r="N611">
        <v>8960</v>
      </c>
      <c r="O611" s="8" t="s">
        <v>1701</v>
      </c>
      <c r="P611" s="8" t="s">
        <v>1548</v>
      </c>
      <c r="Q611" s="8" t="s">
        <v>1549</v>
      </c>
      <c r="R611" s="8" t="s">
        <v>42</v>
      </c>
      <c r="S611" s="8" t="s">
        <v>1542</v>
      </c>
      <c r="T611" s="8" t="s">
        <v>1574</v>
      </c>
      <c r="U611" s="8" t="s">
        <v>1575</v>
      </c>
      <c r="V611">
        <v>11200</v>
      </c>
      <c r="W611">
        <v>8300</v>
      </c>
      <c r="X611">
        <v>8960</v>
      </c>
      <c r="Y611">
        <v>660</v>
      </c>
    </row>
    <row r="612" spans="1:25" x14ac:dyDescent="0.3">
      <c r="A612" s="8" t="s">
        <v>938</v>
      </c>
      <c r="B612" s="14">
        <v>46172</v>
      </c>
      <c r="C612" s="8" t="s">
        <v>551</v>
      </c>
      <c r="D612" s="8" t="s">
        <v>62</v>
      </c>
      <c r="E612" s="8" t="s">
        <v>16</v>
      </c>
      <c r="F612">
        <v>5</v>
      </c>
      <c r="G612">
        <v>682.5</v>
      </c>
      <c r="H612">
        <v>0</v>
      </c>
      <c r="I612" s="8" t="s">
        <v>17</v>
      </c>
      <c r="J612" s="8" t="s">
        <v>18</v>
      </c>
      <c r="K612" s="8" t="s">
        <v>67</v>
      </c>
      <c r="L612">
        <v>3412.5</v>
      </c>
      <c r="M612" s="8" t="s">
        <v>59</v>
      </c>
      <c r="N612">
        <v>3412.5</v>
      </c>
      <c r="O612" s="8" t="s">
        <v>1701</v>
      </c>
      <c r="P612" s="8" t="s">
        <v>1551</v>
      </c>
      <c r="Q612" s="8" t="s">
        <v>1549</v>
      </c>
      <c r="R612" s="8" t="s">
        <v>1552</v>
      </c>
      <c r="S612" s="8" t="s">
        <v>1542</v>
      </c>
      <c r="T612" s="8" t="s">
        <v>1570</v>
      </c>
      <c r="U612" s="8" t="s">
        <v>1571</v>
      </c>
      <c r="V612">
        <v>650</v>
      </c>
      <c r="W612">
        <v>390</v>
      </c>
      <c r="X612">
        <v>3412.5</v>
      </c>
      <c r="Y612">
        <v>1462.5</v>
      </c>
    </row>
    <row r="613" spans="1:25" x14ac:dyDescent="0.3">
      <c r="A613" s="8" t="s">
        <v>939</v>
      </c>
      <c r="B613" s="14">
        <v>46140</v>
      </c>
      <c r="C613" s="8" t="s">
        <v>444</v>
      </c>
      <c r="D613" s="8" t="s">
        <v>123</v>
      </c>
      <c r="E613" s="8" t="s">
        <v>24</v>
      </c>
      <c r="F613">
        <v>3</v>
      </c>
      <c r="G613">
        <v>11200</v>
      </c>
      <c r="I613" s="8" t="s">
        <v>17</v>
      </c>
      <c r="J613" s="8" t="s">
        <v>31</v>
      </c>
      <c r="K613" s="8" t="s">
        <v>67</v>
      </c>
      <c r="L613">
        <v>31920</v>
      </c>
      <c r="M613" s="8" t="s">
        <v>59</v>
      </c>
      <c r="O613" s="8" t="s">
        <v>1703</v>
      </c>
      <c r="P613" s="8" t="s">
        <v>1558</v>
      </c>
      <c r="Q613" s="8" t="s">
        <v>1559</v>
      </c>
      <c r="R613" s="8" t="s">
        <v>138</v>
      </c>
      <c r="S613" s="8" t="s">
        <v>1542</v>
      </c>
      <c r="T613" s="8" t="s">
        <v>1574</v>
      </c>
      <c r="U613" s="8" t="s">
        <v>1575</v>
      </c>
      <c r="V613">
        <v>11200</v>
      </c>
      <c r="W613">
        <v>8300</v>
      </c>
      <c r="X613">
        <v>0</v>
      </c>
      <c r="Y613">
        <v>-24900</v>
      </c>
    </row>
    <row r="614" spans="1:25" x14ac:dyDescent="0.3">
      <c r="A614" s="8" t="s">
        <v>940</v>
      </c>
      <c r="B614" s="14">
        <v>46051</v>
      </c>
      <c r="C614" s="8" t="s">
        <v>246</v>
      </c>
      <c r="D614" s="8" t="s">
        <v>90</v>
      </c>
      <c r="E614" s="8" t="s">
        <v>46</v>
      </c>
      <c r="F614">
        <v>2</v>
      </c>
      <c r="G614">
        <v>7800</v>
      </c>
      <c r="H614">
        <v>0</v>
      </c>
      <c r="I614" s="8" t="s">
        <v>17</v>
      </c>
      <c r="J614" s="8" t="s">
        <v>71</v>
      </c>
      <c r="K614" s="8" t="s">
        <v>25</v>
      </c>
      <c r="L614">
        <v>15600</v>
      </c>
      <c r="M614" s="8" t="s">
        <v>59</v>
      </c>
      <c r="N614">
        <v>15600</v>
      </c>
      <c r="O614" s="8" t="s">
        <v>1701</v>
      </c>
      <c r="P614" s="8" t="s">
        <v>1562</v>
      </c>
      <c r="Q614" s="8" t="s">
        <v>1563</v>
      </c>
      <c r="R614" s="8" t="s">
        <v>48</v>
      </c>
      <c r="S614" s="8" t="s">
        <v>1542</v>
      </c>
      <c r="T614" s="8" t="s">
        <v>1579</v>
      </c>
      <c r="U614" s="8" t="s">
        <v>1580</v>
      </c>
      <c r="V614">
        <v>7800</v>
      </c>
      <c r="W614">
        <v>5200</v>
      </c>
      <c r="X614">
        <v>15600</v>
      </c>
      <c r="Y614">
        <v>5200</v>
      </c>
    </row>
    <row r="615" spans="1:25" x14ac:dyDescent="0.3">
      <c r="A615" s="8" t="s">
        <v>941</v>
      </c>
      <c r="B615" s="14">
        <v>46196</v>
      </c>
      <c r="C615" s="8" t="s">
        <v>399</v>
      </c>
      <c r="D615" s="8" t="s">
        <v>152</v>
      </c>
      <c r="E615" s="8" t="s">
        <v>24</v>
      </c>
      <c r="F615">
        <v>1</v>
      </c>
      <c r="G615">
        <v>11200</v>
      </c>
      <c r="H615">
        <v>0.15</v>
      </c>
      <c r="I615" s="8" t="s">
        <v>17</v>
      </c>
      <c r="J615" s="8" t="s">
        <v>18</v>
      </c>
      <c r="K615" s="8" t="s">
        <v>67</v>
      </c>
      <c r="L615">
        <v>9520</v>
      </c>
      <c r="M615" s="8" t="s">
        <v>20</v>
      </c>
      <c r="N615">
        <v>9520</v>
      </c>
      <c r="O615" s="8" t="s">
        <v>1701</v>
      </c>
      <c r="P615" s="8" t="s">
        <v>1553</v>
      </c>
      <c r="Q615" s="8" t="s">
        <v>1554</v>
      </c>
      <c r="R615" s="8" t="s">
        <v>59</v>
      </c>
      <c r="S615" s="8" t="s">
        <v>1542</v>
      </c>
      <c r="T615" s="8" t="s">
        <v>1574</v>
      </c>
      <c r="U615" s="8" t="s">
        <v>1575</v>
      </c>
      <c r="V615">
        <v>11200</v>
      </c>
      <c r="W615">
        <v>8300</v>
      </c>
      <c r="X615">
        <v>9520</v>
      </c>
      <c r="Y615">
        <v>1220</v>
      </c>
    </row>
    <row r="616" spans="1:25" x14ac:dyDescent="0.3">
      <c r="A616" s="8" t="s">
        <v>943</v>
      </c>
      <c r="B616" s="14">
        <v>46132</v>
      </c>
      <c r="C616" s="8" t="s">
        <v>682</v>
      </c>
      <c r="D616" s="8" t="s">
        <v>123</v>
      </c>
      <c r="E616" s="8" t="s">
        <v>24</v>
      </c>
      <c r="F616">
        <v>1</v>
      </c>
      <c r="G616">
        <v>11200</v>
      </c>
      <c r="H616">
        <v>0.1</v>
      </c>
      <c r="I616" s="8" t="s">
        <v>17</v>
      </c>
      <c r="J616" s="8" t="s">
        <v>18</v>
      </c>
      <c r="K616" s="8" t="s">
        <v>1698</v>
      </c>
      <c r="L616">
        <v>10080</v>
      </c>
      <c r="M616" s="8" t="s">
        <v>20</v>
      </c>
      <c r="N616">
        <v>10080</v>
      </c>
      <c r="O616" s="8" t="s">
        <v>1701</v>
      </c>
      <c r="P616" s="8" t="s">
        <v>1558</v>
      </c>
      <c r="Q616" s="8" t="s">
        <v>1559</v>
      </c>
      <c r="R616" s="8" t="s">
        <v>138</v>
      </c>
      <c r="S616" s="8" t="s">
        <v>1542</v>
      </c>
      <c r="T616" s="8" t="s">
        <v>1574</v>
      </c>
      <c r="U616" s="8" t="s">
        <v>1575</v>
      </c>
      <c r="V616">
        <v>11200</v>
      </c>
      <c r="W616">
        <v>8300</v>
      </c>
      <c r="X616">
        <v>10080</v>
      </c>
      <c r="Y616">
        <v>1780</v>
      </c>
    </row>
    <row r="617" spans="1:25" x14ac:dyDescent="0.3">
      <c r="A617" s="8" t="s">
        <v>944</v>
      </c>
      <c r="B617" s="14">
        <v>46143</v>
      </c>
      <c r="C617" s="8" t="s">
        <v>84</v>
      </c>
      <c r="D617" s="8" t="s">
        <v>123</v>
      </c>
      <c r="E617" s="8" t="s">
        <v>51</v>
      </c>
      <c r="F617">
        <v>1</v>
      </c>
      <c r="G617">
        <v>17575</v>
      </c>
      <c r="H617">
        <v>0.15</v>
      </c>
      <c r="I617" s="8" t="s">
        <v>17</v>
      </c>
      <c r="J617" s="8" t="s">
        <v>18</v>
      </c>
      <c r="K617" s="8" t="s">
        <v>41</v>
      </c>
      <c r="L617">
        <v>14938.75</v>
      </c>
      <c r="M617" s="8" t="s">
        <v>42</v>
      </c>
      <c r="N617">
        <v>14938.75</v>
      </c>
      <c r="O617" s="8" t="s">
        <v>1701</v>
      </c>
      <c r="P617" s="8" t="s">
        <v>1558</v>
      </c>
      <c r="Q617" s="8" t="s">
        <v>1559</v>
      </c>
      <c r="R617" s="8" t="s">
        <v>138</v>
      </c>
      <c r="S617" s="8" t="s">
        <v>1542</v>
      </c>
      <c r="T617" s="8" t="s">
        <v>1581</v>
      </c>
      <c r="U617" s="8" t="s">
        <v>1580</v>
      </c>
      <c r="V617">
        <v>18500</v>
      </c>
      <c r="W617">
        <v>13900</v>
      </c>
      <c r="X617">
        <v>14938.75</v>
      </c>
      <c r="Y617">
        <v>1038.75</v>
      </c>
    </row>
    <row r="618" spans="1:25" x14ac:dyDescent="0.3">
      <c r="A618" s="8" t="s">
        <v>945</v>
      </c>
      <c r="B618" s="14">
        <v>46165</v>
      </c>
      <c r="C618" s="8" t="s">
        <v>528</v>
      </c>
      <c r="D618" s="8" t="s">
        <v>29</v>
      </c>
      <c r="E618" s="8" t="s">
        <v>16</v>
      </c>
      <c r="F618">
        <v>3</v>
      </c>
      <c r="G618">
        <v>650</v>
      </c>
      <c r="H618">
        <v>0.1</v>
      </c>
      <c r="I618" s="8" t="s">
        <v>80</v>
      </c>
      <c r="J618" s="8" t="s">
        <v>47</v>
      </c>
      <c r="K618" s="8" t="s">
        <v>41</v>
      </c>
      <c r="L618">
        <v>1755</v>
      </c>
      <c r="M618" s="8" t="s">
        <v>42</v>
      </c>
      <c r="N618">
        <v>1755</v>
      </c>
      <c r="O618" s="8" t="s">
        <v>1701</v>
      </c>
      <c r="P618" s="8" t="s">
        <v>1560</v>
      </c>
      <c r="Q618" s="8" t="s">
        <v>1559</v>
      </c>
      <c r="R618" s="8" t="s">
        <v>1561</v>
      </c>
      <c r="S618" s="8" t="s">
        <v>1542</v>
      </c>
      <c r="T618" s="8" t="s">
        <v>1570</v>
      </c>
      <c r="U618" s="8" t="s">
        <v>1571</v>
      </c>
      <c r="V618">
        <v>650</v>
      </c>
      <c r="W618">
        <v>390</v>
      </c>
      <c r="X618">
        <v>0</v>
      </c>
      <c r="Y618">
        <v>-1170</v>
      </c>
    </row>
    <row r="619" spans="1:25" x14ac:dyDescent="0.3">
      <c r="A619" s="8" t="s">
        <v>946</v>
      </c>
      <c r="B619" s="14">
        <v>46027</v>
      </c>
      <c r="C619" s="8" t="s">
        <v>266</v>
      </c>
      <c r="D619" s="8" t="s">
        <v>62</v>
      </c>
      <c r="E619" s="8" t="s">
        <v>74</v>
      </c>
      <c r="F619">
        <v>2</v>
      </c>
      <c r="G619">
        <v>2280</v>
      </c>
      <c r="H619">
        <v>0.2</v>
      </c>
      <c r="I619" s="8" t="s">
        <v>17</v>
      </c>
      <c r="J619" s="8" t="s">
        <v>18</v>
      </c>
      <c r="K619" s="8" t="s">
        <v>41</v>
      </c>
      <c r="L619">
        <v>3648</v>
      </c>
      <c r="M619" s="8" t="s">
        <v>32</v>
      </c>
      <c r="N619">
        <v>3648</v>
      </c>
      <c r="O619" s="8" t="s">
        <v>1701</v>
      </c>
      <c r="P619" s="8" t="s">
        <v>1551</v>
      </c>
      <c r="Q619" s="8" t="s">
        <v>1549</v>
      </c>
      <c r="R619" s="8" t="s">
        <v>1552</v>
      </c>
      <c r="S619" s="8" t="s">
        <v>1542</v>
      </c>
      <c r="T619" s="8" t="s">
        <v>1584</v>
      </c>
      <c r="U619" s="8" t="s">
        <v>1583</v>
      </c>
      <c r="V619">
        <v>2400</v>
      </c>
      <c r="W619">
        <v>1480</v>
      </c>
      <c r="X619">
        <v>3648</v>
      </c>
      <c r="Y619">
        <v>688</v>
      </c>
    </row>
    <row r="620" spans="1:25" x14ac:dyDescent="0.3">
      <c r="A620" s="8" t="s">
        <v>947</v>
      </c>
      <c r="B620" s="14">
        <v>46070</v>
      </c>
      <c r="C620" s="8" t="s">
        <v>592</v>
      </c>
      <c r="D620" s="8" t="s">
        <v>29</v>
      </c>
      <c r="E620" s="8" t="s">
        <v>36</v>
      </c>
      <c r="F620">
        <v>3</v>
      </c>
      <c r="G620">
        <v>1330</v>
      </c>
      <c r="H620">
        <v>0.2</v>
      </c>
      <c r="I620" s="8" t="s">
        <v>17</v>
      </c>
      <c r="J620" s="8" t="s">
        <v>47</v>
      </c>
      <c r="K620" s="8" t="s">
        <v>25</v>
      </c>
      <c r="L620">
        <v>3192</v>
      </c>
      <c r="M620" s="8" t="s">
        <v>20</v>
      </c>
      <c r="N620">
        <v>3192</v>
      </c>
      <c r="O620" s="8" t="s">
        <v>1701</v>
      </c>
      <c r="P620" s="8" t="s">
        <v>1560</v>
      </c>
      <c r="Q620" s="8" t="s">
        <v>1559</v>
      </c>
      <c r="R620" s="8" t="s">
        <v>1561</v>
      </c>
      <c r="S620" s="8" t="s">
        <v>1542</v>
      </c>
      <c r="T620" s="8" t="s">
        <v>1577</v>
      </c>
      <c r="U620" s="8" t="s">
        <v>1571</v>
      </c>
      <c r="V620">
        <v>1400</v>
      </c>
      <c r="W620">
        <v>780</v>
      </c>
      <c r="X620">
        <v>3192</v>
      </c>
      <c r="Y620">
        <v>852</v>
      </c>
    </row>
    <row r="621" spans="1:25" x14ac:dyDescent="0.3">
      <c r="A621" s="8" t="s">
        <v>948</v>
      </c>
      <c r="B621" s="14">
        <v>46098</v>
      </c>
      <c r="C621" s="8" t="s">
        <v>276</v>
      </c>
      <c r="D621" s="8" t="s">
        <v>70</v>
      </c>
      <c r="E621" s="8" t="s">
        <v>135</v>
      </c>
      <c r="F621">
        <v>3</v>
      </c>
      <c r="G621">
        <v>16800</v>
      </c>
      <c r="H621">
        <v>0.15</v>
      </c>
      <c r="I621" s="8" t="s">
        <v>17</v>
      </c>
      <c r="J621" s="8" t="s">
        <v>47</v>
      </c>
      <c r="K621" s="8" t="s">
        <v>1698</v>
      </c>
      <c r="L621">
        <v>42840</v>
      </c>
      <c r="M621" s="8" t="s">
        <v>82</v>
      </c>
      <c r="N621">
        <v>42840</v>
      </c>
      <c r="O621" s="8" t="s">
        <v>1701</v>
      </c>
      <c r="P621" s="8" t="s">
        <v>1550</v>
      </c>
      <c r="Q621" s="8" t="s">
        <v>1549</v>
      </c>
      <c r="R621" s="8" t="s">
        <v>32</v>
      </c>
      <c r="S621" s="8" t="s">
        <v>1542</v>
      </c>
      <c r="T621" s="8" t="s">
        <v>1576</v>
      </c>
      <c r="U621" s="8" t="s">
        <v>1575</v>
      </c>
      <c r="V621">
        <v>16800</v>
      </c>
      <c r="W621">
        <v>12600</v>
      </c>
      <c r="X621">
        <v>42840</v>
      </c>
      <c r="Y621">
        <v>5040</v>
      </c>
    </row>
    <row r="622" spans="1:25" x14ac:dyDescent="0.3">
      <c r="A622" s="8" t="s">
        <v>949</v>
      </c>
      <c r="B622" s="14">
        <v>46195</v>
      </c>
      <c r="C622" s="8" t="s">
        <v>256</v>
      </c>
      <c r="D622" s="8" t="s">
        <v>35</v>
      </c>
      <c r="E622" s="8" t="s">
        <v>16</v>
      </c>
      <c r="F622">
        <v>1</v>
      </c>
      <c r="G622">
        <v>617.5</v>
      </c>
      <c r="H622">
        <v>0.05</v>
      </c>
      <c r="I622" s="8" t="s">
        <v>17</v>
      </c>
      <c r="J622" s="8" t="s">
        <v>47</v>
      </c>
      <c r="K622" s="8" t="s">
        <v>41</v>
      </c>
      <c r="L622">
        <v>586.62</v>
      </c>
      <c r="M622" s="8" t="s">
        <v>82</v>
      </c>
      <c r="N622">
        <v>586.625</v>
      </c>
      <c r="O622" s="8" t="s">
        <v>1701</v>
      </c>
      <c r="P622" s="8" t="s">
        <v>1548</v>
      </c>
      <c r="Q622" s="8" t="s">
        <v>1549</v>
      </c>
      <c r="R622" s="8" t="s">
        <v>42</v>
      </c>
      <c r="S622" s="8" t="s">
        <v>1542</v>
      </c>
      <c r="T622" s="8" t="s">
        <v>1570</v>
      </c>
      <c r="U622" s="8" t="s">
        <v>1571</v>
      </c>
      <c r="V622">
        <v>650</v>
      </c>
      <c r="W622">
        <v>390</v>
      </c>
      <c r="X622">
        <v>586.625</v>
      </c>
      <c r="Y622">
        <v>196.625</v>
      </c>
    </row>
    <row r="623" spans="1:25" x14ac:dyDescent="0.3">
      <c r="A623" s="8" t="s">
        <v>950</v>
      </c>
      <c r="B623" s="14">
        <v>46203</v>
      </c>
      <c r="C623" s="8" t="s">
        <v>156</v>
      </c>
      <c r="D623" s="8" t="s">
        <v>15</v>
      </c>
      <c r="E623" s="8" t="s">
        <v>51</v>
      </c>
      <c r="F623">
        <v>3</v>
      </c>
      <c r="G623">
        <v>18500</v>
      </c>
      <c r="H623">
        <v>0</v>
      </c>
      <c r="I623" s="8" t="s">
        <v>17</v>
      </c>
      <c r="J623" s="8" t="s">
        <v>31</v>
      </c>
      <c r="K623" s="8" t="s">
        <v>55</v>
      </c>
      <c r="L623">
        <v>55500</v>
      </c>
      <c r="M623" s="8" t="s">
        <v>48</v>
      </c>
      <c r="N623">
        <v>55500</v>
      </c>
      <c r="O623" s="8" t="s">
        <v>1701</v>
      </c>
      <c r="P623" s="8" t="s">
        <v>1543</v>
      </c>
      <c r="Q623" s="8" t="s">
        <v>1541</v>
      </c>
      <c r="R623" s="8" t="s">
        <v>52</v>
      </c>
      <c r="S623" s="8" t="s">
        <v>1542</v>
      </c>
      <c r="T623" s="8" t="s">
        <v>1581</v>
      </c>
      <c r="U623" s="8" t="s">
        <v>1580</v>
      </c>
      <c r="V623">
        <v>18500</v>
      </c>
      <c r="W623">
        <v>13900</v>
      </c>
      <c r="X623">
        <v>55500</v>
      </c>
      <c r="Y623">
        <v>13800</v>
      </c>
    </row>
    <row r="624" spans="1:25" x14ac:dyDescent="0.3">
      <c r="A624" s="8" t="s">
        <v>951</v>
      </c>
      <c r="B624" s="14">
        <v>46202</v>
      </c>
      <c r="C624" s="8" t="s">
        <v>376</v>
      </c>
      <c r="D624" s="8" t="s">
        <v>23</v>
      </c>
      <c r="E624" s="8" t="s">
        <v>85</v>
      </c>
      <c r="F624">
        <v>4</v>
      </c>
      <c r="G624">
        <v>48500</v>
      </c>
      <c r="H624">
        <v>0.05</v>
      </c>
      <c r="I624" s="8" t="s">
        <v>17</v>
      </c>
      <c r="J624" s="8" t="s">
        <v>18</v>
      </c>
      <c r="K624" s="8" t="s">
        <v>67</v>
      </c>
      <c r="L624">
        <v>184300</v>
      </c>
      <c r="M624" s="8" t="s">
        <v>20</v>
      </c>
      <c r="N624">
        <v>184300</v>
      </c>
      <c r="O624" s="8" t="s">
        <v>1701</v>
      </c>
      <c r="P624" s="8" t="s">
        <v>1545</v>
      </c>
      <c r="Q624" s="8" t="s">
        <v>1541</v>
      </c>
      <c r="R624" s="8" t="s">
        <v>1546</v>
      </c>
      <c r="S624" s="8" t="s">
        <v>1542</v>
      </c>
      <c r="T624" s="8" t="s">
        <v>1585</v>
      </c>
      <c r="U624" s="8" t="s">
        <v>1586</v>
      </c>
      <c r="V624">
        <v>48500</v>
      </c>
      <c r="W624">
        <v>41200</v>
      </c>
      <c r="X624">
        <v>184300</v>
      </c>
      <c r="Y624">
        <v>19500</v>
      </c>
    </row>
    <row r="625" spans="1:25" x14ac:dyDescent="0.3">
      <c r="A625" s="8" t="s">
        <v>952</v>
      </c>
      <c r="B625" s="14">
        <v>46039</v>
      </c>
      <c r="C625" s="8" t="s">
        <v>330</v>
      </c>
      <c r="D625" s="8" t="s">
        <v>35</v>
      </c>
      <c r="E625" s="8" t="s">
        <v>36</v>
      </c>
      <c r="F625">
        <v>2</v>
      </c>
      <c r="G625">
        <v>1330</v>
      </c>
      <c r="H625">
        <v>0.15</v>
      </c>
      <c r="I625" s="8" t="s">
        <v>17</v>
      </c>
      <c r="J625" s="8" t="s">
        <v>47</v>
      </c>
      <c r="K625" s="8" t="s">
        <v>55</v>
      </c>
      <c r="L625">
        <v>2261</v>
      </c>
      <c r="M625" s="8" t="s">
        <v>48</v>
      </c>
      <c r="N625">
        <v>2261</v>
      </c>
      <c r="O625" s="8" t="s">
        <v>1701</v>
      </c>
      <c r="P625" s="8" t="s">
        <v>1548</v>
      </c>
      <c r="Q625" s="8" t="s">
        <v>1549</v>
      </c>
      <c r="R625" s="8" t="s">
        <v>42</v>
      </c>
      <c r="S625" s="8" t="s">
        <v>1542</v>
      </c>
      <c r="T625" s="8" t="s">
        <v>1577</v>
      </c>
      <c r="U625" s="8" t="s">
        <v>1571</v>
      </c>
      <c r="V625">
        <v>1400</v>
      </c>
      <c r="W625">
        <v>780</v>
      </c>
      <c r="X625">
        <v>2261</v>
      </c>
      <c r="Y625">
        <v>701</v>
      </c>
    </row>
    <row r="626" spans="1:25" x14ac:dyDescent="0.3">
      <c r="A626" s="8" t="s">
        <v>953</v>
      </c>
      <c r="B626" s="14">
        <v>46117</v>
      </c>
      <c r="C626" s="8" t="s">
        <v>14</v>
      </c>
      <c r="D626" s="8" t="s">
        <v>29</v>
      </c>
      <c r="E626" s="8" t="s">
        <v>74</v>
      </c>
      <c r="F626">
        <v>8</v>
      </c>
      <c r="G626">
        <v>2520</v>
      </c>
      <c r="H626">
        <v>0</v>
      </c>
      <c r="I626" s="8" t="s">
        <v>17</v>
      </c>
      <c r="J626" s="8" t="s">
        <v>31</v>
      </c>
      <c r="K626" s="8" t="s">
        <v>55</v>
      </c>
      <c r="L626">
        <v>20160</v>
      </c>
      <c r="M626" s="8" t="s">
        <v>59</v>
      </c>
      <c r="N626">
        <v>20160</v>
      </c>
      <c r="O626" s="8" t="s">
        <v>1701</v>
      </c>
      <c r="P626" s="8" t="s">
        <v>1560</v>
      </c>
      <c r="Q626" s="8" t="s">
        <v>1559</v>
      </c>
      <c r="R626" s="8" t="s">
        <v>1561</v>
      </c>
      <c r="S626" s="8" t="s">
        <v>1542</v>
      </c>
      <c r="T626" s="8" t="s">
        <v>1584</v>
      </c>
      <c r="U626" s="8" t="s">
        <v>1583</v>
      </c>
      <c r="V626">
        <v>2400</v>
      </c>
      <c r="W626">
        <v>1480</v>
      </c>
      <c r="X626">
        <v>20160</v>
      </c>
      <c r="Y626">
        <v>8320</v>
      </c>
    </row>
    <row r="627" spans="1:25" x14ac:dyDescent="0.3">
      <c r="A627" s="8" t="s">
        <v>954</v>
      </c>
      <c r="B627" s="14">
        <v>46096</v>
      </c>
      <c r="C627" s="8" t="s">
        <v>200</v>
      </c>
      <c r="D627" s="8" t="s">
        <v>15</v>
      </c>
      <c r="E627" s="8" t="s">
        <v>63</v>
      </c>
      <c r="F627">
        <v>1</v>
      </c>
      <c r="G627">
        <v>2310</v>
      </c>
      <c r="H627">
        <v>0</v>
      </c>
      <c r="I627" s="8" t="s">
        <v>17</v>
      </c>
      <c r="J627" s="8" t="s">
        <v>71</v>
      </c>
      <c r="K627" s="8" t="s">
        <v>25</v>
      </c>
      <c r="L627">
        <v>2310</v>
      </c>
      <c r="M627" s="8" t="s">
        <v>20</v>
      </c>
      <c r="N627">
        <v>2310</v>
      </c>
      <c r="O627" s="8" t="s">
        <v>1701</v>
      </c>
      <c r="P627" s="8" t="s">
        <v>1543</v>
      </c>
      <c r="Q627" s="8" t="s">
        <v>1541</v>
      </c>
      <c r="R627" s="8" t="s">
        <v>52</v>
      </c>
      <c r="S627" s="8" t="s">
        <v>1542</v>
      </c>
      <c r="T627" s="8" t="s">
        <v>1572</v>
      </c>
      <c r="U627" s="8" t="s">
        <v>1571</v>
      </c>
      <c r="V627">
        <v>2200</v>
      </c>
      <c r="W627">
        <v>1450</v>
      </c>
      <c r="X627">
        <v>2310</v>
      </c>
      <c r="Y627">
        <v>860</v>
      </c>
    </row>
    <row r="628" spans="1:25" x14ac:dyDescent="0.3">
      <c r="A628" s="8" t="s">
        <v>955</v>
      </c>
      <c r="B628" s="14">
        <v>46098</v>
      </c>
      <c r="C628" s="8" t="s">
        <v>357</v>
      </c>
      <c r="D628" s="8" t="s">
        <v>70</v>
      </c>
      <c r="E628" s="8" t="s">
        <v>74</v>
      </c>
      <c r="F628">
        <v>2</v>
      </c>
      <c r="G628">
        <v>2520</v>
      </c>
      <c r="H628">
        <v>0</v>
      </c>
      <c r="I628" s="8" t="s">
        <v>17</v>
      </c>
      <c r="J628" s="8" t="s">
        <v>31</v>
      </c>
      <c r="K628" s="8" t="s">
        <v>67</v>
      </c>
      <c r="L628">
        <v>5040</v>
      </c>
      <c r="M628" s="8" t="s">
        <v>52</v>
      </c>
      <c r="N628">
        <v>5040</v>
      </c>
      <c r="O628" s="8" t="s">
        <v>1701</v>
      </c>
      <c r="P628" s="8" t="s">
        <v>1550</v>
      </c>
      <c r="Q628" s="8" t="s">
        <v>1549</v>
      </c>
      <c r="R628" s="8" t="s">
        <v>32</v>
      </c>
      <c r="S628" s="8" t="s">
        <v>1542</v>
      </c>
      <c r="T628" s="8" t="s">
        <v>1584</v>
      </c>
      <c r="U628" s="8" t="s">
        <v>1583</v>
      </c>
      <c r="V628">
        <v>2400</v>
      </c>
      <c r="W628">
        <v>1480</v>
      </c>
      <c r="X628">
        <v>5040</v>
      </c>
      <c r="Y628">
        <v>2080</v>
      </c>
    </row>
    <row r="629" spans="1:25" x14ac:dyDescent="0.3">
      <c r="A629" s="8" t="s">
        <v>956</v>
      </c>
      <c r="B629" s="14">
        <v>46039</v>
      </c>
      <c r="C629" s="8" t="s">
        <v>118</v>
      </c>
      <c r="D629" s="8" t="s">
        <v>168</v>
      </c>
      <c r="E629" s="8" t="s">
        <v>24</v>
      </c>
      <c r="F629">
        <v>4</v>
      </c>
      <c r="G629">
        <v>11760</v>
      </c>
      <c r="H629">
        <v>0.15</v>
      </c>
      <c r="I629" s="8" t="s">
        <v>17</v>
      </c>
      <c r="J629" s="8" t="s">
        <v>47</v>
      </c>
      <c r="K629" s="8" t="s">
        <v>55</v>
      </c>
      <c r="L629">
        <v>39984</v>
      </c>
      <c r="M629" s="8" t="s">
        <v>48</v>
      </c>
      <c r="N629">
        <v>39984</v>
      </c>
      <c r="O629" s="8" t="s">
        <v>1701</v>
      </c>
      <c r="P629" s="8" t="s">
        <v>1540</v>
      </c>
      <c r="Q629" s="8" t="s">
        <v>1541</v>
      </c>
      <c r="R629" s="8" t="s">
        <v>20</v>
      </c>
      <c r="S629" s="8" t="s">
        <v>1542</v>
      </c>
      <c r="T629" s="8" t="s">
        <v>1574</v>
      </c>
      <c r="U629" s="8" t="s">
        <v>1575</v>
      </c>
      <c r="V629">
        <v>11200</v>
      </c>
      <c r="W629">
        <v>8300</v>
      </c>
      <c r="X629">
        <v>39984</v>
      </c>
      <c r="Y629">
        <v>6784</v>
      </c>
    </row>
    <row r="630" spans="1:25" x14ac:dyDescent="0.3">
      <c r="A630" s="8" t="s">
        <v>957</v>
      </c>
      <c r="B630" s="14">
        <v>46193</v>
      </c>
      <c r="C630" s="8" t="s">
        <v>958</v>
      </c>
      <c r="D630" s="8" t="s">
        <v>123</v>
      </c>
      <c r="E630" s="8" t="s">
        <v>51</v>
      </c>
      <c r="F630">
        <v>4</v>
      </c>
      <c r="G630">
        <v>18500</v>
      </c>
      <c r="H630">
        <v>0.1</v>
      </c>
      <c r="I630" s="8" t="s">
        <v>17</v>
      </c>
      <c r="J630" s="8" t="s">
        <v>71</v>
      </c>
      <c r="K630" s="8" t="s">
        <v>67</v>
      </c>
      <c r="L630">
        <v>66600</v>
      </c>
      <c r="M630" s="8" t="s">
        <v>52</v>
      </c>
      <c r="N630">
        <v>66600</v>
      </c>
      <c r="O630" s="8" t="s">
        <v>1701</v>
      </c>
      <c r="P630" s="8" t="s">
        <v>1558</v>
      </c>
      <c r="Q630" s="8" t="s">
        <v>1559</v>
      </c>
      <c r="R630" s="8" t="s">
        <v>138</v>
      </c>
      <c r="S630" s="8" t="s">
        <v>1542</v>
      </c>
      <c r="T630" s="8" t="s">
        <v>1581</v>
      </c>
      <c r="U630" s="8" t="s">
        <v>1580</v>
      </c>
      <c r="V630">
        <v>18500</v>
      </c>
      <c r="W630">
        <v>13900</v>
      </c>
      <c r="X630">
        <v>66600</v>
      </c>
      <c r="Y630">
        <v>11000</v>
      </c>
    </row>
    <row r="631" spans="1:25" x14ac:dyDescent="0.3">
      <c r="A631" s="8" t="s">
        <v>959</v>
      </c>
      <c r="B631" s="14">
        <v>46146</v>
      </c>
      <c r="C631" s="8" t="s">
        <v>148</v>
      </c>
      <c r="D631" s="8" t="s">
        <v>35</v>
      </c>
      <c r="E631" s="8" t="s">
        <v>135</v>
      </c>
      <c r="F631">
        <v>4</v>
      </c>
      <c r="G631">
        <v>16800</v>
      </c>
      <c r="H631">
        <v>0</v>
      </c>
      <c r="I631" s="8" t="s">
        <v>17</v>
      </c>
      <c r="J631" s="8" t="s">
        <v>71</v>
      </c>
      <c r="K631" s="8" t="s">
        <v>25</v>
      </c>
      <c r="L631">
        <v>67200</v>
      </c>
      <c r="M631" s="8" t="s">
        <v>59</v>
      </c>
      <c r="N631">
        <v>67200</v>
      </c>
      <c r="O631" s="8" t="s">
        <v>1701</v>
      </c>
      <c r="P631" s="8" t="s">
        <v>1548</v>
      </c>
      <c r="Q631" s="8" t="s">
        <v>1549</v>
      </c>
      <c r="R631" s="8" t="s">
        <v>42</v>
      </c>
      <c r="S631" s="8" t="s">
        <v>1542</v>
      </c>
      <c r="T631" s="8" t="s">
        <v>1576</v>
      </c>
      <c r="U631" s="8" t="s">
        <v>1575</v>
      </c>
      <c r="V631">
        <v>16800</v>
      </c>
      <c r="W631">
        <v>12600</v>
      </c>
      <c r="X631">
        <v>67200</v>
      </c>
      <c r="Y631">
        <v>16800</v>
      </c>
    </row>
    <row r="632" spans="1:25" x14ac:dyDescent="0.3">
      <c r="A632" s="8" t="s">
        <v>960</v>
      </c>
      <c r="B632" s="14">
        <v>46160</v>
      </c>
      <c r="C632" s="8" t="s">
        <v>735</v>
      </c>
      <c r="D632" s="8" t="s">
        <v>45</v>
      </c>
      <c r="E632" s="8" t="s">
        <v>30</v>
      </c>
      <c r="F632">
        <v>10</v>
      </c>
      <c r="G632">
        <v>1800</v>
      </c>
      <c r="H632">
        <v>0.2</v>
      </c>
      <c r="I632" s="8" t="s">
        <v>17</v>
      </c>
      <c r="J632" s="8" t="s">
        <v>71</v>
      </c>
      <c r="K632" s="8" t="s">
        <v>1698</v>
      </c>
      <c r="L632">
        <v>14400</v>
      </c>
      <c r="M632" s="8" t="s">
        <v>20</v>
      </c>
      <c r="N632">
        <v>14400</v>
      </c>
      <c r="O632" s="8" t="s">
        <v>1701</v>
      </c>
      <c r="P632" s="8" t="s">
        <v>1547</v>
      </c>
      <c r="Q632" s="8" t="s">
        <v>1541</v>
      </c>
      <c r="R632" s="8" t="s">
        <v>56</v>
      </c>
      <c r="S632" s="8" t="s">
        <v>1542</v>
      </c>
      <c r="T632" s="8" t="s">
        <v>1573</v>
      </c>
      <c r="U632" s="8" t="s">
        <v>1571</v>
      </c>
      <c r="V632">
        <v>1800</v>
      </c>
      <c r="W632">
        <v>1120</v>
      </c>
      <c r="X632">
        <v>14400</v>
      </c>
      <c r="Y632">
        <v>3200</v>
      </c>
    </row>
    <row r="633" spans="1:25" x14ac:dyDescent="0.3">
      <c r="A633" s="8" t="s">
        <v>961</v>
      </c>
      <c r="B633" s="14">
        <v>46104</v>
      </c>
      <c r="C633" s="8" t="s">
        <v>482</v>
      </c>
      <c r="D633" s="8" t="s">
        <v>40</v>
      </c>
      <c r="E633" s="8" t="s">
        <v>30</v>
      </c>
      <c r="F633">
        <v>2</v>
      </c>
      <c r="G633">
        <v>1710</v>
      </c>
      <c r="H633">
        <v>0.05</v>
      </c>
      <c r="I633" s="8" t="s">
        <v>17</v>
      </c>
      <c r="J633" s="8" t="s">
        <v>47</v>
      </c>
      <c r="K633" s="8" t="s">
        <v>41</v>
      </c>
      <c r="L633">
        <v>3249</v>
      </c>
      <c r="M633" s="8" t="s">
        <v>138</v>
      </c>
      <c r="N633">
        <v>3249</v>
      </c>
      <c r="O633" s="8" t="s">
        <v>1701</v>
      </c>
      <c r="P633" s="8" t="s">
        <v>1555</v>
      </c>
      <c r="Q633" s="8" t="s">
        <v>1554</v>
      </c>
      <c r="R633" s="8" t="s">
        <v>82</v>
      </c>
      <c r="S633" s="8" t="s">
        <v>1542</v>
      </c>
      <c r="T633" s="8" t="s">
        <v>1573</v>
      </c>
      <c r="U633" s="8" t="s">
        <v>1571</v>
      </c>
      <c r="V633">
        <v>1800</v>
      </c>
      <c r="W633">
        <v>1120</v>
      </c>
      <c r="X633">
        <v>3249</v>
      </c>
      <c r="Y633">
        <v>1009</v>
      </c>
    </row>
    <row r="634" spans="1:25" x14ac:dyDescent="0.3">
      <c r="A634" s="8" t="s">
        <v>962</v>
      </c>
      <c r="B634" s="14">
        <v>46137</v>
      </c>
      <c r="C634" s="8" t="s">
        <v>219</v>
      </c>
      <c r="D634" s="8" t="s">
        <v>152</v>
      </c>
      <c r="E634" s="8" t="s">
        <v>30</v>
      </c>
      <c r="F634">
        <v>2</v>
      </c>
      <c r="G634">
        <v>1890</v>
      </c>
      <c r="H634">
        <v>0</v>
      </c>
      <c r="I634" s="8" t="s">
        <v>80</v>
      </c>
      <c r="J634" s="8" t="s">
        <v>71</v>
      </c>
      <c r="K634" s="8" t="s">
        <v>55</v>
      </c>
      <c r="L634">
        <v>3780</v>
      </c>
      <c r="M634" s="8" t="s">
        <v>138</v>
      </c>
      <c r="N634">
        <v>3780</v>
      </c>
      <c r="O634" s="8" t="s">
        <v>1701</v>
      </c>
      <c r="P634" s="8" t="s">
        <v>1553</v>
      </c>
      <c r="Q634" s="8" t="s">
        <v>1554</v>
      </c>
      <c r="R634" s="8" t="s">
        <v>59</v>
      </c>
      <c r="S634" s="8" t="s">
        <v>1542</v>
      </c>
      <c r="T634" s="8" t="s">
        <v>1573</v>
      </c>
      <c r="U634" s="8" t="s">
        <v>1571</v>
      </c>
      <c r="V634">
        <v>1800</v>
      </c>
      <c r="W634">
        <v>1120</v>
      </c>
      <c r="X634">
        <v>0</v>
      </c>
      <c r="Y634">
        <v>-2240</v>
      </c>
    </row>
    <row r="635" spans="1:25" x14ac:dyDescent="0.3">
      <c r="A635" s="8" t="s">
        <v>963</v>
      </c>
      <c r="B635" s="14">
        <v>46062</v>
      </c>
      <c r="C635" s="8" t="s">
        <v>399</v>
      </c>
      <c r="D635" s="8" t="s">
        <v>168</v>
      </c>
      <c r="E635" s="8" t="s">
        <v>85</v>
      </c>
      <c r="F635">
        <v>2</v>
      </c>
      <c r="G635">
        <v>48500</v>
      </c>
      <c r="H635">
        <v>0.15</v>
      </c>
      <c r="I635" s="8" t="s">
        <v>17</v>
      </c>
      <c r="J635" s="8" t="s">
        <v>47</v>
      </c>
      <c r="K635" s="8" t="s">
        <v>25</v>
      </c>
      <c r="L635">
        <v>82450</v>
      </c>
      <c r="M635" s="8" t="s">
        <v>59</v>
      </c>
      <c r="N635">
        <v>82450</v>
      </c>
      <c r="O635" s="8" t="s">
        <v>1701</v>
      </c>
      <c r="P635" s="8" t="s">
        <v>1540</v>
      </c>
      <c r="Q635" s="8" t="s">
        <v>1541</v>
      </c>
      <c r="R635" s="8" t="s">
        <v>20</v>
      </c>
      <c r="S635" s="8" t="s">
        <v>1542</v>
      </c>
      <c r="T635" s="8" t="s">
        <v>1585</v>
      </c>
      <c r="U635" s="8" t="s">
        <v>1586</v>
      </c>
      <c r="V635">
        <v>48500</v>
      </c>
      <c r="W635">
        <v>41200</v>
      </c>
      <c r="X635">
        <v>82450</v>
      </c>
      <c r="Y635">
        <v>50</v>
      </c>
    </row>
    <row r="636" spans="1:25" x14ac:dyDescent="0.3">
      <c r="A636" s="8" t="s">
        <v>964</v>
      </c>
      <c r="B636" s="14">
        <v>46167</v>
      </c>
      <c r="C636" s="8" t="s">
        <v>340</v>
      </c>
      <c r="D636" s="8" t="s">
        <v>123</v>
      </c>
      <c r="E636" s="8" t="s">
        <v>46</v>
      </c>
      <c r="F636">
        <v>2</v>
      </c>
      <c r="G636">
        <v>7410</v>
      </c>
      <c r="H636">
        <v>0</v>
      </c>
      <c r="I636" s="8" t="s">
        <v>17</v>
      </c>
      <c r="J636" s="8" t="s">
        <v>31</v>
      </c>
      <c r="K636" s="8" t="s">
        <v>67</v>
      </c>
      <c r="L636">
        <v>14820</v>
      </c>
      <c r="M636" s="8" t="s">
        <v>20</v>
      </c>
      <c r="N636">
        <v>14820</v>
      </c>
      <c r="O636" s="8" t="s">
        <v>1701</v>
      </c>
      <c r="P636" s="8" t="s">
        <v>1558</v>
      </c>
      <c r="Q636" s="8" t="s">
        <v>1559</v>
      </c>
      <c r="R636" s="8" t="s">
        <v>138</v>
      </c>
      <c r="S636" s="8" t="s">
        <v>1542</v>
      </c>
      <c r="T636" s="8" t="s">
        <v>1579</v>
      </c>
      <c r="U636" s="8" t="s">
        <v>1580</v>
      </c>
      <c r="V636">
        <v>7800</v>
      </c>
      <c r="W636">
        <v>5200</v>
      </c>
      <c r="X636">
        <v>14820</v>
      </c>
      <c r="Y636">
        <v>4420</v>
      </c>
    </row>
    <row r="637" spans="1:25" x14ac:dyDescent="0.3">
      <c r="A637" s="8" t="s">
        <v>965</v>
      </c>
      <c r="B637" s="14">
        <v>46125</v>
      </c>
      <c r="C637" s="8" t="s">
        <v>306</v>
      </c>
      <c r="D637" s="8" t="s">
        <v>40</v>
      </c>
      <c r="E637" s="8" t="s">
        <v>24</v>
      </c>
      <c r="F637">
        <v>2</v>
      </c>
      <c r="G637">
        <v>11200</v>
      </c>
      <c r="H637">
        <v>0</v>
      </c>
      <c r="I637" s="8" t="s">
        <v>17</v>
      </c>
      <c r="J637" s="8" t="s">
        <v>47</v>
      </c>
      <c r="K637" s="8" t="s">
        <v>41</v>
      </c>
      <c r="L637">
        <v>22400</v>
      </c>
      <c r="M637" s="8" t="s">
        <v>20</v>
      </c>
      <c r="N637">
        <v>22400</v>
      </c>
      <c r="O637" s="8" t="s">
        <v>1701</v>
      </c>
      <c r="P637" s="8" t="s">
        <v>1555</v>
      </c>
      <c r="Q637" s="8" t="s">
        <v>1554</v>
      </c>
      <c r="R637" s="8" t="s">
        <v>82</v>
      </c>
      <c r="S637" s="8" t="s">
        <v>1542</v>
      </c>
      <c r="T637" s="8" t="s">
        <v>1574</v>
      </c>
      <c r="U637" s="8" t="s">
        <v>1575</v>
      </c>
      <c r="V637">
        <v>11200</v>
      </c>
      <c r="W637">
        <v>8300</v>
      </c>
      <c r="X637">
        <v>22400</v>
      </c>
      <c r="Y637">
        <v>5800</v>
      </c>
    </row>
    <row r="638" spans="1:25" x14ac:dyDescent="0.3">
      <c r="A638" s="8" t="s">
        <v>966</v>
      </c>
      <c r="B638" s="14">
        <v>46044</v>
      </c>
      <c r="C638" s="8" t="s">
        <v>391</v>
      </c>
      <c r="D638" s="8" t="s">
        <v>152</v>
      </c>
      <c r="E638" s="8" t="s">
        <v>46</v>
      </c>
      <c r="F638">
        <v>3</v>
      </c>
      <c r="G638">
        <v>8190</v>
      </c>
      <c r="H638">
        <v>0</v>
      </c>
      <c r="I638" s="8" t="s">
        <v>116</v>
      </c>
      <c r="J638" s="8" t="s">
        <v>18</v>
      </c>
      <c r="K638" s="8" t="s">
        <v>67</v>
      </c>
      <c r="L638">
        <v>24570</v>
      </c>
      <c r="M638" s="8" t="s">
        <v>48</v>
      </c>
      <c r="N638">
        <v>24570</v>
      </c>
      <c r="O638" s="8" t="s">
        <v>1701</v>
      </c>
      <c r="P638" s="8" t="s">
        <v>1553</v>
      </c>
      <c r="Q638" s="8" t="s">
        <v>1554</v>
      </c>
      <c r="R638" s="8" t="s">
        <v>59</v>
      </c>
      <c r="S638" s="8" t="s">
        <v>1542</v>
      </c>
      <c r="T638" s="8" t="s">
        <v>1579</v>
      </c>
      <c r="U638" s="8" t="s">
        <v>1580</v>
      </c>
      <c r="V638">
        <v>7800</v>
      </c>
      <c r="W638">
        <v>5200</v>
      </c>
      <c r="X638">
        <v>0</v>
      </c>
      <c r="Y638">
        <v>-15600</v>
      </c>
    </row>
    <row r="639" spans="1:25" x14ac:dyDescent="0.3">
      <c r="A639" s="8" t="s">
        <v>967</v>
      </c>
      <c r="B639" s="14">
        <v>46177</v>
      </c>
      <c r="C639" s="8" t="s">
        <v>291</v>
      </c>
      <c r="D639" s="8" t="s">
        <v>152</v>
      </c>
      <c r="E639" s="8" t="s">
        <v>16</v>
      </c>
      <c r="F639">
        <v>5</v>
      </c>
      <c r="G639">
        <v>682.5</v>
      </c>
      <c r="H639">
        <v>0.05</v>
      </c>
      <c r="I639" s="8" t="s">
        <v>17</v>
      </c>
      <c r="J639" s="8" t="s">
        <v>18</v>
      </c>
      <c r="K639" s="8" t="s">
        <v>67</v>
      </c>
      <c r="L639">
        <v>3241.88</v>
      </c>
      <c r="M639" s="8" t="s">
        <v>20</v>
      </c>
      <c r="N639">
        <v>3241.875</v>
      </c>
      <c r="O639" s="8" t="s">
        <v>1701</v>
      </c>
      <c r="P639" s="8" t="s">
        <v>1553</v>
      </c>
      <c r="Q639" s="8" t="s">
        <v>1554</v>
      </c>
      <c r="R639" s="8" t="s">
        <v>59</v>
      </c>
      <c r="S639" s="8" t="s">
        <v>1542</v>
      </c>
      <c r="T639" s="8" t="s">
        <v>1570</v>
      </c>
      <c r="U639" s="8" t="s">
        <v>1571</v>
      </c>
      <c r="V639">
        <v>650</v>
      </c>
      <c r="W639">
        <v>390</v>
      </c>
      <c r="X639">
        <v>3241.875</v>
      </c>
      <c r="Y639">
        <v>1291.875</v>
      </c>
    </row>
    <row r="640" spans="1:25" x14ac:dyDescent="0.3">
      <c r="A640" s="8" t="s">
        <v>968</v>
      </c>
      <c r="B640" s="14">
        <v>46095</v>
      </c>
      <c r="C640" s="8" t="s">
        <v>566</v>
      </c>
      <c r="D640" s="8" t="s">
        <v>35</v>
      </c>
      <c r="E640" s="8" t="s">
        <v>36</v>
      </c>
      <c r="F640">
        <v>2</v>
      </c>
      <c r="G640">
        <v>1330</v>
      </c>
      <c r="H640">
        <v>0.1</v>
      </c>
      <c r="I640" s="8" t="s">
        <v>66</v>
      </c>
      <c r="J640" s="8" t="s">
        <v>18</v>
      </c>
      <c r="K640" s="8" t="s">
        <v>55</v>
      </c>
      <c r="L640">
        <v>2394</v>
      </c>
      <c r="M640" s="8" t="s">
        <v>56</v>
      </c>
      <c r="N640">
        <v>2394</v>
      </c>
      <c r="O640" s="8" t="s">
        <v>1701</v>
      </c>
      <c r="P640" s="8" t="s">
        <v>1548</v>
      </c>
      <c r="Q640" s="8" t="s">
        <v>1549</v>
      </c>
      <c r="R640" s="8" t="s">
        <v>42</v>
      </c>
      <c r="S640" s="8" t="s">
        <v>1542</v>
      </c>
      <c r="T640" s="8" t="s">
        <v>1577</v>
      </c>
      <c r="U640" s="8" t="s">
        <v>1571</v>
      </c>
      <c r="V640">
        <v>1400</v>
      </c>
      <c r="W640">
        <v>780</v>
      </c>
      <c r="X640">
        <v>0</v>
      </c>
      <c r="Y640">
        <v>-1560</v>
      </c>
    </row>
    <row r="641" spans="1:25" x14ac:dyDescent="0.3">
      <c r="A641" s="8" t="s">
        <v>969</v>
      </c>
      <c r="B641" s="14">
        <v>46096</v>
      </c>
      <c r="C641" s="8" t="s">
        <v>340</v>
      </c>
      <c r="D641" s="8" t="s">
        <v>50</v>
      </c>
      <c r="E641" s="8" t="s">
        <v>85</v>
      </c>
      <c r="F641">
        <v>10</v>
      </c>
      <c r="G641">
        <v>50925</v>
      </c>
      <c r="H641">
        <v>0.1</v>
      </c>
      <c r="I641" s="8" t="s">
        <v>17</v>
      </c>
      <c r="J641" s="8" t="s">
        <v>31</v>
      </c>
      <c r="K641" s="8" t="s">
        <v>41</v>
      </c>
      <c r="L641">
        <v>458325</v>
      </c>
      <c r="M641" s="8" t="s">
        <v>52</v>
      </c>
      <c r="N641">
        <v>458325</v>
      </c>
      <c r="O641" s="8" t="s">
        <v>1701</v>
      </c>
      <c r="P641" s="8" t="s">
        <v>1544</v>
      </c>
      <c r="Q641" s="8" t="s">
        <v>1541</v>
      </c>
      <c r="R641" s="8" t="s">
        <v>26</v>
      </c>
      <c r="S641" s="8" t="s">
        <v>1542</v>
      </c>
      <c r="T641" s="8" t="s">
        <v>1585</v>
      </c>
      <c r="U641" s="8" t="s">
        <v>1586</v>
      </c>
      <c r="V641">
        <v>48500</v>
      </c>
      <c r="W641">
        <v>41200</v>
      </c>
      <c r="X641">
        <v>458325</v>
      </c>
      <c r="Y641">
        <v>46325</v>
      </c>
    </row>
    <row r="642" spans="1:25" x14ac:dyDescent="0.3">
      <c r="A642" s="8" t="s">
        <v>970</v>
      </c>
      <c r="B642" s="14">
        <v>46100</v>
      </c>
      <c r="C642" s="8" t="s">
        <v>304</v>
      </c>
      <c r="D642" s="8" t="s">
        <v>62</v>
      </c>
      <c r="E642" s="8" t="s">
        <v>51</v>
      </c>
      <c r="F642">
        <v>10</v>
      </c>
      <c r="G642">
        <v>19425</v>
      </c>
      <c r="H642">
        <v>0</v>
      </c>
      <c r="I642" s="8" t="s">
        <v>80</v>
      </c>
      <c r="J642" s="8" t="s">
        <v>31</v>
      </c>
      <c r="K642" s="8" t="s">
        <v>55</v>
      </c>
      <c r="L642">
        <v>194250</v>
      </c>
      <c r="M642" s="8" t="s">
        <v>26</v>
      </c>
      <c r="N642">
        <v>194250</v>
      </c>
      <c r="O642" s="8" t="s">
        <v>1701</v>
      </c>
      <c r="P642" s="8" t="s">
        <v>1551</v>
      </c>
      <c r="Q642" s="8" t="s">
        <v>1549</v>
      </c>
      <c r="R642" s="8" t="s">
        <v>1552</v>
      </c>
      <c r="S642" s="8" t="s">
        <v>1542</v>
      </c>
      <c r="T642" s="8" t="s">
        <v>1581</v>
      </c>
      <c r="U642" s="8" t="s">
        <v>1580</v>
      </c>
      <c r="V642">
        <v>18500</v>
      </c>
      <c r="W642">
        <v>13900</v>
      </c>
      <c r="X642">
        <v>0</v>
      </c>
      <c r="Y642">
        <v>-139000</v>
      </c>
    </row>
    <row r="643" spans="1:25" x14ac:dyDescent="0.3">
      <c r="A643" s="8" t="s">
        <v>971</v>
      </c>
      <c r="B643" s="14">
        <v>46129</v>
      </c>
      <c r="C643" s="8" t="s">
        <v>332</v>
      </c>
      <c r="D643" s="8" t="s">
        <v>50</v>
      </c>
      <c r="E643" s="8" t="s">
        <v>51</v>
      </c>
      <c r="F643">
        <v>2</v>
      </c>
      <c r="G643">
        <v>18500</v>
      </c>
      <c r="H643">
        <v>0.15</v>
      </c>
      <c r="I643" s="8" t="s">
        <v>17</v>
      </c>
      <c r="J643" s="8" t="s">
        <v>71</v>
      </c>
      <c r="K643" s="8" t="s">
        <v>55</v>
      </c>
      <c r="L643">
        <v>31450</v>
      </c>
      <c r="M643" s="8" t="s">
        <v>26</v>
      </c>
      <c r="N643">
        <v>31450</v>
      </c>
      <c r="O643" s="8" t="s">
        <v>1701</v>
      </c>
      <c r="P643" s="8" t="s">
        <v>1544</v>
      </c>
      <c r="Q643" s="8" t="s">
        <v>1541</v>
      </c>
      <c r="R643" s="8" t="s">
        <v>26</v>
      </c>
      <c r="S643" s="8" t="s">
        <v>1542</v>
      </c>
      <c r="T643" s="8" t="s">
        <v>1581</v>
      </c>
      <c r="U643" s="8" t="s">
        <v>1580</v>
      </c>
      <c r="V643">
        <v>18500</v>
      </c>
      <c r="W643">
        <v>13900</v>
      </c>
      <c r="X643">
        <v>31450</v>
      </c>
      <c r="Y643">
        <v>3650</v>
      </c>
    </row>
    <row r="644" spans="1:25" x14ac:dyDescent="0.3">
      <c r="A644" s="8" t="s">
        <v>972</v>
      </c>
      <c r="B644" s="14">
        <v>46164</v>
      </c>
      <c r="C644" s="8" t="s">
        <v>851</v>
      </c>
      <c r="D644" s="8" t="s">
        <v>62</v>
      </c>
      <c r="E644" s="8" t="s">
        <v>16</v>
      </c>
      <c r="F644">
        <v>4</v>
      </c>
      <c r="G644">
        <v>650</v>
      </c>
      <c r="H644">
        <v>0.05</v>
      </c>
      <c r="I644" s="8" t="s">
        <v>66</v>
      </c>
      <c r="J644" s="8" t="s">
        <v>18</v>
      </c>
      <c r="K644" s="8" t="s">
        <v>41</v>
      </c>
      <c r="L644">
        <v>2470</v>
      </c>
      <c r="M644" s="8" t="s">
        <v>20</v>
      </c>
      <c r="N644">
        <v>2470</v>
      </c>
      <c r="O644" s="8" t="s">
        <v>1701</v>
      </c>
      <c r="P644" s="8" t="s">
        <v>1551</v>
      </c>
      <c r="Q644" s="8" t="s">
        <v>1549</v>
      </c>
      <c r="R644" s="8" t="s">
        <v>1552</v>
      </c>
      <c r="S644" s="8" t="s">
        <v>1542</v>
      </c>
      <c r="T644" s="8" t="s">
        <v>1570</v>
      </c>
      <c r="U644" s="8" t="s">
        <v>1571</v>
      </c>
      <c r="V644">
        <v>650</v>
      </c>
      <c r="W644">
        <v>390</v>
      </c>
      <c r="X644">
        <v>0</v>
      </c>
      <c r="Y644">
        <v>-1560</v>
      </c>
    </row>
    <row r="645" spans="1:25" x14ac:dyDescent="0.3">
      <c r="A645" s="8" t="s">
        <v>973</v>
      </c>
      <c r="B645" s="14">
        <v>46023</v>
      </c>
      <c r="C645" s="8" t="s">
        <v>669</v>
      </c>
      <c r="D645" s="8" t="s">
        <v>50</v>
      </c>
      <c r="E645" s="8" t="s">
        <v>135</v>
      </c>
      <c r="F645">
        <v>2</v>
      </c>
      <c r="G645">
        <v>17640</v>
      </c>
      <c r="H645">
        <v>0.2</v>
      </c>
      <c r="I645" s="8" t="s">
        <v>66</v>
      </c>
      <c r="J645" s="8" t="s">
        <v>47</v>
      </c>
      <c r="K645" s="8" t="s">
        <v>55</v>
      </c>
      <c r="L645">
        <v>28224</v>
      </c>
      <c r="M645" s="8" t="s">
        <v>59</v>
      </c>
      <c r="N645">
        <v>28224</v>
      </c>
      <c r="O645" s="8" t="s">
        <v>1701</v>
      </c>
      <c r="P645" s="8" t="s">
        <v>1544</v>
      </c>
      <c r="Q645" s="8" t="s">
        <v>1541</v>
      </c>
      <c r="R645" s="8" t="s">
        <v>26</v>
      </c>
      <c r="S645" s="8" t="s">
        <v>1542</v>
      </c>
      <c r="T645" s="8" t="s">
        <v>1576</v>
      </c>
      <c r="U645" s="8" t="s">
        <v>1575</v>
      </c>
      <c r="V645">
        <v>16800</v>
      </c>
      <c r="W645">
        <v>12600</v>
      </c>
      <c r="X645">
        <v>0</v>
      </c>
      <c r="Y645">
        <v>-25200</v>
      </c>
    </row>
    <row r="646" spans="1:25" x14ac:dyDescent="0.3">
      <c r="A646" s="8" t="s">
        <v>974</v>
      </c>
      <c r="B646" s="14">
        <v>46148</v>
      </c>
      <c r="C646" s="8" t="s">
        <v>851</v>
      </c>
      <c r="D646" s="8" t="s">
        <v>77</v>
      </c>
      <c r="E646" s="8" t="s">
        <v>85</v>
      </c>
      <c r="F646">
        <v>3</v>
      </c>
      <c r="G646">
        <v>48500</v>
      </c>
      <c r="H646">
        <v>0</v>
      </c>
      <c r="I646" s="8" t="s">
        <v>17</v>
      </c>
      <c r="J646" s="8" t="s">
        <v>31</v>
      </c>
      <c r="K646" s="8" t="s">
        <v>25</v>
      </c>
      <c r="L646">
        <v>145500</v>
      </c>
      <c r="M646" s="8" t="s">
        <v>138</v>
      </c>
      <c r="N646">
        <v>145500</v>
      </c>
      <c r="O646" s="8" t="s">
        <v>1701</v>
      </c>
      <c r="P646" s="8" t="s">
        <v>1564</v>
      </c>
      <c r="Q646" s="8" t="s">
        <v>1563</v>
      </c>
      <c r="R646" s="8" t="s">
        <v>1565</v>
      </c>
      <c r="S646" s="8" t="s">
        <v>1542</v>
      </c>
      <c r="T646" s="8" t="s">
        <v>1585</v>
      </c>
      <c r="U646" s="8" t="s">
        <v>1586</v>
      </c>
      <c r="V646">
        <v>48500</v>
      </c>
      <c r="W646">
        <v>41200</v>
      </c>
      <c r="X646">
        <v>145500</v>
      </c>
      <c r="Y646">
        <v>21900</v>
      </c>
    </row>
    <row r="647" spans="1:25" x14ac:dyDescent="0.3">
      <c r="A647" s="8" t="s">
        <v>975</v>
      </c>
      <c r="B647" s="14">
        <v>46171</v>
      </c>
      <c r="C647" s="8" t="s">
        <v>546</v>
      </c>
      <c r="D647" s="8" t="s">
        <v>62</v>
      </c>
      <c r="E647" s="8" t="s">
        <v>183</v>
      </c>
      <c r="F647">
        <v>2</v>
      </c>
      <c r="G647">
        <v>3360</v>
      </c>
      <c r="H647">
        <v>0.05</v>
      </c>
      <c r="I647" s="8" t="s">
        <v>17</v>
      </c>
      <c r="J647" s="8" t="s">
        <v>47</v>
      </c>
      <c r="K647" s="8" t="s">
        <v>25</v>
      </c>
      <c r="L647">
        <v>6384</v>
      </c>
      <c r="M647" s="8" t="s">
        <v>48</v>
      </c>
      <c r="N647">
        <v>6384</v>
      </c>
      <c r="O647" s="8" t="s">
        <v>1701</v>
      </c>
      <c r="P647" s="8" t="s">
        <v>1551</v>
      </c>
      <c r="Q647" s="8" t="s">
        <v>1549</v>
      </c>
      <c r="R647" s="8" t="s">
        <v>1552</v>
      </c>
      <c r="S647" s="8" t="s">
        <v>1542</v>
      </c>
      <c r="T647" s="8" t="s">
        <v>1582</v>
      </c>
      <c r="U647" s="8" t="s">
        <v>1583</v>
      </c>
      <c r="V647">
        <v>3200</v>
      </c>
      <c r="W647">
        <v>2050</v>
      </c>
      <c r="X647">
        <v>6384</v>
      </c>
      <c r="Y647">
        <v>2284</v>
      </c>
    </row>
    <row r="648" spans="1:25" x14ac:dyDescent="0.3">
      <c r="A648" s="8" t="s">
        <v>976</v>
      </c>
      <c r="B648" s="14">
        <v>46027</v>
      </c>
      <c r="C648" s="8" t="s">
        <v>167</v>
      </c>
      <c r="D648" s="8" t="s">
        <v>90</v>
      </c>
      <c r="E648" s="8" t="s">
        <v>135</v>
      </c>
      <c r="F648">
        <v>1</v>
      </c>
      <c r="G648">
        <v>17640</v>
      </c>
      <c r="H648">
        <v>0</v>
      </c>
      <c r="I648" s="8" t="s">
        <v>17</v>
      </c>
      <c r="J648" s="8" t="s">
        <v>47</v>
      </c>
      <c r="K648" s="8" t="s">
        <v>41</v>
      </c>
      <c r="L648">
        <v>17640</v>
      </c>
      <c r="M648" s="8" t="s">
        <v>20</v>
      </c>
      <c r="N648">
        <v>17640</v>
      </c>
      <c r="O648" s="8" t="s">
        <v>1701</v>
      </c>
      <c r="P648" s="8" t="s">
        <v>1562</v>
      </c>
      <c r="Q648" s="8" t="s">
        <v>1563</v>
      </c>
      <c r="R648" s="8" t="s">
        <v>48</v>
      </c>
      <c r="S648" s="8" t="s">
        <v>1542</v>
      </c>
      <c r="T648" s="8" t="s">
        <v>1576</v>
      </c>
      <c r="U648" s="8" t="s">
        <v>1575</v>
      </c>
      <c r="V648">
        <v>16800</v>
      </c>
      <c r="W648">
        <v>12600</v>
      </c>
      <c r="X648">
        <v>17640</v>
      </c>
      <c r="Y648">
        <v>5040</v>
      </c>
    </row>
    <row r="649" spans="1:25" x14ac:dyDescent="0.3">
      <c r="A649" s="8" t="s">
        <v>977</v>
      </c>
      <c r="B649" s="14">
        <v>46092</v>
      </c>
      <c r="C649" s="8" t="s">
        <v>430</v>
      </c>
      <c r="D649" s="8" t="s">
        <v>35</v>
      </c>
      <c r="E649" s="8" t="s">
        <v>161</v>
      </c>
      <c r="F649">
        <v>3</v>
      </c>
      <c r="G649">
        <v>2600</v>
      </c>
      <c r="H649">
        <v>0.05</v>
      </c>
      <c r="I649" s="8" t="s">
        <v>17</v>
      </c>
      <c r="J649" s="8" t="s">
        <v>71</v>
      </c>
      <c r="K649" s="8" t="s">
        <v>41</v>
      </c>
      <c r="L649">
        <v>7410</v>
      </c>
      <c r="M649" s="8" t="s">
        <v>42</v>
      </c>
      <c r="N649">
        <v>7410</v>
      </c>
      <c r="O649" s="8" t="s">
        <v>1701</v>
      </c>
      <c r="P649" s="8" t="s">
        <v>1548</v>
      </c>
      <c r="Q649" s="8" t="s">
        <v>1549</v>
      </c>
      <c r="R649" s="8" t="s">
        <v>42</v>
      </c>
      <c r="S649" s="8" t="s">
        <v>1542</v>
      </c>
      <c r="T649" s="8" t="s">
        <v>1578</v>
      </c>
      <c r="U649" s="8" t="s">
        <v>1571</v>
      </c>
      <c r="V649">
        <v>2600</v>
      </c>
      <c r="W649">
        <v>1750</v>
      </c>
      <c r="X649">
        <v>7410</v>
      </c>
      <c r="Y649">
        <v>2160</v>
      </c>
    </row>
    <row r="650" spans="1:25" x14ac:dyDescent="0.3">
      <c r="A650" s="8" t="s">
        <v>978</v>
      </c>
      <c r="B650" s="14">
        <v>46176</v>
      </c>
      <c r="C650" s="8" t="s">
        <v>473</v>
      </c>
      <c r="D650" s="8" t="s">
        <v>29</v>
      </c>
      <c r="E650" s="8" t="s">
        <v>30</v>
      </c>
      <c r="F650">
        <v>2</v>
      </c>
      <c r="G650">
        <v>1800</v>
      </c>
      <c r="H650">
        <v>0.05</v>
      </c>
      <c r="I650" s="8" t="s">
        <v>17</v>
      </c>
      <c r="J650" s="8" t="s">
        <v>47</v>
      </c>
      <c r="K650" s="8" t="s">
        <v>1698</v>
      </c>
      <c r="L650">
        <v>3420</v>
      </c>
      <c r="M650" s="8" t="s">
        <v>82</v>
      </c>
      <c r="N650">
        <v>3420</v>
      </c>
      <c r="O650" s="8" t="s">
        <v>1701</v>
      </c>
      <c r="P650" s="8" t="s">
        <v>1560</v>
      </c>
      <c r="Q650" s="8" t="s">
        <v>1559</v>
      </c>
      <c r="R650" s="8" t="s">
        <v>1561</v>
      </c>
      <c r="S650" s="8" t="s">
        <v>1542</v>
      </c>
      <c r="T650" s="8" t="s">
        <v>1573</v>
      </c>
      <c r="U650" s="8" t="s">
        <v>1571</v>
      </c>
      <c r="V650">
        <v>1800</v>
      </c>
      <c r="W650">
        <v>1120</v>
      </c>
      <c r="X650">
        <v>3420</v>
      </c>
      <c r="Y650">
        <v>1180</v>
      </c>
    </row>
    <row r="651" spans="1:25" x14ac:dyDescent="0.3">
      <c r="A651" s="8" t="s">
        <v>979</v>
      </c>
      <c r="B651" s="14">
        <v>46171</v>
      </c>
      <c r="C651" s="8" t="s">
        <v>328</v>
      </c>
      <c r="D651" s="8" t="s">
        <v>35</v>
      </c>
      <c r="E651" s="8" t="s">
        <v>30</v>
      </c>
      <c r="F651">
        <v>1</v>
      </c>
      <c r="G651">
        <v>1890</v>
      </c>
      <c r="H651">
        <v>0.15</v>
      </c>
      <c r="I651" s="8" t="s">
        <v>17</v>
      </c>
      <c r="J651" s="8" t="s">
        <v>47</v>
      </c>
      <c r="K651" s="8" t="s">
        <v>41</v>
      </c>
      <c r="L651">
        <v>1606.5</v>
      </c>
      <c r="M651" s="8" t="s">
        <v>42</v>
      </c>
      <c r="N651">
        <v>1606.5</v>
      </c>
      <c r="O651" s="8" t="s">
        <v>1701</v>
      </c>
      <c r="P651" s="8" t="s">
        <v>1548</v>
      </c>
      <c r="Q651" s="8" t="s">
        <v>1549</v>
      </c>
      <c r="R651" s="8" t="s">
        <v>42</v>
      </c>
      <c r="S651" s="8" t="s">
        <v>1542</v>
      </c>
      <c r="T651" s="8" t="s">
        <v>1573</v>
      </c>
      <c r="U651" s="8" t="s">
        <v>1571</v>
      </c>
      <c r="V651">
        <v>1800</v>
      </c>
      <c r="W651">
        <v>1120</v>
      </c>
      <c r="X651">
        <v>1606.5</v>
      </c>
      <c r="Y651">
        <v>486.5</v>
      </c>
    </row>
    <row r="652" spans="1:25" x14ac:dyDescent="0.3">
      <c r="A652" s="8" t="s">
        <v>980</v>
      </c>
      <c r="B652" s="14">
        <v>46078</v>
      </c>
      <c r="C652" s="8" t="s">
        <v>302</v>
      </c>
      <c r="D652" s="8" t="s">
        <v>50</v>
      </c>
      <c r="E652" s="8" t="s">
        <v>51</v>
      </c>
      <c r="F652">
        <v>1</v>
      </c>
      <c r="G652">
        <v>17575</v>
      </c>
      <c r="H652">
        <v>0</v>
      </c>
      <c r="I652" s="8" t="s">
        <v>17</v>
      </c>
      <c r="J652" s="8" t="s">
        <v>18</v>
      </c>
      <c r="K652" s="8" t="s">
        <v>1698</v>
      </c>
      <c r="L652">
        <v>17575</v>
      </c>
      <c r="M652" s="8" t="s">
        <v>42</v>
      </c>
      <c r="N652">
        <v>17575</v>
      </c>
      <c r="O652" s="8" t="s">
        <v>1701</v>
      </c>
      <c r="P652" s="8" t="s">
        <v>1544</v>
      </c>
      <c r="Q652" s="8" t="s">
        <v>1541</v>
      </c>
      <c r="R652" s="8" t="s">
        <v>26</v>
      </c>
      <c r="S652" s="8" t="s">
        <v>1542</v>
      </c>
      <c r="T652" s="8" t="s">
        <v>1581</v>
      </c>
      <c r="U652" s="8" t="s">
        <v>1580</v>
      </c>
      <c r="V652">
        <v>18500</v>
      </c>
      <c r="W652">
        <v>13900</v>
      </c>
      <c r="X652">
        <v>17575</v>
      </c>
      <c r="Y652">
        <v>3675</v>
      </c>
    </row>
    <row r="653" spans="1:25" x14ac:dyDescent="0.3">
      <c r="A653" s="8" t="s">
        <v>981</v>
      </c>
      <c r="B653" s="14">
        <v>46056</v>
      </c>
      <c r="C653" s="8" t="s">
        <v>97</v>
      </c>
      <c r="D653" s="8" t="s">
        <v>77</v>
      </c>
      <c r="E653" s="8" t="s">
        <v>16</v>
      </c>
      <c r="F653">
        <v>2</v>
      </c>
      <c r="G653">
        <v>650</v>
      </c>
      <c r="H653">
        <v>0.05</v>
      </c>
      <c r="I653" s="8" t="s">
        <v>17</v>
      </c>
      <c r="J653" s="8" t="s">
        <v>47</v>
      </c>
      <c r="K653" s="8" t="s">
        <v>41</v>
      </c>
      <c r="L653">
        <v>1235</v>
      </c>
      <c r="M653" s="8" t="s">
        <v>26</v>
      </c>
      <c r="N653">
        <v>1235</v>
      </c>
      <c r="O653" s="8" t="s">
        <v>1701</v>
      </c>
      <c r="P653" s="8" t="s">
        <v>1564</v>
      </c>
      <c r="Q653" s="8" t="s">
        <v>1563</v>
      </c>
      <c r="R653" s="8" t="s">
        <v>1565</v>
      </c>
      <c r="S653" s="8" t="s">
        <v>1542</v>
      </c>
      <c r="T653" s="8" t="s">
        <v>1570</v>
      </c>
      <c r="U653" s="8" t="s">
        <v>1571</v>
      </c>
      <c r="V653">
        <v>650</v>
      </c>
      <c r="W653">
        <v>390</v>
      </c>
      <c r="X653">
        <v>1235</v>
      </c>
      <c r="Y653">
        <v>455</v>
      </c>
    </row>
    <row r="654" spans="1:25" x14ac:dyDescent="0.3">
      <c r="A654" s="8" t="s">
        <v>982</v>
      </c>
      <c r="B654" s="14">
        <v>46030</v>
      </c>
      <c r="C654" s="8" t="s">
        <v>867</v>
      </c>
      <c r="D654" s="8" t="s">
        <v>123</v>
      </c>
      <c r="E654" s="8" t="s">
        <v>63</v>
      </c>
      <c r="F654">
        <v>1</v>
      </c>
      <c r="G654">
        <v>2200</v>
      </c>
      <c r="H654">
        <v>0.2</v>
      </c>
      <c r="I654" s="8" t="s">
        <v>17</v>
      </c>
      <c r="J654" s="8" t="s">
        <v>71</v>
      </c>
      <c r="K654" s="8" t="s">
        <v>41</v>
      </c>
      <c r="L654">
        <v>1760</v>
      </c>
      <c r="M654" s="8" t="s">
        <v>59</v>
      </c>
      <c r="N654">
        <v>1760</v>
      </c>
      <c r="O654" s="8" t="s">
        <v>1701</v>
      </c>
      <c r="P654" s="8" t="s">
        <v>1558</v>
      </c>
      <c r="Q654" s="8" t="s">
        <v>1559</v>
      </c>
      <c r="R654" s="8" t="s">
        <v>138</v>
      </c>
      <c r="S654" s="8" t="s">
        <v>1542</v>
      </c>
      <c r="T654" s="8" t="s">
        <v>1572</v>
      </c>
      <c r="U654" s="8" t="s">
        <v>1571</v>
      </c>
      <c r="V654">
        <v>2200</v>
      </c>
      <c r="W654">
        <v>1450</v>
      </c>
      <c r="X654">
        <v>1760</v>
      </c>
      <c r="Y654">
        <v>310</v>
      </c>
    </row>
    <row r="655" spans="1:25" x14ac:dyDescent="0.3">
      <c r="A655" s="8" t="s">
        <v>983</v>
      </c>
      <c r="B655" s="14">
        <v>46043</v>
      </c>
      <c r="C655" s="8" t="s">
        <v>279</v>
      </c>
      <c r="D655" s="8" t="s">
        <v>70</v>
      </c>
      <c r="E655" s="8" t="s">
        <v>85</v>
      </c>
      <c r="F655">
        <v>4</v>
      </c>
      <c r="G655">
        <v>50925</v>
      </c>
      <c r="H655">
        <v>0</v>
      </c>
      <c r="I655" s="8" t="s">
        <v>17</v>
      </c>
      <c r="J655" s="8" t="s">
        <v>31</v>
      </c>
      <c r="K655" s="8" t="s">
        <v>41</v>
      </c>
      <c r="L655">
        <v>203700</v>
      </c>
      <c r="M655" s="8" t="s">
        <v>42</v>
      </c>
      <c r="N655">
        <v>203700</v>
      </c>
      <c r="O655" s="8" t="s">
        <v>1701</v>
      </c>
      <c r="P655" s="8" t="s">
        <v>1550</v>
      </c>
      <c r="Q655" s="8" t="s">
        <v>1549</v>
      </c>
      <c r="R655" s="8" t="s">
        <v>32</v>
      </c>
      <c r="S655" s="8" t="s">
        <v>1542</v>
      </c>
      <c r="T655" s="8" t="s">
        <v>1585</v>
      </c>
      <c r="U655" s="8" t="s">
        <v>1586</v>
      </c>
      <c r="V655">
        <v>48500</v>
      </c>
      <c r="W655">
        <v>41200</v>
      </c>
      <c r="X655">
        <v>203700</v>
      </c>
      <c r="Y655">
        <v>38900</v>
      </c>
    </row>
    <row r="656" spans="1:25" x14ac:dyDescent="0.3">
      <c r="A656" s="8" t="s">
        <v>984</v>
      </c>
      <c r="B656" s="14">
        <v>46031</v>
      </c>
      <c r="C656" s="8" t="s">
        <v>795</v>
      </c>
      <c r="D656" s="8" t="s">
        <v>29</v>
      </c>
      <c r="E656" s="8" t="s">
        <v>74</v>
      </c>
      <c r="F656">
        <v>2</v>
      </c>
      <c r="G656">
        <v>2400</v>
      </c>
      <c r="H656">
        <v>0</v>
      </c>
      <c r="I656" s="8" t="s">
        <v>17</v>
      </c>
      <c r="J656" s="8" t="s">
        <v>31</v>
      </c>
      <c r="K656" s="8" t="s">
        <v>67</v>
      </c>
      <c r="L656">
        <v>4800</v>
      </c>
      <c r="M656" s="8" t="s">
        <v>20</v>
      </c>
      <c r="N656">
        <v>4800</v>
      </c>
      <c r="O656" s="8" t="s">
        <v>1701</v>
      </c>
      <c r="P656" s="8" t="s">
        <v>1560</v>
      </c>
      <c r="Q656" s="8" t="s">
        <v>1559</v>
      </c>
      <c r="R656" s="8" t="s">
        <v>1561</v>
      </c>
      <c r="S656" s="8" t="s">
        <v>1542</v>
      </c>
      <c r="T656" s="8" t="s">
        <v>1584</v>
      </c>
      <c r="U656" s="8" t="s">
        <v>1583</v>
      </c>
      <c r="V656">
        <v>2400</v>
      </c>
      <c r="W656">
        <v>1480</v>
      </c>
      <c r="X656">
        <v>4800</v>
      </c>
      <c r="Y656">
        <v>1840</v>
      </c>
    </row>
    <row r="657" spans="1:25" x14ac:dyDescent="0.3">
      <c r="A657" s="8" t="s">
        <v>985</v>
      </c>
      <c r="B657" s="14">
        <v>46047</v>
      </c>
      <c r="C657" s="8" t="s">
        <v>198</v>
      </c>
      <c r="D657" s="8" t="s">
        <v>29</v>
      </c>
      <c r="E657" s="8" t="s">
        <v>63</v>
      </c>
      <c r="F657">
        <v>8</v>
      </c>
      <c r="G657">
        <v>2200</v>
      </c>
      <c r="H657">
        <v>0</v>
      </c>
      <c r="I657" s="8" t="s">
        <v>17</v>
      </c>
      <c r="J657" s="8" t="s">
        <v>47</v>
      </c>
      <c r="K657" s="8" t="s">
        <v>1698</v>
      </c>
      <c r="L657">
        <v>17600</v>
      </c>
      <c r="M657" s="8" t="s">
        <v>42</v>
      </c>
      <c r="N657">
        <v>17600</v>
      </c>
      <c r="O657" s="8" t="s">
        <v>1701</v>
      </c>
      <c r="P657" s="8" t="s">
        <v>1560</v>
      </c>
      <c r="Q657" s="8" t="s">
        <v>1559</v>
      </c>
      <c r="R657" s="8" t="s">
        <v>1561</v>
      </c>
      <c r="S657" s="8" t="s">
        <v>1542</v>
      </c>
      <c r="T657" s="8" t="s">
        <v>1572</v>
      </c>
      <c r="U657" s="8" t="s">
        <v>1571</v>
      </c>
      <c r="V657">
        <v>2200</v>
      </c>
      <c r="W657">
        <v>1450</v>
      </c>
      <c r="X657">
        <v>17600</v>
      </c>
      <c r="Y657">
        <v>6000</v>
      </c>
    </row>
    <row r="658" spans="1:25" x14ac:dyDescent="0.3">
      <c r="A658" s="8" t="s">
        <v>986</v>
      </c>
      <c r="B658" s="14">
        <v>46060</v>
      </c>
      <c r="C658" s="8" t="s">
        <v>69</v>
      </c>
      <c r="D658" s="8" t="s">
        <v>90</v>
      </c>
      <c r="E658" s="8" t="s">
        <v>85</v>
      </c>
      <c r="F658">
        <v>8</v>
      </c>
      <c r="G658">
        <v>48500</v>
      </c>
      <c r="H658">
        <v>0.15</v>
      </c>
      <c r="I658" s="8" t="s">
        <v>17</v>
      </c>
      <c r="J658" s="8" t="s">
        <v>71</v>
      </c>
      <c r="K658" s="8" t="s">
        <v>25</v>
      </c>
      <c r="L658">
        <v>329800</v>
      </c>
      <c r="M658" s="8" t="s">
        <v>48</v>
      </c>
      <c r="N658">
        <v>329800</v>
      </c>
      <c r="O658" s="8" t="s">
        <v>1701</v>
      </c>
      <c r="P658" s="8" t="s">
        <v>1562</v>
      </c>
      <c r="Q658" s="8" t="s">
        <v>1563</v>
      </c>
      <c r="R658" s="8" t="s">
        <v>48</v>
      </c>
      <c r="S658" s="8" t="s">
        <v>1542</v>
      </c>
      <c r="T658" s="8" t="s">
        <v>1585</v>
      </c>
      <c r="U658" s="8" t="s">
        <v>1586</v>
      </c>
      <c r="V658">
        <v>48500</v>
      </c>
      <c r="W658">
        <v>41200</v>
      </c>
      <c r="X658">
        <v>329800</v>
      </c>
      <c r="Y658">
        <v>200</v>
      </c>
    </row>
    <row r="659" spans="1:25" x14ac:dyDescent="0.3">
      <c r="A659" s="8" t="s">
        <v>987</v>
      </c>
      <c r="B659" s="14">
        <v>46040</v>
      </c>
      <c r="C659" s="8" t="s">
        <v>1702</v>
      </c>
      <c r="D659" s="8" t="s">
        <v>15</v>
      </c>
      <c r="E659" s="8" t="s">
        <v>183</v>
      </c>
      <c r="F659">
        <v>4</v>
      </c>
      <c r="G659">
        <v>3200</v>
      </c>
      <c r="H659">
        <v>0.15</v>
      </c>
      <c r="I659" s="8" t="s">
        <v>17</v>
      </c>
      <c r="J659" s="8" t="s">
        <v>71</v>
      </c>
      <c r="K659" s="8" t="s">
        <v>25</v>
      </c>
      <c r="L659">
        <v>10880</v>
      </c>
      <c r="M659" s="8" t="s">
        <v>20</v>
      </c>
      <c r="N659">
        <v>10880</v>
      </c>
      <c r="O659" s="8" t="s">
        <v>1701</v>
      </c>
      <c r="P659" s="8" t="s">
        <v>1543</v>
      </c>
      <c r="Q659" s="8" t="s">
        <v>1541</v>
      </c>
      <c r="R659" s="8" t="s">
        <v>52</v>
      </c>
      <c r="S659" s="8" t="s">
        <v>1542</v>
      </c>
      <c r="T659" s="8" t="s">
        <v>1582</v>
      </c>
      <c r="U659" s="8" t="s">
        <v>1583</v>
      </c>
      <c r="V659">
        <v>3200</v>
      </c>
      <c r="W659">
        <v>2050</v>
      </c>
      <c r="X659">
        <v>10880</v>
      </c>
      <c r="Y659">
        <v>2680</v>
      </c>
    </row>
    <row r="660" spans="1:25" x14ac:dyDescent="0.3">
      <c r="A660" s="8" t="s">
        <v>988</v>
      </c>
      <c r="B660" s="14">
        <v>46048</v>
      </c>
      <c r="C660" s="8" t="s">
        <v>491</v>
      </c>
      <c r="D660" s="8" t="s">
        <v>77</v>
      </c>
      <c r="E660" s="8" t="s">
        <v>24</v>
      </c>
      <c r="F660">
        <v>8</v>
      </c>
      <c r="G660">
        <v>11200</v>
      </c>
      <c r="H660">
        <v>0.2</v>
      </c>
      <c r="I660" s="8" t="s">
        <v>17</v>
      </c>
      <c r="J660" s="8" t="s">
        <v>31</v>
      </c>
      <c r="K660" s="8" t="s">
        <v>41</v>
      </c>
      <c r="L660">
        <v>71680</v>
      </c>
      <c r="M660" s="8" t="s">
        <v>138</v>
      </c>
      <c r="N660">
        <v>71680</v>
      </c>
      <c r="O660" s="8" t="s">
        <v>1701</v>
      </c>
      <c r="P660" s="8" t="s">
        <v>1564</v>
      </c>
      <c r="Q660" s="8" t="s">
        <v>1563</v>
      </c>
      <c r="R660" s="8" t="s">
        <v>1565</v>
      </c>
      <c r="S660" s="8" t="s">
        <v>1542</v>
      </c>
      <c r="T660" s="8" t="s">
        <v>1574</v>
      </c>
      <c r="U660" s="8" t="s">
        <v>1575</v>
      </c>
      <c r="V660">
        <v>11200</v>
      </c>
      <c r="W660">
        <v>8300</v>
      </c>
      <c r="X660">
        <v>71680</v>
      </c>
      <c r="Y660">
        <v>5280</v>
      </c>
    </row>
    <row r="661" spans="1:25" x14ac:dyDescent="0.3">
      <c r="A661" s="8" t="s">
        <v>989</v>
      </c>
      <c r="B661" s="14">
        <v>46120</v>
      </c>
      <c r="C661" s="8" t="s">
        <v>669</v>
      </c>
      <c r="D661" s="8" t="s">
        <v>70</v>
      </c>
      <c r="E661" s="8" t="s">
        <v>24</v>
      </c>
      <c r="F661">
        <v>2</v>
      </c>
      <c r="G661">
        <v>11200</v>
      </c>
      <c r="H661">
        <v>0.1</v>
      </c>
      <c r="I661" s="8" t="s">
        <v>17</v>
      </c>
      <c r="J661" s="8" t="s">
        <v>18</v>
      </c>
      <c r="K661" s="8" t="s">
        <v>1698</v>
      </c>
      <c r="L661">
        <v>20160</v>
      </c>
      <c r="M661" s="8" t="s">
        <v>82</v>
      </c>
      <c r="N661">
        <v>20160</v>
      </c>
      <c r="O661" s="8" t="s">
        <v>1701</v>
      </c>
      <c r="P661" s="8" t="s">
        <v>1550</v>
      </c>
      <c r="Q661" s="8" t="s">
        <v>1549</v>
      </c>
      <c r="R661" s="8" t="s">
        <v>32</v>
      </c>
      <c r="S661" s="8" t="s">
        <v>1542</v>
      </c>
      <c r="T661" s="8" t="s">
        <v>1574</v>
      </c>
      <c r="U661" s="8" t="s">
        <v>1575</v>
      </c>
      <c r="V661">
        <v>11200</v>
      </c>
      <c r="W661">
        <v>8300</v>
      </c>
      <c r="X661">
        <v>20160</v>
      </c>
      <c r="Y661">
        <v>3560</v>
      </c>
    </row>
    <row r="662" spans="1:25" x14ac:dyDescent="0.3">
      <c r="A662" s="8" t="s">
        <v>990</v>
      </c>
      <c r="B662" s="14">
        <v>46057</v>
      </c>
      <c r="C662" s="8" t="s">
        <v>396</v>
      </c>
      <c r="D662" s="8" t="s">
        <v>62</v>
      </c>
      <c r="E662" s="8" t="s">
        <v>36</v>
      </c>
      <c r="F662">
        <v>3</v>
      </c>
      <c r="G662">
        <v>1330</v>
      </c>
      <c r="H662">
        <v>0.15</v>
      </c>
      <c r="I662" s="8" t="s">
        <v>17</v>
      </c>
      <c r="J662" s="8" t="s">
        <v>18</v>
      </c>
      <c r="K662" s="8" t="s">
        <v>1698</v>
      </c>
      <c r="L662">
        <v>3391.5</v>
      </c>
      <c r="M662" s="8" t="s">
        <v>32</v>
      </c>
      <c r="N662">
        <v>3391.5</v>
      </c>
      <c r="O662" s="8" t="s">
        <v>1701</v>
      </c>
      <c r="P662" s="8" t="s">
        <v>1551</v>
      </c>
      <c r="Q662" s="8" t="s">
        <v>1549</v>
      </c>
      <c r="R662" s="8" t="s">
        <v>1552</v>
      </c>
      <c r="S662" s="8" t="s">
        <v>1542</v>
      </c>
      <c r="T662" s="8" t="s">
        <v>1577</v>
      </c>
      <c r="U662" s="8" t="s">
        <v>1571</v>
      </c>
      <c r="V662">
        <v>1400</v>
      </c>
      <c r="W662">
        <v>780</v>
      </c>
      <c r="X662">
        <v>3391.5</v>
      </c>
      <c r="Y662">
        <v>1051.5</v>
      </c>
    </row>
    <row r="663" spans="1:25" x14ac:dyDescent="0.3">
      <c r="A663" s="8" t="s">
        <v>991</v>
      </c>
      <c r="B663" s="14">
        <v>46095</v>
      </c>
      <c r="C663" s="8" t="s">
        <v>594</v>
      </c>
      <c r="D663" s="8" t="s">
        <v>62</v>
      </c>
      <c r="E663" s="8" t="s">
        <v>183</v>
      </c>
      <c r="F663">
        <v>4</v>
      </c>
      <c r="G663">
        <v>3360</v>
      </c>
      <c r="H663">
        <v>0.2</v>
      </c>
      <c r="I663" s="8" t="s">
        <v>116</v>
      </c>
      <c r="J663" s="8" t="s">
        <v>18</v>
      </c>
      <c r="K663" s="8" t="s">
        <v>67</v>
      </c>
      <c r="L663">
        <v>10752</v>
      </c>
      <c r="M663" s="8" t="s">
        <v>1702</v>
      </c>
      <c r="N663">
        <v>10752</v>
      </c>
      <c r="O663" s="8" t="s">
        <v>1701</v>
      </c>
      <c r="P663" s="8" t="s">
        <v>1551</v>
      </c>
      <c r="Q663" s="8" t="s">
        <v>1549</v>
      </c>
      <c r="R663" s="8" t="s">
        <v>1552</v>
      </c>
      <c r="S663" s="8" t="s">
        <v>1542</v>
      </c>
      <c r="T663" s="8" t="s">
        <v>1582</v>
      </c>
      <c r="U663" s="8" t="s">
        <v>1583</v>
      </c>
      <c r="V663">
        <v>3200</v>
      </c>
      <c r="W663">
        <v>2050</v>
      </c>
      <c r="X663">
        <v>0</v>
      </c>
      <c r="Y663">
        <v>-8200</v>
      </c>
    </row>
    <row r="664" spans="1:25" x14ac:dyDescent="0.3">
      <c r="A664" s="8" t="s">
        <v>992</v>
      </c>
      <c r="B664" s="14">
        <v>46071</v>
      </c>
      <c r="C664" s="8" t="s">
        <v>551</v>
      </c>
      <c r="D664" s="8" t="s">
        <v>90</v>
      </c>
      <c r="E664" s="8" t="s">
        <v>63</v>
      </c>
      <c r="F664">
        <v>5</v>
      </c>
      <c r="G664">
        <v>2200</v>
      </c>
      <c r="H664">
        <v>0.1</v>
      </c>
      <c r="I664" s="8" t="s">
        <v>17</v>
      </c>
      <c r="J664" s="8" t="s">
        <v>31</v>
      </c>
      <c r="K664" s="8" t="s">
        <v>55</v>
      </c>
      <c r="L664">
        <v>9900</v>
      </c>
      <c r="M664" s="8" t="s">
        <v>42</v>
      </c>
      <c r="N664">
        <v>9900</v>
      </c>
      <c r="O664" s="8" t="s">
        <v>1701</v>
      </c>
      <c r="P664" s="8" t="s">
        <v>1562</v>
      </c>
      <c r="Q664" s="8" t="s">
        <v>1563</v>
      </c>
      <c r="R664" s="8" t="s">
        <v>48</v>
      </c>
      <c r="S664" s="8" t="s">
        <v>1542</v>
      </c>
      <c r="T664" s="8" t="s">
        <v>1572</v>
      </c>
      <c r="U664" s="8" t="s">
        <v>1571</v>
      </c>
      <c r="V664">
        <v>2200</v>
      </c>
      <c r="W664">
        <v>1450</v>
      </c>
      <c r="X664">
        <v>9900</v>
      </c>
      <c r="Y664">
        <v>2650</v>
      </c>
    </row>
    <row r="665" spans="1:25" x14ac:dyDescent="0.3">
      <c r="A665" s="8" t="s">
        <v>993</v>
      </c>
      <c r="B665" s="14">
        <v>46124</v>
      </c>
      <c r="C665" s="8" t="s">
        <v>289</v>
      </c>
      <c r="D665" s="8" t="s">
        <v>62</v>
      </c>
      <c r="E665" s="8" t="s">
        <v>51</v>
      </c>
      <c r="F665">
        <v>3</v>
      </c>
      <c r="G665">
        <v>19425</v>
      </c>
      <c r="H665">
        <v>0</v>
      </c>
      <c r="I665" s="8" t="s">
        <v>17</v>
      </c>
      <c r="J665" s="8" t="s">
        <v>31</v>
      </c>
      <c r="K665" s="8" t="s">
        <v>41</v>
      </c>
      <c r="L665">
        <v>58275</v>
      </c>
      <c r="M665" s="8" t="s">
        <v>42</v>
      </c>
      <c r="N665">
        <v>58275</v>
      </c>
      <c r="O665" s="8" t="s">
        <v>1701</v>
      </c>
      <c r="P665" s="8" t="s">
        <v>1551</v>
      </c>
      <c r="Q665" s="8" t="s">
        <v>1549</v>
      </c>
      <c r="R665" s="8" t="s">
        <v>1552</v>
      </c>
      <c r="S665" s="8" t="s">
        <v>1542</v>
      </c>
      <c r="T665" s="8" t="s">
        <v>1581</v>
      </c>
      <c r="U665" s="8" t="s">
        <v>1580</v>
      </c>
      <c r="V665">
        <v>18500</v>
      </c>
      <c r="W665">
        <v>13900</v>
      </c>
      <c r="X665">
        <v>58275</v>
      </c>
      <c r="Y665">
        <v>16575</v>
      </c>
    </row>
    <row r="666" spans="1:25" x14ac:dyDescent="0.3">
      <c r="A666" s="8" t="s">
        <v>994</v>
      </c>
      <c r="B666" s="14">
        <v>46116</v>
      </c>
      <c r="C666" s="8" t="s">
        <v>219</v>
      </c>
      <c r="D666" s="8" t="s">
        <v>23</v>
      </c>
      <c r="E666" s="8" t="s">
        <v>36</v>
      </c>
      <c r="F666">
        <v>1</v>
      </c>
      <c r="G666">
        <v>1470</v>
      </c>
      <c r="H666">
        <v>0.1</v>
      </c>
      <c r="I666" s="8" t="s">
        <v>17</v>
      </c>
      <c r="J666" s="8" t="s">
        <v>47</v>
      </c>
      <c r="K666" s="8" t="s">
        <v>25</v>
      </c>
      <c r="L666">
        <v>1323</v>
      </c>
      <c r="M666" s="8" t="s">
        <v>48</v>
      </c>
      <c r="N666">
        <v>1323</v>
      </c>
      <c r="O666" s="8" t="s">
        <v>1701</v>
      </c>
      <c r="P666" s="8" t="s">
        <v>1545</v>
      </c>
      <c r="Q666" s="8" t="s">
        <v>1541</v>
      </c>
      <c r="R666" s="8" t="s">
        <v>1546</v>
      </c>
      <c r="S666" s="8" t="s">
        <v>1542</v>
      </c>
      <c r="T666" s="8" t="s">
        <v>1577</v>
      </c>
      <c r="U666" s="8" t="s">
        <v>1571</v>
      </c>
      <c r="V666">
        <v>1400</v>
      </c>
      <c r="W666">
        <v>780</v>
      </c>
      <c r="X666">
        <v>1323</v>
      </c>
      <c r="Y666">
        <v>543</v>
      </c>
    </row>
    <row r="667" spans="1:25" x14ac:dyDescent="0.3">
      <c r="A667" s="8" t="s">
        <v>995</v>
      </c>
      <c r="B667" s="14">
        <v>46092</v>
      </c>
      <c r="C667" s="8" t="s">
        <v>901</v>
      </c>
      <c r="D667" s="8" t="s">
        <v>29</v>
      </c>
      <c r="E667" s="8" t="s">
        <v>74</v>
      </c>
      <c r="F667">
        <v>8</v>
      </c>
      <c r="G667">
        <v>2520</v>
      </c>
      <c r="H667">
        <v>0.05</v>
      </c>
      <c r="I667" s="8" t="s">
        <v>17</v>
      </c>
      <c r="J667" s="8" t="s">
        <v>47</v>
      </c>
      <c r="K667" s="8" t="s">
        <v>41</v>
      </c>
      <c r="L667">
        <v>19152</v>
      </c>
      <c r="M667" s="8" t="s">
        <v>56</v>
      </c>
      <c r="N667">
        <v>19152</v>
      </c>
      <c r="O667" s="8" t="s">
        <v>1701</v>
      </c>
      <c r="P667" s="8" t="s">
        <v>1560</v>
      </c>
      <c r="Q667" s="8" t="s">
        <v>1559</v>
      </c>
      <c r="R667" s="8" t="s">
        <v>1561</v>
      </c>
      <c r="S667" s="8" t="s">
        <v>1542</v>
      </c>
      <c r="T667" s="8" t="s">
        <v>1584</v>
      </c>
      <c r="U667" s="8" t="s">
        <v>1583</v>
      </c>
      <c r="V667">
        <v>2400</v>
      </c>
      <c r="W667">
        <v>1480</v>
      </c>
      <c r="X667">
        <v>19152</v>
      </c>
      <c r="Y667">
        <v>7312</v>
      </c>
    </row>
    <row r="668" spans="1:25" x14ac:dyDescent="0.3">
      <c r="A668" s="8" t="s">
        <v>996</v>
      </c>
      <c r="B668" s="14">
        <v>46050</v>
      </c>
      <c r="C668" s="8" t="s">
        <v>568</v>
      </c>
      <c r="D668" s="8" t="s">
        <v>15</v>
      </c>
      <c r="E668" s="8" t="s">
        <v>135</v>
      </c>
      <c r="F668">
        <v>2</v>
      </c>
      <c r="G668">
        <v>16800</v>
      </c>
      <c r="H668">
        <v>0</v>
      </c>
      <c r="I668" s="8" t="s">
        <v>17</v>
      </c>
      <c r="J668" s="8" t="s">
        <v>31</v>
      </c>
      <c r="K668" s="8" t="s">
        <v>1698</v>
      </c>
      <c r="L668">
        <v>33600</v>
      </c>
      <c r="M668" s="8" t="s">
        <v>42</v>
      </c>
      <c r="N668">
        <v>33600</v>
      </c>
      <c r="O668" s="8" t="s">
        <v>1701</v>
      </c>
      <c r="P668" s="8" t="s">
        <v>1543</v>
      </c>
      <c r="Q668" s="8" t="s">
        <v>1541</v>
      </c>
      <c r="R668" s="8" t="s">
        <v>52</v>
      </c>
      <c r="S668" s="8" t="s">
        <v>1542</v>
      </c>
      <c r="T668" s="8" t="s">
        <v>1576</v>
      </c>
      <c r="U668" s="8" t="s">
        <v>1575</v>
      </c>
      <c r="V668">
        <v>16800</v>
      </c>
      <c r="W668">
        <v>12600</v>
      </c>
      <c r="X668">
        <v>33600</v>
      </c>
      <c r="Y668">
        <v>8400</v>
      </c>
    </row>
    <row r="669" spans="1:25" x14ac:dyDescent="0.3">
      <c r="A669" s="8" t="s">
        <v>997</v>
      </c>
      <c r="B669" s="14">
        <v>46150</v>
      </c>
      <c r="C669" s="8" t="s">
        <v>181</v>
      </c>
      <c r="D669" s="8" t="s">
        <v>95</v>
      </c>
      <c r="E669" s="8" t="s">
        <v>16</v>
      </c>
      <c r="F669">
        <v>10</v>
      </c>
      <c r="G669">
        <v>650</v>
      </c>
      <c r="H669">
        <v>0.1</v>
      </c>
      <c r="I669" s="8" t="s">
        <v>17</v>
      </c>
      <c r="J669" s="8" t="s">
        <v>47</v>
      </c>
      <c r="K669" s="8" t="s">
        <v>25</v>
      </c>
      <c r="L669">
        <v>5850</v>
      </c>
      <c r="M669" s="8" t="s">
        <v>48</v>
      </c>
      <c r="N669">
        <v>5850</v>
      </c>
      <c r="O669" s="8" t="s">
        <v>1701</v>
      </c>
      <c r="P669" s="8" t="s">
        <v>1556</v>
      </c>
      <c r="Q669" s="8" t="s">
        <v>1554</v>
      </c>
      <c r="R669" s="8" t="s">
        <v>1557</v>
      </c>
      <c r="S669" s="8" t="s">
        <v>1542</v>
      </c>
      <c r="T669" s="8" t="s">
        <v>1570</v>
      </c>
      <c r="U669" s="8" t="s">
        <v>1571</v>
      </c>
      <c r="V669">
        <v>650</v>
      </c>
      <c r="W669">
        <v>390</v>
      </c>
      <c r="X669">
        <v>5850</v>
      </c>
      <c r="Y669">
        <v>1950</v>
      </c>
    </row>
    <row r="670" spans="1:25" x14ac:dyDescent="0.3">
      <c r="A670" s="8" t="s">
        <v>998</v>
      </c>
      <c r="B670" s="14">
        <v>46047</v>
      </c>
      <c r="C670" s="8" t="s">
        <v>724</v>
      </c>
      <c r="D670" s="8" t="s">
        <v>29</v>
      </c>
      <c r="E670" s="8" t="s">
        <v>63</v>
      </c>
      <c r="F670">
        <v>3</v>
      </c>
      <c r="G670">
        <v>2310</v>
      </c>
      <c r="H670">
        <v>0.15</v>
      </c>
      <c r="I670" s="8" t="s">
        <v>17</v>
      </c>
      <c r="J670" s="8" t="s">
        <v>47</v>
      </c>
      <c r="K670" s="8" t="s">
        <v>55</v>
      </c>
      <c r="L670">
        <v>5890.5</v>
      </c>
      <c r="M670" s="8" t="s">
        <v>56</v>
      </c>
      <c r="N670">
        <v>5890.5</v>
      </c>
      <c r="O670" s="8" t="s">
        <v>1701</v>
      </c>
      <c r="P670" s="8" t="s">
        <v>1560</v>
      </c>
      <c r="Q670" s="8" t="s">
        <v>1559</v>
      </c>
      <c r="R670" s="8" t="s">
        <v>1561</v>
      </c>
      <c r="S670" s="8" t="s">
        <v>1542</v>
      </c>
      <c r="T670" s="8" t="s">
        <v>1572</v>
      </c>
      <c r="U670" s="8" t="s">
        <v>1571</v>
      </c>
      <c r="V670">
        <v>2200</v>
      </c>
      <c r="W670">
        <v>1450</v>
      </c>
      <c r="X670">
        <v>5890.5</v>
      </c>
      <c r="Y670">
        <v>1540.5</v>
      </c>
    </row>
    <row r="671" spans="1:25" x14ac:dyDescent="0.3">
      <c r="A671" s="8" t="s">
        <v>999</v>
      </c>
      <c r="B671" s="14">
        <v>46152</v>
      </c>
      <c r="C671" s="8" t="s">
        <v>279</v>
      </c>
      <c r="D671" s="8" t="s">
        <v>45</v>
      </c>
      <c r="E671" s="8" t="s">
        <v>51</v>
      </c>
      <c r="F671">
        <v>2</v>
      </c>
      <c r="G671">
        <v>17575</v>
      </c>
      <c r="H671">
        <v>0.15</v>
      </c>
      <c r="I671" s="8" t="s">
        <v>17</v>
      </c>
      <c r="J671" s="8" t="s">
        <v>31</v>
      </c>
      <c r="K671" s="8" t="s">
        <v>55</v>
      </c>
      <c r="L671">
        <v>29877.5</v>
      </c>
      <c r="M671" s="8" t="s">
        <v>56</v>
      </c>
      <c r="N671">
        <v>29877.5</v>
      </c>
      <c r="O671" s="8" t="s">
        <v>1701</v>
      </c>
      <c r="P671" s="8" t="s">
        <v>1547</v>
      </c>
      <c r="Q671" s="8" t="s">
        <v>1541</v>
      </c>
      <c r="R671" s="8" t="s">
        <v>56</v>
      </c>
      <c r="S671" s="8" t="s">
        <v>1542</v>
      </c>
      <c r="T671" s="8" t="s">
        <v>1581</v>
      </c>
      <c r="U671" s="8" t="s">
        <v>1580</v>
      </c>
      <c r="V671">
        <v>18500</v>
      </c>
      <c r="W671">
        <v>13900</v>
      </c>
      <c r="X671">
        <v>29877.5</v>
      </c>
      <c r="Y671">
        <v>2077.5</v>
      </c>
    </row>
    <row r="672" spans="1:25" x14ac:dyDescent="0.3">
      <c r="A672" s="8" t="s">
        <v>1000</v>
      </c>
      <c r="B672" s="14">
        <v>46103</v>
      </c>
      <c r="C672" s="8" t="s">
        <v>165</v>
      </c>
      <c r="D672" s="8" t="s">
        <v>90</v>
      </c>
      <c r="E672" s="8" t="s">
        <v>161</v>
      </c>
      <c r="F672">
        <v>2</v>
      </c>
      <c r="G672">
        <v>2600</v>
      </c>
      <c r="H672">
        <v>0</v>
      </c>
      <c r="I672" s="8" t="s">
        <v>17</v>
      </c>
      <c r="J672" s="8" t="s">
        <v>18</v>
      </c>
      <c r="K672" s="8" t="s">
        <v>55</v>
      </c>
      <c r="L672">
        <v>5200</v>
      </c>
      <c r="M672" s="8" t="s">
        <v>59</v>
      </c>
      <c r="N672">
        <v>5200</v>
      </c>
      <c r="O672" s="8" t="s">
        <v>1701</v>
      </c>
      <c r="P672" s="8" t="s">
        <v>1562</v>
      </c>
      <c r="Q672" s="8" t="s">
        <v>1563</v>
      </c>
      <c r="R672" s="8" t="s">
        <v>48</v>
      </c>
      <c r="S672" s="8" t="s">
        <v>1542</v>
      </c>
      <c r="T672" s="8" t="s">
        <v>1578</v>
      </c>
      <c r="U672" s="8" t="s">
        <v>1571</v>
      </c>
      <c r="V672">
        <v>2600</v>
      </c>
      <c r="W672">
        <v>1750</v>
      </c>
      <c r="X672">
        <v>5200</v>
      </c>
      <c r="Y672">
        <v>1700</v>
      </c>
    </row>
    <row r="673" spans="1:25" x14ac:dyDescent="0.3">
      <c r="A673" s="8" t="s">
        <v>1001</v>
      </c>
      <c r="B673" s="14">
        <v>46102</v>
      </c>
      <c r="C673" s="8" t="s">
        <v>330</v>
      </c>
      <c r="D673" s="8" t="s">
        <v>123</v>
      </c>
      <c r="E673" s="8" t="s">
        <v>161</v>
      </c>
      <c r="F673">
        <v>2</v>
      </c>
      <c r="G673">
        <v>2730</v>
      </c>
      <c r="H673">
        <v>0</v>
      </c>
      <c r="I673" s="8" t="s">
        <v>17</v>
      </c>
      <c r="J673" s="8" t="s">
        <v>18</v>
      </c>
      <c r="K673" s="8" t="s">
        <v>25</v>
      </c>
      <c r="L673">
        <v>5460</v>
      </c>
      <c r="M673" s="8" t="s">
        <v>59</v>
      </c>
      <c r="N673">
        <v>5460</v>
      </c>
      <c r="O673" s="8" t="s">
        <v>1701</v>
      </c>
      <c r="P673" s="8" t="s">
        <v>1558</v>
      </c>
      <c r="Q673" s="8" t="s">
        <v>1559</v>
      </c>
      <c r="R673" s="8" t="s">
        <v>138</v>
      </c>
      <c r="S673" s="8" t="s">
        <v>1542</v>
      </c>
      <c r="T673" s="8" t="s">
        <v>1578</v>
      </c>
      <c r="U673" s="8" t="s">
        <v>1571</v>
      </c>
      <c r="V673">
        <v>2600</v>
      </c>
      <c r="W673">
        <v>1750</v>
      </c>
      <c r="X673">
        <v>5460</v>
      </c>
      <c r="Y673">
        <v>1960</v>
      </c>
    </row>
    <row r="674" spans="1:25" x14ac:dyDescent="0.3">
      <c r="A674" s="8" t="s">
        <v>1002</v>
      </c>
      <c r="B674" s="14">
        <v>46152</v>
      </c>
      <c r="C674" s="8" t="s">
        <v>321</v>
      </c>
      <c r="D674" s="8" t="s">
        <v>168</v>
      </c>
      <c r="E674" s="8" t="s">
        <v>161</v>
      </c>
      <c r="F674">
        <v>1</v>
      </c>
      <c r="G674">
        <v>2600</v>
      </c>
      <c r="H674">
        <v>0.15</v>
      </c>
      <c r="I674" s="8" t="s">
        <v>116</v>
      </c>
      <c r="J674" s="8" t="s">
        <v>47</v>
      </c>
      <c r="K674" s="8" t="s">
        <v>1698</v>
      </c>
      <c r="L674">
        <v>2210</v>
      </c>
      <c r="M674" s="8" t="s">
        <v>20</v>
      </c>
      <c r="N674">
        <v>2210</v>
      </c>
      <c r="O674" s="8" t="s">
        <v>1701</v>
      </c>
      <c r="P674" s="8" t="s">
        <v>1540</v>
      </c>
      <c r="Q674" s="8" t="s">
        <v>1541</v>
      </c>
      <c r="R674" s="8" t="s">
        <v>20</v>
      </c>
      <c r="S674" s="8" t="s">
        <v>1542</v>
      </c>
      <c r="T674" s="8" t="s">
        <v>1578</v>
      </c>
      <c r="U674" s="8" t="s">
        <v>1571</v>
      </c>
      <c r="V674">
        <v>2600</v>
      </c>
      <c r="W674">
        <v>1750</v>
      </c>
      <c r="X674">
        <v>0</v>
      </c>
      <c r="Y674">
        <v>-1750</v>
      </c>
    </row>
    <row r="675" spans="1:25" x14ac:dyDescent="0.3">
      <c r="A675" s="8" t="s">
        <v>1003</v>
      </c>
      <c r="B675" s="14">
        <v>46174</v>
      </c>
      <c r="C675" s="8" t="s">
        <v>227</v>
      </c>
      <c r="D675" s="8" t="s">
        <v>168</v>
      </c>
      <c r="E675" s="8" t="s">
        <v>30</v>
      </c>
      <c r="F675">
        <v>4</v>
      </c>
      <c r="G675">
        <v>1710</v>
      </c>
      <c r="H675">
        <v>0.05</v>
      </c>
      <c r="I675" s="8" t="s">
        <v>17</v>
      </c>
      <c r="J675" s="8" t="s">
        <v>18</v>
      </c>
      <c r="K675" s="8" t="s">
        <v>1698</v>
      </c>
      <c r="L675">
        <v>6498</v>
      </c>
      <c r="M675" s="8" t="s">
        <v>32</v>
      </c>
      <c r="N675">
        <v>6498</v>
      </c>
      <c r="O675" s="8" t="s">
        <v>1701</v>
      </c>
      <c r="P675" s="8" t="s">
        <v>1540</v>
      </c>
      <c r="Q675" s="8" t="s">
        <v>1541</v>
      </c>
      <c r="R675" s="8" t="s">
        <v>20</v>
      </c>
      <c r="S675" s="8" t="s">
        <v>1542</v>
      </c>
      <c r="T675" s="8" t="s">
        <v>1573</v>
      </c>
      <c r="U675" s="8" t="s">
        <v>1571</v>
      </c>
      <c r="V675">
        <v>1800</v>
      </c>
      <c r="W675">
        <v>1120</v>
      </c>
      <c r="X675">
        <v>6498</v>
      </c>
      <c r="Y675">
        <v>2018</v>
      </c>
    </row>
    <row r="676" spans="1:25" x14ac:dyDescent="0.3">
      <c r="A676" s="8" t="s">
        <v>1004</v>
      </c>
      <c r="B676" s="14">
        <v>46111</v>
      </c>
      <c r="C676" s="8" t="s">
        <v>781</v>
      </c>
      <c r="D676" s="8" t="s">
        <v>35</v>
      </c>
      <c r="E676" s="8" t="s">
        <v>161</v>
      </c>
      <c r="F676">
        <v>2</v>
      </c>
      <c r="G676">
        <v>2600</v>
      </c>
      <c r="H676">
        <v>0.2</v>
      </c>
      <c r="I676" s="8" t="s">
        <v>17</v>
      </c>
      <c r="J676" s="8" t="s">
        <v>31</v>
      </c>
      <c r="K676" s="8" t="s">
        <v>1698</v>
      </c>
      <c r="L676">
        <v>4160</v>
      </c>
      <c r="M676" s="8" t="s">
        <v>26</v>
      </c>
      <c r="N676">
        <v>4160</v>
      </c>
      <c r="O676" s="8" t="s">
        <v>1701</v>
      </c>
      <c r="P676" s="8" t="s">
        <v>1548</v>
      </c>
      <c r="Q676" s="8" t="s">
        <v>1549</v>
      </c>
      <c r="R676" s="8" t="s">
        <v>42</v>
      </c>
      <c r="S676" s="8" t="s">
        <v>1542</v>
      </c>
      <c r="T676" s="8" t="s">
        <v>1578</v>
      </c>
      <c r="U676" s="8" t="s">
        <v>1571</v>
      </c>
      <c r="V676">
        <v>2600</v>
      </c>
      <c r="W676">
        <v>1750</v>
      </c>
      <c r="X676">
        <v>4160</v>
      </c>
      <c r="Y676">
        <v>660</v>
      </c>
    </row>
    <row r="677" spans="1:25" x14ac:dyDescent="0.3">
      <c r="A677" s="8" t="s">
        <v>1005</v>
      </c>
      <c r="B677" s="14">
        <v>46052</v>
      </c>
      <c r="C677" s="8" t="s">
        <v>160</v>
      </c>
      <c r="D677" s="8" t="s">
        <v>35</v>
      </c>
      <c r="E677" s="8" t="s">
        <v>30</v>
      </c>
      <c r="F677">
        <v>1</v>
      </c>
      <c r="G677">
        <v>1890</v>
      </c>
      <c r="H677">
        <v>0.05</v>
      </c>
      <c r="I677" s="8" t="s">
        <v>17</v>
      </c>
      <c r="J677" s="8" t="s">
        <v>47</v>
      </c>
      <c r="K677" s="8" t="s">
        <v>1698</v>
      </c>
      <c r="L677">
        <v>1795.5</v>
      </c>
      <c r="M677" s="8" t="s">
        <v>56</v>
      </c>
      <c r="N677">
        <v>1795.5</v>
      </c>
      <c r="O677" s="8" t="s">
        <v>1701</v>
      </c>
      <c r="P677" s="8" t="s">
        <v>1548</v>
      </c>
      <c r="Q677" s="8" t="s">
        <v>1549</v>
      </c>
      <c r="R677" s="8" t="s">
        <v>42</v>
      </c>
      <c r="S677" s="8" t="s">
        <v>1542</v>
      </c>
      <c r="T677" s="8" t="s">
        <v>1573</v>
      </c>
      <c r="U677" s="8" t="s">
        <v>1571</v>
      </c>
      <c r="V677">
        <v>1800</v>
      </c>
      <c r="W677">
        <v>1120</v>
      </c>
      <c r="X677">
        <v>1795.5</v>
      </c>
      <c r="Y677">
        <v>675.5</v>
      </c>
    </row>
    <row r="678" spans="1:25" x14ac:dyDescent="0.3">
      <c r="A678" s="8" t="s">
        <v>1006</v>
      </c>
      <c r="B678" s="14">
        <v>46173</v>
      </c>
      <c r="C678" s="8" t="s">
        <v>409</v>
      </c>
      <c r="D678" s="8" t="s">
        <v>168</v>
      </c>
      <c r="E678" s="8" t="s">
        <v>36</v>
      </c>
      <c r="F678">
        <v>2</v>
      </c>
      <c r="G678">
        <v>1330</v>
      </c>
      <c r="H678">
        <v>0.1</v>
      </c>
      <c r="I678" s="8" t="s">
        <v>17</v>
      </c>
      <c r="J678" s="8" t="s">
        <v>31</v>
      </c>
      <c r="K678" s="8" t="s">
        <v>41</v>
      </c>
      <c r="L678">
        <v>2394</v>
      </c>
      <c r="M678" s="8" t="s">
        <v>138</v>
      </c>
      <c r="N678">
        <v>2394</v>
      </c>
      <c r="O678" s="8" t="s">
        <v>1701</v>
      </c>
      <c r="P678" s="8" t="s">
        <v>1540</v>
      </c>
      <c r="Q678" s="8" t="s">
        <v>1541</v>
      </c>
      <c r="R678" s="8" t="s">
        <v>20</v>
      </c>
      <c r="S678" s="8" t="s">
        <v>1542</v>
      </c>
      <c r="T678" s="8" t="s">
        <v>1577</v>
      </c>
      <c r="U678" s="8" t="s">
        <v>1571</v>
      </c>
      <c r="V678">
        <v>1400</v>
      </c>
      <c r="W678">
        <v>780</v>
      </c>
      <c r="X678">
        <v>2394</v>
      </c>
      <c r="Y678">
        <v>834</v>
      </c>
    </row>
    <row r="679" spans="1:25" x14ac:dyDescent="0.3">
      <c r="A679" s="8" t="s">
        <v>1007</v>
      </c>
      <c r="B679" s="14">
        <v>46150</v>
      </c>
      <c r="C679" s="8" t="s">
        <v>724</v>
      </c>
      <c r="D679" s="8" t="s">
        <v>152</v>
      </c>
      <c r="E679" s="8" t="s">
        <v>74</v>
      </c>
      <c r="F679">
        <v>2</v>
      </c>
      <c r="G679">
        <v>2520</v>
      </c>
      <c r="H679">
        <v>0.15</v>
      </c>
      <c r="I679" s="8" t="s">
        <v>17</v>
      </c>
      <c r="J679" s="8" t="s">
        <v>18</v>
      </c>
      <c r="K679" s="8" t="s">
        <v>1698</v>
      </c>
      <c r="L679">
        <v>4284</v>
      </c>
      <c r="M679" s="8" t="s">
        <v>82</v>
      </c>
      <c r="N679">
        <v>4284</v>
      </c>
      <c r="O679" s="8" t="s">
        <v>1701</v>
      </c>
      <c r="P679" s="8" t="s">
        <v>1553</v>
      </c>
      <c r="Q679" s="8" t="s">
        <v>1554</v>
      </c>
      <c r="R679" s="8" t="s">
        <v>59</v>
      </c>
      <c r="S679" s="8" t="s">
        <v>1542</v>
      </c>
      <c r="T679" s="8" t="s">
        <v>1584</v>
      </c>
      <c r="U679" s="8" t="s">
        <v>1583</v>
      </c>
      <c r="V679">
        <v>2400</v>
      </c>
      <c r="W679">
        <v>1480</v>
      </c>
      <c r="X679">
        <v>4284</v>
      </c>
      <c r="Y679">
        <v>1324</v>
      </c>
    </row>
    <row r="680" spans="1:25" x14ac:dyDescent="0.3">
      <c r="A680" s="8" t="s">
        <v>1008</v>
      </c>
      <c r="B680" s="14">
        <v>46077</v>
      </c>
      <c r="C680" s="8" t="s">
        <v>146</v>
      </c>
      <c r="D680" s="8" t="s">
        <v>45</v>
      </c>
      <c r="E680" s="8" t="s">
        <v>135</v>
      </c>
      <c r="F680">
        <v>1</v>
      </c>
      <c r="G680">
        <v>16800</v>
      </c>
      <c r="H680">
        <v>0.15</v>
      </c>
      <c r="I680" s="8" t="s">
        <v>17</v>
      </c>
      <c r="J680" s="8" t="s">
        <v>31</v>
      </c>
      <c r="K680" s="8" t="s">
        <v>25</v>
      </c>
      <c r="L680">
        <v>14280</v>
      </c>
      <c r="M680" s="8" t="s">
        <v>138</v>
      </c>
      <c r="N680">
        <v>14280</v>
      </c>
      <c r="O680" s="8" t="s">
        <v>1701</v>
      </c>
      <c r="P680" s="8" t="s">
        <v>1547</v>
      </c>
      <c r="Q680" s="8" t="s">
        <v>1541</v>
      </c>
      <c r="R680" s="8" t="s">
        <v>56</v>
      </c>
      <c r="S680" s="8" t="s">
        <v>1542</v>
      </c>
      <c r="T680" s="8" t="s">
        <v>1576</v>
      </c>
      <c r="U680" s="8" t="s">
        <v>1575</v>
      </c>
      <c r="V680">
        <v>16800</v>
      </c>
      <c r="W680">
        <v>12600</v>
      </c>
      <c r="X680">
        <v>14280</v>
      </c>
      <c r="Y680">
        <v>1680</v>
      </c>
    </row>
    <row r="681" spans="1:25" x14ac:dyDescent="0.3">
      <c r="A681" s="8" t="s">
        <v>1009</v>
      </c>
      <c r="B681" s="14">
        <v>46092</v>
      </c>
      <c r="C681" s="8" t="s">
        <v>430</v>
      </c>
      <c r="D681" s="8" t="s">
        <v>15</v>
      </c>
      <c r="E681" s="8" t="s">
        <v>183</v>
      </c>
      <c r="F681">
        <v>4</v>
      </c>
      <c r="G681">
        <v>3200</v>
      </c>
      <c r="H681">
        <v>0.1</v>
      </c>
      <c r="I681" s="8" t="s">
        <v>17</v>
      </c>
      <c r="J681" s="8" t="s">
        <v>47</v>
      </c>
      <c r="K681" s="8" t="s">
        <v>25</v>
      </c>
      <c r="L681">
        <v>11520</v>
      </c>
      <c r="M681" s="8" t="s">
        <v>26</v>
      </c>
      <c r="N681">
        <v>11520</v>
      </c>
      <c r="O681" s="8" t="s">
        <v>1701</v>
      </c>
      <c r="P681" s="8" t="s">
        <v>1543</v>
      </c>
      <c r="Q681" s="8" t="s">
        <v>1541</v>
      </c>
      <c r="R681" s="8" t="s">
        <v>52</v>
      </c>
      <c r="S681" s="8" t="s">
        <v>1542</v>
      </c>
      <c r="T681" s="8" t="s">
        <v>1582</v>
      </c>
      <c r="U681" s="8" t="s">
        <v>1583</v>
      </c>
      <c r="V681">
        <v>3200</v>
      </c>
      <c r="W681">
        <v>2050</v>
      </c>
      <c r="X681">
        <v>11520</v>
      </c>
      <c r="Y681">
        <v>3320</v>
      </c>
    </row>
    <row r="682" spans="1:25" x14ac:dyDescent="0.3">
      <c r="A682" s="8" t="s">
        <v>1010</v>
      </c>
      <c r="B682" s="14">
        <v>46133</v>
      </c>
      <c r="C682" s="8" t="s">
        <v>213</v>
      </c>
      <c r="D682" s="8" t="s">
        <v>95</v>
      </c>
      <c r="E682" s="8" t="s">
        <v>51</v>
      </c>
      <c r="F682">
        <v>2</v>
      </c>
      <c r="G682">
        <v>19425</v>
      </c>
      <c r="H682">
        <v>0.1</v>
      </c>
      <c r="I682" s="8" t="s">
        <v>17</v>
      </c>
      <c r="J682" s="8" t="s">
        <v>31</v>
      </c>
      <c r="K682" s="8" t="s">
        <v>25</v>
      </c>
      <c r="L682">
        <v>34965</v>
      </c>
      <c r="M682" s="8" t="s">
        <v>59</v>
      </c>
      <c r="N682">
        <v>34965</v>
      </c>
      <c r="O682" s="8" t="s">
        <v>1701</v>
      </c>
      <c r="P682" s="8" t="s">
        <v>1556</v>
      </c>
      <c r="Q682" s="8" t="s">
        <v>1554</v>
      </c>
      <c r="R682" s="8" t="s">
        <v>1557</v>
      </c>
      <c r="S682" s="8" t="s">
        <v>1542</v>
      </c>
      <c r="T682" s="8" t="s">
        <v>1581</v>
      </c>
      <c r="U682" s="8" t="s">
        <v>1580</v>
      </c>
      <c r="V682">
        <v>18500</v>
      </c>
      <c r="W682">
        <v>13900</v>
      </c>
      <c r="X682">
        <v>34965</v>
      </c>
      <c r="Y682">
        <v>7165</v>
      </c>
    </row>
    <row r="683" spans="1:25" x14ac:dyDescent="0.3">
      <c r="A683" s="8" t="s">
        <v>1011</v>
      </c>
      <c r="B683" s="14">
        <v>46170</v>
      </c>
      <c r="C683" s="8" t="s">
        <v>607</v>
      </c>
      <c r="D683" s="8" t="s">
        <v>62</v>
      </c>
      <c r="E683" s="8" t="s">
        <v>24</v>
      </c>
      <c r="F683">
        <v>3</v>
      </c>
      <c r="G683">
        <v>11200</v>
      </c>
      <c r="H683">
        <v>0.2</v>
      </c>
      <c r="I683" s="8" t="s">
        <v>80</v>
      </c>
      <c r="J683" s="8" t="s">
        <v>31</v>
      </c>
      <c r="K683" s="8" t="s">
        <v>25</v>
      </c>
      <c r="L683">
        <v>26880</v>
      </c>
      <c r="M683" s="8" t="s">
        <v>52</v>
      </c>
      <c r="N683">
        <v>26880</v>
      </c>
      <c r="O683" s="8" t="s">
        <v>1701</v>
      </c>
      <c r="P683" s="8" t="s">
        <v>1551</v>
      </c>
      <c r="Q683" s="8" t="s">
        <v>1549</v>
      </c>
      <c r="R683" s="8" t="s">
        <v>1552</v>
      </c>
      <c r="S683" s="8" t="s">
        <v>1542</v>
      </c>
      <c r="T683" s="8" t="s">
        <v>1574</v>
      </c>
      <c r="U683" s="8" t="s">
        <v>1575</v>
      </c>
      <c r="V683">
        <v>11200</v>
      </c>
      <c r="W683">
        <v>8300</v>
      </c>
      <c r="X683">
        <v>0</v>
      </c>
      <c r="Y683">
        <v>-24900</v>
      </c>
    </row>
    <row r="684" spans="1:25" x14ac:dyDescent="0.3">
      <c r="A684" s="8" t="s">
        <v>1012</v>
      </c>
      <c r="B684" s="14">
        <v>46116</v>
      </c>
      <c r="C684" s="8" t="s">
        <v>607</v>
      </c>
      <c r="D684" s="8" t="s">
        <v>62</v>
      </c>
      <c r="E684" s="8" t="s">
        <v>30</v>
      </c>
      <c r="F684">
        <v>1</v>
      </c>
      <c r="G684">
        <v>1800</v>
      </c>
      <c r="H684">
        <v>0.2</v>
      </c>
      <c r="I684" s="8" t="s">
        <v>17</v>
      </c>
      <c r="J684" s="8" t="s">
        <v>18</v>
      </c>
      <c r="K684" s="8" t="s">
        <v>67</v>
      </c>
      <c r="L684">
        <v>1440</v>
      </c>
      <c r="M684" s="8" t="s">
        <v>42</v>
      </c>
      <c r="N684">
        <v>1440</v>
      </c>
      <c r="O684" s="8" t="s">
        <v>1701</v>
      </c>
      <c r="P684" s="8" t="s">
        <v>1551</v>
      </c>
      <c r="Q684" s="8" t="s">
        <v>1549</v>
      </c>
      <c r="R684" s="8" t="s">
        <v>1552</v>
      </c>
      <c r="S684" s="8" t="s">
        <v>1542</v>
      </c>
      <c r="T684" s="8" t="s">
        <v>1573</v>
      </c>
      <c r="U684" s="8" t="s">
        <v>1571</v>
      </c>
      <c r="V684">
        <v>1800</v>
      </c>
      <c r="W684">
        <v>1120</v>
      </c>
      <c r="X684">
        <v>1440</v>
      </c>
      <c r="Y684">
        <v>320</v>
      </c>
    </row>
    <row r="685" spans="1:25" x14ac:dyDescent="0.3">
      <c r="A685" s="8" t="s">
        <v>1013</v>
      </c>
      <c r="B685" s="14">
        <v>46185</v>
      </c>
      <c r="C685" s="8" t="s">
        <v>264</v>
      </c>
      <c r="D685" s="8" t="s">
        <v>23</v>
      </c>
      <c r="E685" s="8" t="s">
        <v>161</v>
      </c>
      <c r="F685">
        <v>1</v>
      </c>
      <c r="G685">
        <v>2600</v>
      </c>
      <c r="H685">
        <v>0.05</v>
      </c>
      <c r="I685" s="8" t="s">
        <v>17</v>
      </c>
      <c r="J685" s="8" t="s">
        <v>18</v>
      </c>
      <c r="K685" s="8" t="s">
        <v>1698</v>
      </c>
      <c r="L685">
        <v>2470</v>
      </c>
      <c r="M685" s="8" t="s">
        <v>42</v>
      </c>
      <c r="N685">
        <v>2470</v>
      </c>
      <c r="O685" s="8" t="s">
        <v>1701</v>
      </c>
      <c r="P685" s="8" t="s">
        <v>1545</v>
      </c>
      <c r="Q685" s="8" t="s">
        <v>1541</v>
      </c>
      <c r="R685" s="8" t="s">
        <v>1546</v>
      </c>
      <c r="S685" s="8" t="s">
        <v>1542</v>
      </c>
      <c r="T685" s="8" t="s">
        <v>1578</v>
      </c>
      <c r="U685" s="8" t="s">
        <v>1571</v>
      </c>
      <c r="V685">
        <v>2600</v>
      </c>
      <c r="W685">
        <v>1750</v>
      </c>
      <c r="X685">
        <v>2470</v>
      </c>
      <c r="Y685">
        <v>720</v>
      </c>
    </row>
    <row r="686" spans="1:25" x14ac:dyDescent="0.3">
      <c r="A686" s="8" t="s">
        <v>1014</v>
      </c>
      <c r="B686" s="14">
        <v>46061</v>
      </c>
      <c r="C686" s="8" t="s">
        <v>61</v>
      </c>
      <c r="D686" s="8" t="s">
        <v>23</v>
      </c>
      <c r="E686" s="8" t="s">
        <v>16</v>
      </c>
      <c r="F686">
        <v>1</v>
      </c>
      <c r="G686">
        <v>682.5</v>
      </c>
      <c r="H686">
        <v>0.05</v>
      </c>
      <c r="I686" s="8" t="s">
        <v>17</v>
      </c>
      <c r="J686" s="8" t="s">
        <v>31</v>
      </c>
      <c r="K686" s="8" t="s">
        <v>41</v>
      </c>
      <c r="L686">
        <v>648.38</v>
      </c>
      <c r="M686" s="8" t="s">
        <v>1702</v>
      </c>
      <c r="N686">
        <v>648.375</v>
      </c>
      <c r="O686" s="8" t="s">
        <v>1701</v>
      </c>
      <c r="P686" s="8" t="s">
        <v>1545</v>
      </c>
      <c r="Q686" s="8" t="s">
        <v>1541</v>
      </c>
      <c r="R686" s="8" t="s">
        <v>1546</v>
      </c>
      <c r="S686" s="8" t="s">
        <v>1542</v>
      </c>
      <c r="T686" s="8" t="s">
        <v>1570</v>
      </c>
      <c r="U686" s="8" t="s">
        <v>1571</v>
      </c>
      <c r="V686">
        <v>650</v>
      </c>
      <c r="W686">
        <v>390</v>
      </c>
      <c r="X686">
        <v>648.375</v>
      </c>
      <c r="Y686">
        <v>258.375</v>
      </c>
    </row>
    <row r="687" spans="1:25" x14ac:dyDescent="0.3">
      <c r="A687" s="8" t="s">
        <v>1015</v>
      </c>
      <c r="B687" s="14">
        <v>46092</v>
      </c>
      <c r="C687" s="8" t="s">
        <v>519</v>
      </c>
      <c r="D687" s="8" t="s">
        <v>50</v>
      </c>
      <c r="E687" s="8" t="s">
        <v>16</v>
      </c>
      <c r="F687">
        <v>1</v>
      </c>
      <c r="G687">
        <v>650</v>
      </c>
      <c r="H687">
        <v>0.05</v>
      </c>
      <c r="I687" s="8" t="s">
        <v>17</v>
      </c>
      <c r="J687" s="8" t="s">
        <v>18</v>
      </c>
      <c r="K687" s="8" t="s">
        <v>1698</v>
      </c>
      <c r="L687">
        <v>617.5</v>
      </c>
      <c r="M687" s="8" t="s">
        <v>20</v>
      </c>
      <c r="N687">
        <v>617.5</v>
      </c>
      <c r="O687" s="8" t="s">
        <v>1701</v>
      </c>
      <c r="P687" s="8" t="s">
        <v>1544</v>
      </c>
      <c r="Q687" s="8" t="s">
        <v>1541</v>
      </c>
      <c r="R687" s="8" t="s">
        <v>26</v>
      </c>
      <c r="S687" s="8" t="s">
        <v>1542</v>
      </c>
      <c r="T687" s="8" t="s">
        <v>1570</v>
      </c>
      <c r="U687" s="8" t="s">
        <v>1571</v>
      </c>
      <c r="V687">
        <v>650</v>
      </c>
      <c r="W687">
        <v>390</v>
      </c>
      <c r="X687">
        <v>617.5</v>
      </c>
      <c r="Y687">
        <v>227.5</v>
      </c>
    </row>
    <row r="688" spans="1:25" x14ac:dyDescent="0.3">
      <c r="A688" s="8" t="s">
        <v>1016</v>
      </c>
      <c r="B688" s="14">
        <v>46044</v>
      </c>
      <c r="C688" s="8" t="s">
        <v>137</v>
      </c>
      <c r="D688" s="8" t="s">
        <v>35</v>
      </c>
      <c r="E688" s="8" t="s">
        <v>183</v>
      </c>
      <c r="F688">
        <v>1</v>
      </c>
      <c r="G688">
        <v>3360</v>
      </c>
      <c r="H688">
        <v>0</v>
      </c>
      <c r="I688" s="8" t="s">
        <v>80</v>
      </c>
      <c r="J688" s="8" t="s">
        <v>31</v>
      </c>
      <c r="K688" s="8" t="s">
        <v>55</v>
      </c>
      <c r="L688">
        <v>3360</v>
      </c>
      <c r="M688" s="8" t="s">
        <v>59</v>
      </c>
      <c r="N688">
        <v>3360</v>
      </c>
      <c r="O688" s="8" t="s">
        <v>1701</v>
      </c>
      <c r="P688" s="8" t="s">
        <v>1548</v>
      </c>
      <c r="Q688" s="8" t="s">
        <v>1549</v>
      </c>
      <c r="R688" s="8" t="s">
        <v>42</v>
      </c>
      <c r="S688" s="8" t="s">
        <v>1542</v>
      </c>
      <c r="T688" s="8" t="s">
        <v>1582</v>
      </c>
      <c r="U688" s="8" t="s">
        <v>1583</v>
      </c>
      <c r="V688">
        <v>3200</v>
      </c>
      <c r="W688">
        <v>2050</v>
      </c>
      <c r="X688">
        <v>0</v>
      </c>
      <c r="Y688">
        <v>-2050</v>
      </c>
    </row>
    <row r="689" spans="1:25" x14ac:dyDescent="0.3">
      <c r="A689" s="8" t="s">
        <v>1017</v>
      </c>
      <c r="B689" s="14">
        <v>46083</v>
      </c>
      <c r="C689" s="8" t="s">
        <v>353</v>
      </c>
      <c r="D689" s="8" t="s">
        <v>15</v>
      </c>
      <c r="E689" s="8" t="s">
        <v>183</v>
      </c>
      <c r="F689">
        <v>4</v>
      </c>
      <c r="G689">
        <v>3200</v>
      </c>
      <c r="H689">
        <v>0</v>
      </c>
      <c r="I689" s="8" t="s">
        <v>17</v>
      </c>
      <c r="J689" s="8" t="s">
        <v>31</v>
      </c>
      <c r="K689" s="8" t="s">
        <v>41</v>
      </c>
      <c r="L689">
        <v>12800</v>
      </c>
      <c r="M689" s="8" t="s">
        <v>48</v>
      </c>
      <c r="N689">
        <v>12800</v>
      </c>
      <c r="O689" s="8" t="s">
        <v>1701</v>
      </c>
      <c r="P689" s="8" t="s">
        <v>1543</v>
      </c>
      <c r="Q689" s="8" t="s">
        <v>1541</v>
      </c>
      <c r="R689" s="8" t="s">
        <v>52</v>
      </c>
      <c r="S689" s="8" t="s">
        <v>1542</v>
      </c>
      <c r="T689" s="8" t="s">
        <v>1582</v>
      </c>
      <c r="U689" s="8" t="s">
        <v>1583</v>
      </c>
      <c r="V689">
        <v>3200</v>
      </c>
      <c r="W689">
        <v>2050</v>
      </c>
      <c r="X689">
        <v>12800</v>
      </c>
      <c r="Y689">
        <v>4600</v>
      </c>
    </row>
    <row r="690" spans="1:25" x14ac:dyDescent="0.3">
      <c r="A690" s="8" t="s">
        <v>1018</v>
      </c>
      <c r="B690" s="14">
        <v>46054</v>
      </c>
      <c r="C690" s="8" t="s">
        <v>61</v>
      </c>
      <c r="D690" s="8" t="s">
        <v>29</v>
      </c>
      <c r="E690" s="8" t="s">
        <v>36</v>
      </c>
      <c r="F690">
        <v>2</v>
      </c>
      <c r="G690">
        <v>1400</v>
      </c>
      <c r="H690">
        <v>0.15</v>
      </c>
      <c r="I690" s="8" t="s">
        <v>17</v>
      </c>
      <c r="J690" s="8" t="s">
        <v>71</v>
      </c>
      <c r="K690" s="8" t="s">
        <v>41</v>
      </c>
      <c r="L690">
        <v>2380</v>
      </c>
      <c r="M690" s="8" t="s">
        <v>42</v>
      </c>
      <c r="N690">
        <v>2380</v>
      </c>
      <c r="O690" s="8" t="s">
        <v>1701</v>
      </c>
      <c r="P690" s="8" t="s">
        <v>1560</v>
      </c>
      <c r="Q690" s="8" t="s">
        <v>1559</v>
      </c>
      <c r="R690" s="8" t="s">
        <v>1561</v>
      </c>
      <c r="S690" s="8" t="s">
        <v>1542</v>
      </c>
      <c r="T690" s="8" t="s">
        <v>1577</v>
      </c>
      <c r="U690" s="8" t="s">
        <v>1571</v>
      </c>
      <c r="V690">
        <v>1400</v>
      </c>
      <c r="W690">
        <v>780</v>
      </c>
      <c r="X690">
        <v>2380</v>
      </c>
      <c r="Y690">
        <v>820</v>
      </c>
    </row>
    <row r="691" spans="1:25" x14ac:dyDescent="0.3">
      <c r="A691" s="8" t="s">
        <v>1019</v>
      </c>
      <c r="B691" s="14">
        <v>46067</v>
      </c>
      <c r="C691" s="8" t="s">
        <v>684</v>
      </c>
      <c r="D691" s="8" t="s">
        <v>23</v>
      </c>
      <c r="E691" s="8" t="s">
        <v>135</v>
      </c>
      <c r="F691">
        <v>2</v>
      </c>
      <c r="G691">
        <v>15960</v>
      </c>
      <c r="H691">
        <v>0.05</v>
      </c>
      <c r="I691" s="8" t="s">
        <v>80</v>
      </c>
      <c r="J691" s="8" t="s">
        <v>47</v>
      </c>
      <c r="K691" s="8" t="s">
        <v>1698</v>
      </c>
      <c r="L691">
        <v>30324</v>
      </c>
      <c r="M691" s="8" t="s">
        <v>138</v>
      </c>
      <c r="N691">
        <v>30324</v>
      </c>
      <c r="O691" s="8" t="s">
        <v>1701</v>
      </c>
      <c r="P691" s="8" t="s">
        <v>1545</v>
      </c>
      <c r="Q691" s="8" t="s">
        <v>1541</v>
      </c>
      <c r="R691" s="8" t="s">
        <v>1546</v>
      </c>
      <c r="S691" s="8" t="s">
        <v>1542</v>
      </c>
      <c r="T691" s="8" t="s">
        <v>1576</v>
      </c>
      <c r="U691" s="8" t="s">
        <v>1575</v>
      </c>
      <c r="V691">
        <v>16800</v>
      </c>
      <c r="W691">
        <v>12600</v>
      </c>
      <c r="X691">
        <v>0</v>
      </c>
      <c r="Y691">
        <v>-25200</v>
      </c>
    </row>
    <row r="692" spans="1:25" x14ac:dyDescent="0.3">
      <c r="A692" s="8" t="s">
        <v>1020</v>
      </c>
      <c r="B692" s="14">
        <v>46162</v>
      </c>
      <c r="C692" s="8" t="s">
        <v>361</v>
      </c>
      <c r="D692" s="8" t="s">
        <v>70</v>
      </c>
      <c r="E692" s="8" t="s">
        <v>46</v>
      </c>
      <c r="F692">
        <v>3</v>
      </c>
      <c r="G692">
        <v>7800</v>
      </c>
      <c r="H692">
        <v>0.05</v>
      </c>
      <c r="I692" s="8" t="s">
        <v>66</v>
      </c>
      <c r="J692" s="8" t="s">
        <v>18</v>
      </c>
      <c r="K692" s="8" t="s">
        <v>67</v>
      </c>
      <c r="L692">
        <v>22230</v>
      </c>
      <c r="M692" s="8" t="s">
        <v>26</v>
      </c>
      <c r="N692">
        <v>22230</v>
      </c>
      <c r="O692" s="8" t="s">
        <v>1701</v>
      </c>
      <c r="P692" s="8" t="s">
        <v>1550</v>
      </c>
      <c r="Q692" s="8" t="s">
        <v>1549</v>
      </c>
      <c r="R692" s="8" t="s">
        <v>32</v>
      </c>
      <c r="S692" s="8" t="s">
        <v>1542</v>
      </c>
      <c r="T692" s="8" t="s">
        <v>1579</v>
      </c>
      <c r="U692" s="8" t="s">
        <v>1580</v>
      </c>
      <c r="V692">
        <v>7800</v>
      </c>
      <c r="W692">
        <v>5200</v>
      </c>
      <c r="X692">
        <v>0</v>
      </c>
      <c r="Y692">
        <v>-15600</v>
      </c>
    </row>
    <row r="693" spans="1:25" x14ac:dyDescent="0.3">
      <c r="A693" s="8" t="s">
        <v>1021</v>
      </c>
      <c r="B693" s="14">
        <v>46028</v>
      </c>
      <c r="C693" s="8" t="s">
        <v>156</v>
      </c>
      <c r="D693" s="8" t="s">
        <v>95</v>
      </c>
      <c r="E693" s="8" t="s">
        <v>183</v>
      </c>
      <c r="F693">
        <v>1</v>
      </c>
      <c r="G693">
        <v>3040</v>
      </c>
      <c r="H693">
        <v>0.2</v>
      </c>
      <c r="I693" s="8" t="s">
        <v>17</v>
      </c>
      <c r="J693" s="8" t="s">
        <v>47</v>
      </c>
      <c r="K693" s="8" t="s">
        <v>25</v>
      </c>
      <c r="L693">
        <v>2432</v>
      </c>
      <c r="M693" s="8" t="s">
        <v>32</v>
      </c>
      <c r="N693">
        <v>2432</v>
      </c>
      <c r="O693" s="8" t="s">
        <v>1701</v>
      </c>
      <c r="P693" s="8" t="s">
        <v>1556</v>
      </c>
      <c r="Q693" s="8" t="s">
        <v>1554</v>
      </c>
      <c r="R693" s="8" t="s">
        <v>1557</v>
      </c>
      <c r="S693" s="8" t="s">
        <v>1542</v>
      </c>
      <c r="T693" s="8" t="s">
        <v>1582</v>
      </c>
      <c r="U693" s="8" t="s">
        <v>1583</v>
      </c>
      <c r="V693">
        <v>3200</v>
      </c>
      <c r="W693">
        <v>2050</v>
      </c>
      <c r="X693">
        <v>2432</v>
      </c>
      <c r="Y693">
        <v>382</v>
      </c>
    </row>
    <row r="694" spans="1:25" x14ac:dyDescent="0.3">
      <c r="A694" s="8" t="s">
        <v>1022</v>
      </c>
      <c r="B694" s="14">
        <v>46102</v>
      </c>
      <c r="C694" s="8" t="s">
        <v>97</v>
      </c>
      <c r="D694" s="8" t="s">
        <v>95</v>
      </c>
      <c r="E694" s="8" t="s">
        <v>85</v>
      </c>
      <c r="F694">
        <v>2</v>
      </c>
      <c r="G694">
        <v>48500</v>
      </c>
      <c r="H694">
        <v>0.2</v>
      </c>
      <c r="I694" s="8" t="s">
        <v>17</v>
      </c>
      <c r="J694" s="8" t="s">
        <v>18</v>
      </c>
      <c r="K694" s="8" t="s">
        <v>1698</v>
      </c>
      <c r="L694">
        <v>77600</v>
      </c>
      <c r="M694" s="8" t="s">
        <v>32</v>
      </c>
      <c r="N694">
        <v>77600</v>
      </c>
      <c r="O694" s="8" t="s">
        <v>1701</v>
      </c>
      <c r="P694" s="8" t="s">
        <v>1556</v>
      </c>
      <c r="Q694" s="8" t="s">
        <v>1554</v>
      </c>
      <c r="R694" s="8" t="s">
        <v>1557</v>
      </c>
      <c r="S694" s="8" t="s">
        <v>1542</v>
      </c>
      <c r="T694" s="8" t="s">
        <v>1585</v>
      </c>
      <c r="U694" s="8" t="s">
        <v>1586</v>
      </c>
      <c r="V694">
        <v>48500</v>
      </c>
      <c r="W694">
        <v>41200</v>
      </c>
      <c r="X694">
        <v>77600</v>
      </c>
      <c r="Y694">
        <v>-4800</v>
      </c>
    </row>
    <row r="695" spans="1:25" x14ac:dyDescent="0.3">
      <c r="A695" s="8" t="s">
        <v>1023</v>
      </c>
      <c r="B695" s="14">
        <v>46088</v>
      </c>
      <c r="C695" s="8" t="s">
        <v>696</v>
      </c>
      <c r="D695" s="8" t="s">
        <v>45</v>
      </c>
      <c r="E695" s="8" t="s">
        <v>63</v>
      </c>
      <c r="F695">
        <v>8</v>
      </c>
      <c r="G695">
        <v>2200</v>
      </c>
      <c r="H695">
        <v>0</v>
      </c>
      <c r="I695" s="8" t="s">
        <v>17</v>
      </c>
      <c r="J695" s="8" t="s">
        <v>47</v>
      </c>
      <c r="K695" s="8" t="s">
        <v>55</v>
      </c>
      <c r="L695">
        <v>17600</v>
      </c>
      <c r="M695" s="8" t="s">
        <v>20</v>
      </c>
      <c r="N695">
        <v>17600</v>
      </c>
      <c r="O695" s="8" t="s">
        <v>1701</v>
      </c>
      <c r="P695" s="8" t="s">
        <v>1547</v>
      </c>
      <c r="Q695" s="8" t="s">
        <v>1541</v>
      </c>
      <c r="R695" s="8" t="s">
        <v>56</v>
      </c>
      <c r="S695" s="8" t="s">
        <v>1542</v>
      </c>
      <c r="T695" s="8" t="s">
        <v>1572</v>
      </c>
      <c r="U695" s="8" t="s">
        <v>1571</v>
      </c>
      <c r="V695">
        <v>2200</v>
      </c>
      <c r="W695">
        <v>1450</v>
      </c>
      <c r="X695">
        <v>17600</v>
      </c>
      <c r="Y695">
        <v>6000</v>
      </c>
    </row>
    <row r="696" spans="1:25" x14ac:dyDescent="0.3">
      <c r="A696" s="8" t="s">
        <v>1024</v>
      </c>
      <c r="B696" s="14">
        <v>46093</v>
      </c>
      <c r="C696" s="8" t="s">
        <v>346</v>
      </c>
      <c r="D696" s="8" t="s">
        <v>90</v>
      </c>
      <c r="E696" s="8" t="s">
        <v>63</v>
      </c>
      <c r="F696">
        <v>4</v>
      </c>
      <c r="G696">
        <v>2310</v>
      </c>
      <c r="H696">
        <v>0.1</v>
      </c>
      <c r="I696" s="8" t="s">
        <v>17</v>
      </c>
      <c r="J696" s="8" t="s">
        <v>18</v>
      </c>
      <c r="K696" s="8" t="s">
        <v>1698</v>
      </c>
      <c r="L696">
        <v>8316</v>
      </c>
      <c r="M696" s="8" t="s">
        <v>59</v>
      </c>
      <c r="N696">
        <v>8316</v>
      </c>
      <c r="O696" s="8" t="s">
        <v>1701</v>
      </c>
      <c r="P696" s="8" t="s">
        <v>1562</v>
      </c>
      <c r="Q696" s="8" t="s">
        <v>1563</v>
      </c>
      <c r="R696" s="8" t="s">
        <v>48</v>
      </c>
      <c r="S696" s="8" t="s">
        <v>1542</v>
      </c>
      <c r="T696" s="8" t="s">
        <v>1572</v>
      </c>
      <c r="U696" s="8" t="s">
        <v>1571</v>
      </c>
      <c r="V696">
        <v>2200</v>
      </c>
      <c r="W696">
        <v>1450</v>
      </c>
      <c r="X696">
        <v>8316</v>
      </c>
      <c r="Y696">
        <v>2516</v>
      </c>
    </row>
    <row r="697" spans="1:25" x14ac:dyDescent="0.3">
      <c r="A697" s="8" t="s">
        <v>1025</v>
      </c>
      <c r="B697" s="14">
        <v>46201</v>
      </c>
      <c r="C697" s="8" t="s">
        <v>266</v>
      </c>
      <c r="D697" s="8" t="s">
        <v>45</v>
      </c>
      <c r="E697" s="8" t="s">
        <v>51</v>
      </c>
      <c r="F697">
        <v>1</v>
      </c>
      <c r="G697">
        <v>18500</v>
      </c>
      <c r="H697">
        <v>0.1</v>
      </c>
      <c r="I697" s="8" t="s">
        <v>17</v>
      </c>
      <c r="J697" s="8" t="s">
        <v>31</v>
      </c>
      <c r="K697" s="8" t="s">
        <v>1698</v>
      </c>
      <c r="L697">
        <v>16650</v>
      </c>
      <c r="M697" s="8" t="s">
        <v>59</v>
      </c>
      <c r="N697">
        <v>16650</v>
      </c>
      <c r="O697" s="8" t="s">
        <v>1701</v>
      </c>
      <c r="P697" s="8" t="s">
        <v>1547</v>
      </c>
      <c r="Q697" s="8" t="s">
        <v>1541</v>
      </c>
      <c r="R697" s="8" t="s">
        <v>56</v>
      </c>
      <c r="S697" s="8" t="s">
        <v>1542</v>
      </c>
      <c r="T697" s="8" t="s">
        <v>1581</v>
      </c>
      <c r="U697" s="8" t="s">
        <v>1580</v>
      </c>
      <c r="V697">
        <v>18500</v>
      </c>
      <c r="W697">
        <v>13900</v>
      </c>
      <c r="X697">
        <v>16650</v>
      </c>
      <c r="Y697">
        <v>2750</v>
      </c>
    </row>
    <row r="698" spans="1:25" x14ac:dyDescent="0.3">
      <c r="A698" s="8" t="s">
        <v>1026</v>
      </c>
      <c r="B698" s="14">
        <v>46184</v>
      </c>
      <c r="C698" s="8" t="s">
        <v>281</v>
      </c>
      <c r="D698" s="8" t="s">
        <v>62</v>
      </c>
      <c r="E698" s="8" t="s">
        <v>74</v>
      </c>
      <c r="F698">
        <v>1</v>
      </c>
      <c r="G698">
        <v>2400</v>
      </c>
      <c r="H698">
        <v>0.1</v>
      </c>
      <c r="I698" s="8" t="s">
        <v>17</v>
      </c>
      <c r="J698" s="8" t="s">
        <v>31</v>
      </c>
      <c r="K698" s="8" t="s">
        <v>1698</v>
      </c>
      <c r="L698">
        <v>2160</v>
      </c>
      <c r="M698" s="8" t="s">
        <v>59</v>
      </c>
      <c r="N698">
        <v>2160</v>
      </c>
      <c r="O698" s="8" t="s">
        <v>1701</v>
      </c>
      <c r="P698" s="8" t="s">
        <v>1551</v>
      </c>
      <c r="Q698" s="8" t="s">
        <v>1549</v>
      </c>
      <c r="R698" s="8" t="s">
        <v>1552</v>
      </c>
      <c r="S698" s="8" t="s">
        <v>1542</v>
      </c>
      <c r="T698" s="8" t="s">
        <v>1584</v>
      </c>
      <c r="U698" s="8" t="s">
        <v>1583</v>
      </c>
      <c r="V698">
        <v>2400</v>
      </c>
      <c r="W698">
        <v>1480</v>
      </c>
      <c r="X698">
        <v>2160</v>
      </c>
      <c r="Y698">
        <v>680</v>
      </c>
    </row>
    <row r="699" spans="1:25" x14ac:dyDescent="0.3">
      <c r="A699" s="8" t="s">
        <v>1027</v>
      </c>
      <c r="B699" s="14">
        <v>46086</v>
      </c>
      <c r="C699" s="8" t="s">
        <v>1028</v>
      </c>
      <c r="D699" s="8" t="s">
        <v>152</v>
      </c>
      <c r="E699" s="8" t="s">
        <v>85</v>
      </c>
      <c r="F699">
        <v>8</v>
      </c>
      <c r="G699">
        <v>50925</v>
      </c>
      <c r="H699">
        <v>0.2</v>
      </c>
      <c r="I699" s="8" t="s">
        <v>17</v>
      </c>
      <c r="J699" s="8" t="s">
        <v>18</v>
      </c>
      <c r="K699" s="8" t="s">
        <v>55</v>
      </c>
      <c r="L699">
        <v>325920</v>
      </c>
      <c r="M699" s="8" t="s">
        <v>59</v>
      </c>
      <c r="N699">
        <v>325920</v>
      </c>
      <c r="O699" s="8" t="s">
        <v>1701</v>
      </c>
      <c r="P699" s="8" t="s">
        <v>1553</v>
      </c>
      <c r="Q699" s="8" t="s">
        <v>1554</v>
      </c>
      <c r="R699" s="8" t="s">
        <v>59</v>
      </c>
      <c r="S699" s="8" t="s">
        <v>1542</v>
      </c>
      <c r="T699" s="8" t="s">
        <v>1585</v>
      </c>
      <c r="U699" s="8" t="s">
        <v>1586</v>
      </c>
      <c r="V699">
        <v>48500</v>
      </c>
      <c r="W699">
        <v>41200</v>
      </c>
      <c r="X699">
        <v>325920</v>
      </c>
      <c r="Y699">
        <v>-3680</v>
      </c>
    </row>
    <row r="700" spans="1:25" x14ac:dyDescent="0.3">
      <c r="A700" s="8" t="s">
        <v>1029</v>
      </c>
      <c r="B700" s="14">
        <v>46089</v>
      </c>
      <c r="C700" s="8" t="s">
        <v>480</v>
      </c>
      <c r="D700" s="8" t="s">
        <v>50</v>
      </c>
      <c r="E700" s="8" t="s">
        <v>74</v>
      </c>
      <c r="F700">
        <v>3</v>
      </c>
      <c r="G700">
        <v>2400</v>
      </c>
      <c r="H700">
        <v>0.05</v>
      </c>
      <c r="I700" s="8" t="s">
        <v>17</v>
      </c>
      <c r="J700" s="8" t="s">
        <v>18</v>
      </c>
      <c r="K700" s="8" t="s">
        <v>67</v>
      </c>
      <c r="L700">
        <v>6840</v>
      </c>
      <c r="M700" s="8" t="s">
        <v>59</v>
      </c>
      <c r="N700">
        <v>6840</v>
      </c>
      <c r="O700" s="8" t="s">
        <v>1701</v>
      </c>
      <c r="P700" s="8" t="s">
        <v>1544</v>
      </c>
      <c r="Q700" s="8" t="s">
        <v>1541</v>
      </c>
      <c r="R700" s="8" t="s">
        <v>26</v>
      </c>
      <c r="S700" s="8" t="s">
        <v>1542</v>
      </c>
      <c r="T700" s="8" t="s">
        <v>1584</v>
      </c>
      <c r="U700" s="8" t="s">
        <v>1583</v>
      </c>
      <c r="V700">
        <v>2400</v>
      </c>
      <c r="W700">
        <v>1480</v>
      </c>
      <c r="X700">
        <v>6840</v>
      </c>
      <c r="Y700">
        <v>2400</v>
      </c>
    </row>
    <row r="701" spans="1:25" x14ac:dyDescent="0.3">
      <c r="A701" s="8" t="s">
        <v>1030</v>
      </c>
      <c r="B701" s="14">
        <v>46123</v>
      </c>
      <c r="C701" s="8" t="s">
        <v>211</v>
      </c>
      <c r="D701" s="8" t="s">
        <v>77</v>
      </c>
      <c r="E701" s="8" t="s">
        <v>161</v>
      </c>
      <c r="F701">
        <v>8</v>
      </c>
      <c r="G701">
        <v>2470</v>
      </c>
      <c r="H701">
        <v>0.15</v>
      </c>
      <c r="I701" s="8" t="s">
        <v>17</v>
      </c>
      <c r="J701" s="8" t="s">
        <v>31</v>
      </c>
      <c r="K701" s="8" t="s">
        <v>55</v>
      </c>
      <c r="L701">
        <v>16796</v>
      </c>
      <c r="M701" s="8" t="s">
        <v>52</v>
      </c>
      <c r="N701">
        <v>16796</v>
      </c>
      <c r="O701" s="8" t="s">
        <v>1701</v>
      </c>
      <c r="P701" s="8" t="s">
        <v>1564</v>
      </c>
      <c r="Q701" s="8" t="s">
        <v>1563</v>
      </c>
      <c r="R701" s="8" t="s">
        <v>1565</v>
      </c>
      <c r="S701" s="8" t="s">
        <v>1542</v>
      </c>
      <c r="T701" s="8" t="s">
        <v>1578</v>
      </c>
      <c r="U701" s="8" t="s">
        <v>1571</v>
      </c>
      <c r="V701">
        <v>2600</v>
      </c>
      <c r="W701">
        <v>1750</v>
      </c>
      <c r="X701">
        <v>16796</v>
      </c>
      <c r="Y701">
        <v>2796</v>
      </c>
    </row>
    <row r="702" spans="1:25" x14ac:dyDescent="0.3">
      <c r="A702" s="8" t="s">
        <v>1031</v>
      </c>
      <c r="B702" s="14">
        <v>46090</v>
      </c>
      <c r="C702" s="8" t="s">
        <v>709</v>
      </c>
      <c r="D702" s="8" t="s">
        <v>123</v>
      </c>
      <c r="E702" s="8" t="s">
        <v>30</v>
      </c>
      <c r="G702">
        <v>1800</v>
      </c>
      <c r="H702">
        <v>0.15</v>
      </c>
      <c r="I702" s="8" t="s">
        <v>17</v>
      </c>
      <c r="J702" s="8" t="s">
        <v>31</v>
      </c>
      <c r="K702" s="8" t="s">
        <v>67</v>
      </c>
      <c r="L702">
        <v>1530</v>
      </c>
      <c r="M702" s="8" t="s">
        <v>59</v>
      </c>
      <c r="O702" s="8" t="s">
        <v>1703</v>
      </c>
      <c r="P702" s="8" t="s">
        <v>1558</v>
      </c>
      <c r="Q702" s="8" t="s">
        <v>1559</v>
      </c>
      <c r="R702" s="8" t="s">
        <v>138</v>
      </c>
      <c r="S702" s="8" t="s">
        <v>1542</v>
      </c>
      <c r="T702" s="8" t="s">
        <v>1573</v>
      </c>
      <c r="U702" s="8" t="s">
        <v>1571</v>
      </c>
      <c r="V702">
        <v>1800</v>
      </c>
      <c r="W702">
        <v>1120</v>
      </c>
      <c r="X702">
        <v>0</v>
      </c>
      <c r="Y702">
        <v>0</v>
      </c>
    </row>
    <row r="703" spans="1:25" x14ac:dyDescent="0.3">
      <c r="A703" s="8" t="s">
        <v>1032</v>
      </c>
      <c r="B703" s="14">
        <v>46168</v>
      </c>
      <c r="C703" s="8" t="s">
        <v>232</v>
      </c>
      <c r="D703" s="8" t="s">
        <v>15</v>
      </c>
      <c r="E703" s="8" t="s">
        <v>16</v>
      </c>
      <c r="F703">
        <v>3</v>
      </c>
      <c r="G703">
        <v>682.5</v>
      </c>
      <c r="H703">
        <v>0.1</v>
      </c>
      <c r="I703" s="8" t="s">
        <v>17</v>
      </c>
      <c r="J703" s="8" t="s">
        <v>31</v>
      </c>
      <c r="K703" s="8" t="s">
        <v>41</v>
      </c>
      <c r="L703">
        <v>1842.75</v>
      </c>
      <c r="M703" s="8" t="s">
        <v>52</v>
      </c>
      <c r="N703">
        <v>1842.75</v>
      </c>
      <c r="O703" s="8" t="s">
        <v>1701</v>
      </c>
      <c r="P703" s="8" t="s">
        <v>1543</v>
      </c>
      <c r="Q703" s="8" t="s">
        <v>1541</v>
      </c>
      <c r="R703" s="8" t="s">
        <v>52</v>
      </c>
      <c r="S703" s="8" t="s">
        <v>1542</v>
      </c>
      <c r="T703" s="8" t="s">
        <v>1570</v>
      </c>
      <c r="U703" s="8" t="s">
        <v>1571</v>
      </c>
      <c r="V703">
        <v>650</v>
      </c>
      <c r="W703">
        <v>390</v>
      </c>
      <c r="X703">
        <v>1842.75</v>
      </c>
      <c r="Y703">
        <v>672.75</v>
      </c>
    </row>
    <row r="704" spans="1:25" x14ac:dyDescent="0.3">
      <c r="A704" s="8" t="s">
        <v>1033</v>
      </c>
      <c r="B704" s="14">
        <v>46071</v>
      </c>
      <c r="C704" s="8" t="s">
        <v>623</v>
      </c>
      <c r="D704" s="8" t="s">
        <v>90</v>
      </c>
      <c r="E704" s="8" t="s">
        <v>135</v>
      </c>
      <c r="F704">
        <v>1</v>
      </c>
      <c r="G704">
        <v>17640</v>
      </c>
      <c r="H704">
        <v>0.1</v>
      </c>
      <c r="I704" s="8" t="s">
        <v>17</v>
      </c>
      <c r="J704" s="8" t="s">
        <v>47</v>
      </c>
      <c r="K704" s="8" t="s">
        <v>67</v>
      </c>
      <c r="L704">
        <v>15876</v>
      </c>
      <c r="M704" s="8" t="s">
        <v>52</v>
      </c>
      <c r="N704">
        <v>15876</v>
      </c>
      <c r="O704" s="8" t="s">
        <v>1701</v>
      </c>
      <c r="P704" s="8" t="s">
        <v>1562</v>
      </c>
      <c r="Q704" s="8" t="s">
        <v>1563</v>
      </c>
      <c r="R704" s="8" t="s">
        <v>48</v>
      </c>
      <c r="S704" s="8" t="s">
        <v>1542</v>
      </c>
      <c r="T704" s="8" t="s">
        <v>1576</v>
      </c>
      <c r="U704" s="8" t="s">
        <v>1575</v>
      </c>
      <c r="V704">
        <v>16800</v>
      </c>
      <c r="W704">
        <v>12600</v>
      </c>
      <c r="X704">
        <v>15876</v>
      </c>
      <c r="Y704">
        <v>3276</v>
      </c>
    </row>
    <row r="705" spans="1:25" x14ac:dyDescent="0.3">
      <c r="A705" s="8" t="s">
        <v>1034</v>
      </c>
      <c r="B705" s="14">
        <v>46130</v>
      </c>
      <c r="C705" s="8" t="s">
        <v>264</v>
      </c>
      <c r="D705" s="8" t="s">
        <v>50</v>
      </c>
      <c r="E705" s="8" t="s">
        <v>161</v>
      </c>
      <c r="F705">
        <v>4</v>
      </c>
      <c r="G705">
        <v>2600</v>
      </c>
      <c r="H705">
        <v>0</v>
      </c>
      <c r="I705" s="8" t="s">
        <v>66</v>
      </c>
      <c r="J705" s="8" t="s">
        <v>18</v>
      </c>
      <c r="K705" s="8" t="s">
        <v>41</v>
      </c>
      <c r="L705">
        <v>10400</v>
      </c>
      <c r="M705" s="8" t="s">
        <v>138</v>
      </c>
      <c r="N705">
        <v>10400</v>
      </c>
      <c r="O705" s="8" t="s">
        <v>1701</v>
      </c>
      <c r="P705" s="8" t="s">
        <v>1544</v>
      </c>
      <c r="Q705" s="8" t="s">
        <v>1541</v>
      </c>
      <c r="R705" s="8" t="s">
        <v>26</v>
      </c>
      <c r="S705" s="8" t="s">
        <v>1542</v>
      </c>
      <c r="T705" s="8" t="s">
        <v>1578</v>
      </c>
      <c r="U705" s="8" t="s">
        <v>1571</v>
      </c>
      <c r="V705">
        <v>2600</v>
      </c>
      <c r="W705">
        <v>1750</v>
      </c>
      <c r="X705">
        <v>0</v>
      </c>
      <c r="Y705">
        <v>-7000</v>
      </c>
    </row>
    <row r="706" spans="1:25" x14ac:dyDescent="0.3">
      <c r="A706" s="8" t="s">
        <v>1035</v>
      </c>
      <c r="B706" s="14">
        <v>46172</v>
      </c>
      <c r="C706" s="8" t="s">
        <v>300</v>
      </c>
      <c r="D706" s="8" t="s">
        <v>95</v>
      </c>
      <c r="E706" s="8" t="s">
        <v>74</v>
      </c>
      <c r="F706">
        <v>2</v>
      </c>
      <c r="G706">
        <v>2400</v>
      </c>
      <c r="H706">
        <v>0</v>
      </c>
      <c r="I706" s="8" t="s">
        <v>17</v>
      </c>
      <c r="J706" s="8" t="s">
        <v>71</v>
      </c>
      <c r="K706" s="8" t="s">
        <v>55</v>
      </c>
      <c r="L706">
        <v>4800</v>
      </c>
      <c r="M706" s="8" t="s">
        <v>32</v>
      </c>
      <c r="N706">
        <v>4800</v>
      </c>
      <c r="O706" s="8" t="s">
        <v>1701</v>
      </c>
      <c r="P706" s="8" t="s">
        <v>1556</v>
      </c>
      <c r="Q706" s="8" t="s">
        <v>1554</v>
      </c>
      <c r="R706" s="8" t="s">
        <v>1557</v>
      </c>
      <c r="S706" s="8" t="s">
        <v>1542</v>
      </c>
      <c r="T706" s="8" t="s">
        <v>1584</v>
      </c>
      <c r="U706" s="8" t="s">
        <v>1583</v>
      </c>
      <c r="V706">
        <v>2400</v>
      </c>
      <c r="W706">
        <v>1480</v>
      </c>
      <c r="X706">
        <v>4800</v>
      </c>
      <c r="Y706">
        <v>1840</v>
      </c>
    </row>
    <row r="707" spans="1:25" x14ac:dyDescent="0.3">
      <c r="A707" s="8" t="s">
        <v>1036</v>
      </c>
      <c r="B707" s="14">
        <v>46175</v>
      </c>
      <c r="C707" s="8" t="s">
        <v>436</v>
      </c>
      <c r="D707" s="8" t="s">
        <v>45</v>
      </c>
      <c r="E707" s="8" t="s">
        <v>63</v>
      </c>
      <c r="F707">
        <v>1</v>
      </c>
      <c r="G707">
        <v>2200</v>
      </c>
      <c r="H707">
        <v>0</v>
      </c>
      <c r="I707" s="8" t="s">
        <v>17</v>
      </c>
      <c r="J707" s="8" t="s">
        <v>47</v>
      </c>
      <c r="K707" s="8" t="s">
        <v>25</v>
      </c>
      <c r="L707">
        <v>2200</v>
      </c>
      <c r="M707" s="8" t="s">
        <v>48</v>
      </c>
      <c r="N707">
        <v>2200</v>
      </c>
      <c r="O707" s="8" t="s">
        <v>1701</v>
      </c>
      <c r="P707" s="8" t="s">
        <v>1547</v>
      </c>
      <c r="Q707" s="8" t="s">
        <v>1541</v>
      </c>
      <c r="R707" s="8" t="s">
        <v>56</v>
      </c>
      <c r="S707" s="8" t="s">
        <v>1542</v>
      </c>
      <c r="T707" s="8" t="s">
        <v>1572</v>
      </c>
      <c r="U707" s="8" t="s">
        <v>1571</v>
      </c>
      <c r="V707">
        <v>2200</v>
      </c>
      <c r="W707">
        <v>1450</v>
      </c>
      <c r="X707">
        <v>2200</v>
      </c>
      <c r="Y707">
        <v>750</v>
      </c>
    </row>
    <row r="708" spans="1:25" x14ac:dyDescent="0.3">
      <c r="A708" s="8" t="s">
        <v>1037</v>
      </c>
      <c r="B708" s="14">
        <v>46034</v>
      </c>
      <c r="C708" s="8" t="s">
        <v>291</v>
      </c>
      <c r="D708" s="8" t="s">
        <v>168</v>
      </c>
      <c r="E708" s="8" t="s">
        <v>135</v>
      </c>
      <c r="F708">
        <v>2</v>
      </c>
      <c r="G708">
        <v>17640</v>
      </c>
      <c r="H708">
        <v>0.1</v>
      </c>
      <c r="I708" s="8" t="s">
        <v>17</v>
      </c>
      <c r="J708" s="8" t="s">
        <v>71</v>
      </c>
      <c r="K708" s="8" t="s">
        <v>25</v>
      </c>
      <c r="L708">
        <v>31752</v>
      </c>
      <c r="M708" s="8" t="s">
        <v>20</v>
      </c>
      <c r="N708">
        <v>31752</v>
      </c>
      <c r="O708" s="8" t="s">
        <v>1701</v>
      </c>
      <c r="P708" s="8" t="s">
        <v>1540</v>
      </c>
      <c r="Q708" s="8" t="s">
        <v>1541</v>
      </c>
      <c r="R708" s="8" t="s">
        <v>20</v>
      </c>
      <c r="S708" s="8" t="s">
        <v>1542</v>
      </c>
      <c r="T708" s="8" t="s">
        <v>1576</v>
      </c>
      <c r="U708" s="8" t="s">
        <v>1575</v>
      </c>
      <c r="V708">
        <v>16800</v>
      </c>
      <c r="W708">
        <v>12600</v>
      </c>
      <c r="X708">
        <v>31752</v>
      </c>
      <c r="Y708">
        <v>6552</v>
      </c>
    </row>
    <row r="709" spans="1:25" x14ac:dyDescent="0.3">
      <c r="A709" s="8" t="s">
        <v>1038</v>
      </c>
      <c r="B709" s="14">
        <v>46171</v>
      </c>
      <c r="C709" s="8" t="s">
        <v>326</v>
      </c>
      <c r="D709" s="8" t="s">
        <v>50</v>
      </c>
      <c r="E709" s="8" t="s">
        <v>135</v>
      </c>
      <c r="F709">
        <v>1</v>
      </c>
      <c r="G709">
        <v>17640</v>
      </c>
      <c r="H709">
        <v>0.1</v>
      </c>
      <c r="I709" s="8" t="s">
        <v>80</v>
      </c>
      <c r="J709" s="8" t="s">
        <v>31</v>
      </c>
      <c r="K709" s="8" t="s">
        <v>67</v>
      </c>
      <c r="L709">
        <v>15876</v>
      </c>
      <c r="M709" s="8" t="s">
        <v>82</v>
      </c>
      <c r="N709">
        <v>15876</v>
      </c>
      <c r="O709" s="8" t="s">
        <v>1701</v>
      </c>
      <c r="P709" s="8" t="s">
        <v>1544</v>
      </c>
      <c r="Q709" s="8" t="s">
        <v>1541</v>
      </c>
      <c r="R709" s="8" t="s">
        <v>26</v>
      </c>
      <c r="S709" s="8" t="s">
        <v>1542</v>
      </c>
      <c r="T709" s="8" t="s">
        <v>1576</v>
      </c>
      <c r="U709" s="8" t="s">
        <v>1575</v>
      </c>
      <c r="V709">
        <v>16800</v>
      </c>
      <c r="W709">
        <v>12600</v>
      </c>
      <c r="X709">
        <v>0</v>
      </c>
      <c r="Y709">
        <v>-12600</v>
      </c>
    </row>
    <row r="710" spans="1:25" x14ac:dyDescent="0.3">
      <c r="A710" s="8" t="s">
        <v>1039</v>
      </c>
      <c r="B710" s="14">
        <v>46133</v>
      </c>
      <c r="C710" s="8" t="s">
        <v>559</v>
      </c>
      <c r="D710" s="8" t="s">
        <v>50</v>
      </c>
      <c r="E710" s="8" t="s">
        <v>135</v>
      </c>
      <c r="F710">
        <v>1</v>
      </c>
      <c r="G710">
        <v>17640</v>
      </c>
      <c r="H710">
        <v>0</v>
      </c>
      <c r="I710" s="8" t="s">
        <v>116</v>
      </c>
      <c r="J710" s="8" t="s">
        <v>47</v>
      </c>
      <c r="K710" s="8" t="s">
        <v>55</v>
      </c>
      <c r="L710">
        <v>17640</v>
      </c>
      <c r="M710" s="8" t="s">
        <v>26</v>
      </c>
      <c r="N710">
        <v>17640</v>
      </c>
      <c r="O710" s="8" t="s">
        <v>1701</v>
      </c>
      <c r="P710" s="8" t="s">
        <v>1544</v>
      </c>
      <c r="Q710" s="8" t="s">
        <v>1541</v>
      </c>
      <c r="R710" s="8" t="s">
        <v>26</v>
      </c>
      <c r="S710" s="8" t="s">
        <v>1542</v>
      </c>
      <c r="T710" s="8" t="s">
        <v>1576</v>
      </c>
      <c r="U710" s="8" t="s">
        <v>1575</v>
      </c>
      <c r="V710">
        <v>16800</v>
      </c>
      <c r="W710">
        <v>12600</v>
      </c>
      <c r="X710">
        <v>0</v>
      </c>
      <c r="Y710">
        <v>-12600</v>
      </c>
    </row>
    <row r="711" spans="1:25" x14ac:dyDescent="0.3">
      <c r="A711" s="8" t="s">
        <v>1040</v>
      </c>
      <c r="B711" s="14">
        <v>46090</v>
      </c>
      <c r="C711" s="8" t="s">
        <v>684</v>
      </c>
      <c r="D711" s="8" t="s">
        <v>40</v>
      </c>
      <c r="E711" s="8" t="s">
        <v>135</v>
      </c>
      <c r="F711">
        <v>2</v>
      </c>
      <c r="G711">
        <v>16800</v>
      </c>
      <c r="H711">
        <v>0.1</v>
      </c>
      <c r="I711" s="8" t="s">
        <v>66</v>
      </c>
      <c r="J711" s="8" t="s">
        <v>71</v>
      </c>
      <c r="K711" s="8" t="s">
        <v>25</v>
      </c>
      <c r="L711">
        <v>30240</v>
      </c>
      <c r="M711" s="8" t="s">
        <v>56</v>
      </c>
      <c r="N711">
        <v>30240</v>
      </c>
      <c r="O711" s="8" t="s">
        <v>1701</v>
      </c>
      <c r="P711" s="8" t="s">
        <v>1555</v>
      </c>
      <c r="Q711" s="8" t="s">
        <v>1554</v>
      </c>
      <c r="R711" s="8" t="s">
        <v>82</v>
      </c>
      <c r="S711" s="8" t="s">
        <v>1542</v>
      </c>
      <c r="T711" s="8" t="s">
        <v>1576</v>
      </c>
      <c r="U711" s="8" t="s">
        <v>1575</v>
      </c>
      <c r="V711">
        <v>16800</v>
      </c>
      <c r="W711">
        <v>12600</v>
      </c>
      <c r="X711">
        <v>0</v>
      </c>
      <c r="Y711">
        <v>-25200</v>
      </c>
    </row>
    <row r="712" spans="1:25" x14ac:dyDescent="0.3">
      <c r="A712" s="8" t="s">
        <v>1041</v>
      </c>
      <c r="B712" s="14">
        <v>46036</v>
      </c>
      <c r="C712" s="8" t="s">
        <v>848</v>
      </c>
      <c r="D712" s="8" t="s">
        <v>23</v>
      </c>
      <c r="E712" s="8" t="s">
        <v>30</v>
      </c>
      <c r="F712">
        <v>1</v>
      </c>
      <c r="G712">
        <v>1800</v>
      </c>
      <c r="H712">
        <v>0</v>
      </c>
      <c r="I712" s="8" t="s">
        <v>17</v>
      </c>
      <c r="J712" s="8" t="s">
        <v>18</v>
      </c>
      <c r="K712" s="8" t="s">
        <v>55</v>
      </c>
      <c r="L712">
        <v>1800</v>
      </c>
      <c r="M712" s="8" t="s">
        <v>42</v>
      </c>
      <c r="N712">
        <v>1800</v>
      </c>
      <c r="O712" s="8" t="s">
        <v>1701</v>
      </c>
      <c r="P712" s="8" t="s">
        <v>1545</v>
      </c>
      <c r="Q712" s="8" t="s">
        <v>1541</v>
      </c>
      <c r="R712" s="8" t="s">
        <v>1546</v>
      </c>
      <c r="S712" s="8" t="s">
        <v>1542</v>
      </c>
      <c r="T712" s="8" t="s">
        <v>1573</v>
      </c>
      <c r="U712" s="8" t="s">
        <v>1571</v>
      </c>
      <c r="V712">
        <v>1800</v>
      </c>
      <c r="W712">
        <v>1120</v>
      </c>
      <c r="X712">
        <v>1800</v>
      </c>
      <c r="Y712">
        <v>680</v>
      </c>
    </row>
    <row r="713" spans="1:25" x14ac:dyDescent="0.3">
      <c r="A713" s="8" t="s">
        <v>1042</v>
      </c>
      <c r="B713" s="14">
        <v>46149</v>
      </c>
      <c r="C713" s="8" t="s">
        <v>851</v>
      </c>
      <c r="D713" s="8" t="s">
        <v>168</v>
      </c>
      <c r="E713" s="8" t="s">
        <v>46</v>
      </c>
      <c r="F713">
        <v>2</v>
      </c>
      <c r="G713">
        <v>8190</v>
      </c>
      <c r="H713">
        <v>0.2</v>
      </c>
      <c r="I713" s="8" t="s">
        <v>17</v>
      </c>
      <c r="J713" s="8" t="s">
        <v>31</v>
      </c>
      <c r="K713" s="8" t="s">
        <v>41</v>
      </c>
      <c r="L713">
        <v>13104</v>
      </c>
      <c r="M713" s="8" t="s">
        <v>42</v>
      </c>
      <c r="N713">
        <v>13104</v>
      </c>
      <c r="O713" s="8" t="s">
        <v>1701</v>
      </c>
      <c r="P713" s="8" t="s">
        <v>1540</v>
      </c>
      <c r="Q713" s="8" t="s">
        <v>1541</v>
      </c>
      <c r="R713" s="8" t="s">
        <v>20</v>
      </c>
      <c r="S713" s="8" t="s">
        <v>1542</v>
      </c>
      <c r="T713" s="8" t="s">
        <v>1579</v>
      </c>
      <c r="U713" s="8" t="s">
        <v>1580</v>
      </c>
      <c r="V713">
        <v>7800</v>
      </c>
      <c r="W713">
        <v>5200</v>
      </c>
      <c r="X713">
        <v>13104</v>
      </c>
      <c r="Y713">
        <v>2704</v>
      </c>
    </row>
    <row r="714" spans="1:25" x14ac:dyDescent="0.3">
      <c r="A714" s="8" t="s">
        <v>1043</v>
      </c>
      <c r="B714" s="14">
        <v>46112</v>
      </c>
      <c r="C714" s="8" t="s">
        <v>54</v>
      </c>
      <c r="D714" s="8" t="s">
        <v>15</v>
      </c>
      <c r="E714" s="8" t="s">
        <v>24</v>
      </c>
      <c r="F714">
        <v>5</v>
      </c>
      <c r="G714">
        <v>11200</v>
      </c>
      <c r="H714">
        <v>0</v>
      </c>
      <c r="I714" s="8" t="s">
        <v>66</v>
      </c>
      <c r="J714" s="8" t="s">
        <v>31</v>
      </c>
      <c r="K714" s="8" t="s">
        <v>25</v>
      </c>
      <c r="L714">
        <v>56000</v>
      </c>
      <c r="M714" s="8" t="s">
        <v>48</v>
      </c>
      <c r="N714">
        <v>56000</v>
      </c>
      <c r="O714" s="8" t="s">
        <v>1701</v>
      </c>
      <c r="P714" s="8" t="s">
        <v>1543</v>
      </c>
      <c r="Q714" s="8" t="s">
        <v>1541</v>
      </c>
      <c r="R714" s="8" t="s">
        <v>52</v>
      </c>
      <c r="S714" s="8" t="s">
        <v>1542</v>
      </c>
      <c r="T714" s="8" t="s">
        <v>1574</v>
      </c>
      <c r="U714" s="8" t="s">
        <v>1575</v>
      </c>
      <c r="V714">
        <v>11200</v>
      </c>
      <c r="W714">
        <v>8300</v>
      </c>
      <c r="X714">
        <v>0</v>
      </c>
      <c r="Y714">
        <v>-41500</v>
      </c>
    </row>
    <row r="715" spans="1:25" x14ac:dyDescent="0.3">
      <c r="A715" s="8" t="s">
        <v>1044</v>
      </c>
      <c r="B715" s="14">
        <v>46069</v>
      </c>
      <c r="C715" s="8" t="s">
        <v>175</v>
      </c>
      <c r="D715" s="8" t="s">
        <v>70</v>
      </c>
      <c r="E715" s="8" t="s">
        <v>63</v>
      </c>
      <c r="F715">
        <v>1</v>
      </c>
      <c r="G715">
        <v>2200</v>
      </c>
      <c r="H715">
        <v>0.1</v>
      </c>
      <c r="I715" s="8" t="s">
        <v>17</v>
      </c>
      <c r="J715" s="8" t="s">
        <v>47</v>
      </c>
      <c r="K715" s="8" t="s">
        <v>1698</v>
      </c>
      <c r="L715">
        <v>1980</v>
      </c>
      <c r="M715" s="8" t="s">
        <v>32</v>
      </c>
      <c r="N715">
        <v>1980</v>
      </c>
      <c r="O715" s="8" t="s">
        <v>1701</v>
      </c>
      <c r="P715" s="8" t="s">
        <v>1550</v>
      </c>
      <c r="Q715" s="8" t="s">
        <v>1549</v>
      </c>
      <c r="R715" s="8" t="s">
        <v>32</v>
      </c>
      <c r="S715" s="8" t="s">
        <v>1542</v>
      </c>
      <c r="T715" s="8" t="s">
        <v>1572</v>
      </c>
      <c r="U715" s="8" t="s">
        <v>1571</v>
      </c>
      <c r="V715">
        <v>2200</v>
      </c>
      <c r="W715">
        <v>1450</v>
      </c>
      <c r="X715">
        <v>1980</v>
      </c>
      <c r="Y715">
        <v>530</v>
      </c>
    </row>
    <row r="716" spans="1:25" x14ac:dyDescent="0.3">
      <c r="A716" s="8" t="s">
        <v>1045</v>
      </c>
      <c r="B716" s="14">
        <v>46118</v>
      </c>
      <c r="C716" s="8" t="s">
        <v>457</v>
      </c>
      <c r="D716" s="8" t="s">
        <v>40</v>
      </c>
      <c r="E716" s="8" t="s">
        <v>63</v>
      </c>
      <c r="F716">
        <v>4</v>
      </c>
      <c r="G716">
        <v>2310</v>
      </c>
      <c r="H716">
        <v>0</v>
      </c>
      <c r="I716" s="8" t="s">
        <v>17</v>
      </c>
      <c r="J716" s="8" t="s">
        <v>18</v>
      </c>
      <c r="K716" s="8" t="s">
        <v>67</v>
      </c>
      <c r="L716">
        <v>9240</v>
      </c>
      <c r="M716" s="8" t="s">
        <v>48</v>
      </c>
      <c r="N716">
        <v>9240</v>
      </c>
      <c r="O716" s="8" t="s">
        <v>1701</v>
      </c>
      <c r="P716" s="8" t="s">
        <v>1555</v>
      </c>
      <c r="Q716" s="8" t="s">
        <v>1554</v>
      </c>
      <c r="R716" s="8" t="s">
        <v>82</v>
      </c>
      <c r="S716" s="8" t="s">
        <v>1542</v>
      </c>
      <c r="T716" s="8" t="s">
        <v>1572</v>
      </c>
      <c r="U716" s="8" t="s">
        <v>1571</v>
      </c>
      <c r="V716">
        <v>2200</v>
      </c>
      <c r="W716">
        <v>1450</v>
      </c>
      <c r="X716">
        <v>9240</v>
      </c>
      <c r="Y716">
        <v>3440</v>
      </c>
    </row>
    <row r="717" spans="1:25" x14ac:dyDescent="0.3">
      <c r="A717" s="8" t="s">
        <v>1046</v>
      </c>
      <c r="B717" s="14">
        <v>46191</v>
      </c>
      <c r="C717" s="8" t="s">
        <v>405</v>
      </c>
      <c r="D717" s="8" t="s">
        <v>168</v>
      </c>
      <c r="E717" s="8" t="s">
        <v>36</v>
      </c>
      <c r="F717">
        <v>8</v>
      </c>
      <c r="G717">
        <v>1470</v>
      </c>
      <c r="H717">
        <v>0.2</v>
      </c>
      <c r="I717" s="8" t="s">
        <v>17</v>
      </c>
      <c r="J717" s="8" t="s">
        <v>71</v>
      </c>
      <c r="K717" s="8" t="s">
        <v>41</v>
      </c>
      <c r="L717">
        <v>9408</v>
      </c>
      <c r="M717" s="8" t="s">
        <v>20</v>
      </c>
      <c r="N717">
        <v>9408</v>
      </c>
      <c r="O717" s="8" t="s">
        <v>1701</v>
      </c>
      <c r="P717" s="8" t="s">
        <v>1540</v>
      </c>
      <c r="Q717" s="8" t="s">
        <v>1541</v>
      </c>
      <c r="R717" s="8" t="s">
        <v>20</v>
      </c>
      <c r="S717" s="8" t="s">
        <v>1542</v>
      </c>
      <c r="T717" s="8" t="s">
        <v>1577</v>
      </c>
      <c r="U717" s="8" t="s">
        <v>1571</v>
      </c>
      <c r="V717">
        <v>1400</v>
      </c>
      <c r="W717">
        <v>780</v>
      </c>
      <c r="X717">
        <v>9408</v>
      </c>
      <c r="Y717">
        <v>3168</v>
      </c>
    </row>
    <row r="718" spans="1:25" x14ac:dyDescent="0.3">
      <c r="A718" s="8" t="s">
        <v>1047</v>
      </c>
      <c r="B718" s="14">
        <v>46187</v>
      </c>
      <c r="C718" s="8" t="s">
        <v>146</v>
      </c>
      <c r="D718" s="8" t="s">
        <v>45</v>
      </c>
      <c r="E718" s="8" t="s">
        <v>36</v>
      </c>
      <c r="F718">
        <v>4</v>
      </c>
      <c r="G718">
        <v>1470</v>
      </c>
      <c r="H718">
        <v>0.2</v>
      </c>
      <c r="I718" s="8" t="s">
        <v>17</v>
      </c>
      <c r="J718" s="8" t="s">
        <v>18</v>
      </c>
      <c r="K718" s="8" t="s">
        <v>67</v>
      </c>
      <c r="L718">
        <v>4704</v>
      </c>
      <c r="M718" s="8" t="s">
        <v>59</v>
      </c>
      <c r="N718">
        <v>4704</v>
      </c>
      <c r="O718" s="8" t="s">
        <v>1701</v>
      </c>
      <c r="P718" s="8" t="s">
        <v>1547</v>
      </c>
      <c r="Q718" s="8" t="s">
        <v>1541</v>
      </c>
      <c r="R718" s="8" t="s">
        <v>56</v>
      </c>
      <c r="S718" s="8" t="s">
        <v>1542</v>
      </c>
      <c r="T718" s="8" t="s">
        <v>1577</v>
      </c>
      <c r="U718" s="8" t="s">
        <v>1571</v>
      </c>
      <c r="V718">
        <v>1400</v>
      </c>
      <c r="W718">
        <v>780</v>
      </c>
      <c r="X718">
        <v>4704</v>
      </c>
      <c r="Y718">
        <v>1584</v>
      </c>
    </row>
    <row r="719" spans="1:25" x14ac:dyDescent="0.3">
      <c r="A719" s="8" t="s">
        <v>1048</v>
      </c>
      <c r="B719" s="14">
        <v>46084</v>
      </c>
      <c r="C719" s="8" t="s">
        <v>321</v>
      </c>
      <c r="D719" s="8" t="s">
        <v>29</v>
      </c>
      <c r="E719" s="8" t="s">
        <v>161</v>
      </c>
      <c r="F719">
        <v>1</v>
      </c>
      <c r="G719">
        <v>2730</v>
      </c>
      <c r="H719">
        <v>0</v>
      </c>
      <c r="I719" s="8" t="s">
        <v>17</v>
      </c>
      <c r="J719" s="8" t="s">
        <v>71</v>
      </c>
      <c r="K719" s="8" t="s">
        <v>1698</v>
      </c>
      <c r="L719">
        <v>2730</v>
      </c>
      <c r="M719" s="8" t="s">
        <v>26</v>
      </c>
      <c r="N719">
        <v>2730</v>
      </c>
      <c r="O719" s="8" t="s">
        <v>1701</v>
      </c>
      <c r="P719" s="8" t="s">
        <v>1560</v>
      </c>
      <c r="Q719" s="8" t="s">
        <v>1559</v>
      </c>
      <c r="R719" s="8" t="s">
        <v>1561</v>
      </c>
      <c r="S719" s="8" t="s">
        <v>1542</v>
      </c>
      <c r="T719" s="8" t="s">
        <v>1578</v>
      </c>
      <c r="U719" s="8" t="s">
        <v>1571</v>
      </c>
      <c r="V719">
        <v>2600</v>
      </c>
      <c r="W719">
        <v>1750</v>
      </c>
      <c r="X719">
        <v>2730</v>
      </c>
      <c r="Y719">
        <v>980</v>
      </c>
    </row>
    <row r="720" spans="1:25" x14ac:dyDescent="0.3">
      <c r="A720" s="8" t="s">
        <v>1049</v>
      </c>
      <c r="B720" s="14">
        <v>46148</v>
      </c>
      <c r="C720" s="8" t="s">
        <v>528</v>
      </c>
      <c r="D720" s="8" t="s">
        <v>29</v>
      </c>
      <c r="E720" s="8" t="s">
        <v>161</v>
      </c>
      <c r="F720">
        <v>4</v>
      </c>
      <c r="G720">
        <v>2600</v>
      </c>
      <c r="H720">
        <v>0.05</v>
      </c>
      <c r="I720" s="8" t="s">
        <v>80</v>
      </c>
      <c r="J720" s="8" t="s">
        <v>31</v>
      </c>
      <c r="K720" s="8" t="s">
        <v>67</v>
      </c>
      <c r="L720">
        <v>9880</v>
      </c>
      <c r="M720" s="8" t="s">
        <v>82</v>
      </c>
      <c r="N720">
        <v>9880</v>
      </c>
      <c r="O720" s="8" t="s">
        <v>1701</v>
      </c>
      <c r="P720" s="8" t="s">
        <v>1560</v>
      </c>
      <c r="Q720" s="8" t="s">
        <v>1559</v>
      </c>
      <c r="R720" s="8" t="s">
        <v>1561</v>
      </c>
      <c r="S720" s="8" t="s">
        <v>1542</v>
      </c>
      <c r="T720" s="8" t="s">
        <v>1578</v>
      </c>
      <c r="U720" s="8" t="s">
        <v>1571</v>
      </c>
      <c r="V720">
        <v>2600</v>
      </c>
      <c r="W720">
        <v>1750</v>
      </c>
      <c r="X720">
        <v>0</v>
      </c>
      <c r="Y720">
        <v>-7000</v>
      </c>
    </row>
    <row r="721" spans="1:25" x14ac:dyDescent="0.3">
      <c r="A721" s="8" t="s">
        <v>1050</v>
      </c>
      <c r="B721" s="14">
        <v>46074</v>
      </c>
      <c r="C721" s="8" t="s">
        <v>843</v>
      </c>
      <c r="D721" s="8" t="s">
        <v>62</v>
      </c>
      <c r="E721" s="8" t="s">
        <v>46</v>
      </c>
      <c r="F721">
        <v>5</v>
      </c>
      <c r="G721">
        <v>8190</v>
      </c>
      <c r="H721">
        <v>0.1</v>
      </c>
      <c r="I721" s="8" t="s">
        <v>17</v>
      </c>
      <c r="J721" s="8" t="s">
        <v>18</v>
      </c>
      <c r="K721" s="8" t="s">
        <v>67</v>
      </c>
      <c r="L721">
        <v>36855</v>
      </c>
      <c r="M721" s="8" t="s">
        <v>48</v>
      </c>
      <c r="N721">
        <v>36855</v>
      </c>
      <c r="O721" s="8" t="s">
        <v>1701</v>
      </c>
      <c r="P721" s="8" t="s">
        <v>1551</v>
      </c>
      <c r="Q721" s="8" t="s">
        <v>1549</v>
      </c>
      <c r="R721" s="8" t="s">
        <v>1552</v>
      </c>
      <c r="S721" s="8" t="s">
        <v>1542</v>
      </c>
      <c r="T721" s="8" t="s">
        <v>1579</v>
      </c>
      <c r="U721" s="8" t="s">
        <v>1580</v>
      </c>
      <c r="V721">
        <v>7800</v>
      </c>
      <c r="W721">
        <v>5200</v>
      </c>
      <c r="X721">
        <v>36855</v>
      </c>
      <c r="Y721">
        <v>10855</v>
      </c>
    </row>
    <row r="722" spans="1:25" x14ac:dyDescent="0.3">
      <c r="A722" s="8" t="s">
        <v>1051</v>
      </c>
      <c r="B722" s="14">
        <v>46070</v>
      </c>
      <c r="C722" s="8" t="s">
        <v>338</v>
      </c>
      <c r="D722" s="8" t="s">
        <v>70</v>
      </c>
      <c r="E722" s="8" t="s">
        <v>74</v>
      </c>
      <c r="F722">
        <v>2</v>
      </c>
      <c r="G722">
        <v>2520</v>
      </c>
      <c r="H722">
        <v>0</v>
      </c>
      <c r="I722" s="8" t="s">
        <v>17</v>
      </c>
      <c r="J722" s="8" t="s">
        <v>71</v>
      </c>
      <c r="K722" s="8" t="s">
        <v>55</v>
      </c>
      <c r="L722">
        <v>5040</v>
      </c>
      <c r="M722" s="8" t="s">
        <v>82</v>
      </c>
      <c r="N722">
        <v>5040</v>
      </c>
      <c r="O722" s="8" t="s">
        <v>1701</v>
      </c>
      <c r="P722" s="8" t="s">
        <v>1550</v>
      </c>
      <c r="Q722" s="8" t="s">
        <v>1549</v>
      </c>
      <c r="R722" s="8" t="s">
        <v>32</v>
      </c>
      <c r="S722" s="8" t="s">
        <v>1542</v>
      </c>
      <c r="T722" s="8" t="s">
        <v>1584</v>
      </c>
      <c r="U722" s="8" t="s">
        <v>1583</v>
      </c>
      <c r="V722">
        <v>2400</v>
      </c>
      <c r="W722">
        <v>1480</v>
      </c>
      <c r="X722">
        <v>5040</v>
      </c>
      <c r="Y722">
        <v>2080</v>
      </c>
    </row>
    <row r="723" spans="1:25" x14ac:dyDescent="0.3">
      <c r="A723" s="8" t="s">
        <v>1052</v>
      </c>
      <c r="B723" s="14">
        <v>46184</v>
      </c>
      <c r="C723" s="8" t="s">
        <v>115</v>
      </c>
      <c r="D723" s="8" t="s">
        <v>95</v>
      </c>
      <c r="E723" s="8" t="s">
        <v>51</v>
      </c>
      <c r="F723">
        <v>1</v>
      </c>
      <c r="G723">
        <v>19425</v>
      </c>
      <c r="H723">
        <v>0.1</v>
      </c>
      <c r="I723" s="8" t="s">
        <v>17</v>
      </c>
      <c r="J723" s="8" t="s">
        <v>71</v>
      </c>
      <c r="K723" s="8" t="s">
        <v>41</v>
      </c>
      <c r="L723">
        <v>17482.5</v>
      </c>
      <c r="M723" s="8" t="s">
        <v>26</v>
      </c>
      <c r="N723">
        <v>17482.5</v>
      </c>
      <c r="O723" s="8" t="s">
        <v>1701</v>
      </c>
      <c r="P723" s="8" t="s">
        <v>1556</v>
      </c>
      <c r="Q723" s="8" t="s">
        <v>1554</v>
      </c>
      <c r="R723" s="8" t="s">
        <v>1557</v>
      </c>
      <c r="S723" s="8" t="s">
        <v>1542</v>
      </c>
      <c r="T723" s="8" t="s">
        <v>1581</v>
      </c>
      <c r="U723" s="8" t="s">
        <v>1580</v>
      </c>
      <c r="V723">
        <v>18500</v>
      </c>
      <c r="W723">
        <v>13900</v>
      </c>
      <c r="X723">
        <v>17482.5</v>
      </c>
      <c r="Y723">
        <v>3582.5</v>
      </c>
    </row>
    <row r="724" spans="1:25" x14ac:dyDescent="0.3">
      <c r="A724" s="8" t="s">
        <v>1053</v>
      </c>
      <c r="B724" s="14">
        <v>46086</v>
      </c>
      <c r="C724" s="8" t="s">
        <v>94</v>
      </c>
      <c r="D724" s="8" t="s">
        <v>152</v>
      </c>
      <c r="E724" s="8" t="s">
        <v>161</v>
      </c>
      <c r="F724">
        <v>1</v>
      </c>
      <c r="G724">
        <v>2470</v>
      </c>
      <c r="H724">
        <v>0</v>
      </c>
      <c r="I724" s="8" t="s">
        <v>17</v>
      </c>
      <c r="J724" s="8" t="s">
        <v>18</v>
      </c>
      <c r="K724" s="8" t="s">
        <v>55</v>
      </c>
      <c r="L724">
        <v>2470</v>
      </c>
      <c r="M724" s="8" t="s">
        <v>42</v>
      </c>
      <c r="N724">
        <v>2470</v>
      </c>
      <c r="O724" s="8" t="s">
        <v>1701</v>
      </c>
      <c r="P724" s="8" t="s">
        <v>1553</v>
      </c>
      <c r="Q724" s="8" t="s">
        <v>1554</v>
      </c>
      <c r="R724" s="8" t="s">
        <v>59</v>
      </c>
      <c r="S724" s="8" t="s">
        <v>1542</v>
      </c>
      <c r="T724" s="8" t="s">
        <v>1578</v>
      </c>
      <c r="U724" s="8" t="s">
        <v>1571</v>
      </c>
      <c r="V724">
        <v>2600</v>
      </c>
      <c r="W724">
        <v>1750</v>
      </c>
      <c r="X724">
        <v>2470</v>
      </c>
      <c r="Y724">
        <v>720</v>
      </c>
    </row>
    <row r="725" spans="1:25" x14ac:dyDescent="0.3">
      <c r="A725" s="8" t="s">
        <v>1054</v>
      </c>
      <c r="B725" s="14">
        <v>46141</v>
      </c>
      <c r="C725" s="8" t="s">
        <v>1702</v>
      </c>
      <c r="D725" s="8" t="s">
        <v>95</v>
      </c>
      <c r="E725" s="8" t="s">
        <v>85</v>
      </c>
      <c r="F725">
        <v>3</v>
      </c>
      <c r="G725">
        <v>46075</v>
      </c>
      <c r="H725">
        <v>0.05</v>
      </c>
      <c r="I725" s="8" t="s">
        <v>17</v>
      </c>
      <c r="J725" s="8" t="s">
        <v>31</v>
      </c>
      <c r="K725" s="8" t="s">
        <v>1698</v>
      </c>
      <c r="L725">
        <v>131313.75</v>
      </c>
      <c r="M725" s="8" t="s">
        <v>56</v>
      </c>
      <c r="N725">
        <v>131313.75</v>
      </c>
      <c r="O725" s="8" t="s">
        <v>1701</v>
      </c>
      <c r="P725" s="8" t="s">
        <v>1556</v>
      </c>
      <c r="Q725" s="8" t="s">
        <v>1554</v>
      </c>
      <c r="R725" s="8" t="s">
        <v>1557</v>
      </c>
      <c r="S725" s="8" t="s">
        <v>1542</v>
      </c>
      <c r="T725" s="8" t="s">
        <v>1585</v>
      </c>
      <c r="U725" s="8" t="s">
        <v>1586</v>
      </c>
      <c r="V725">
        <v>48500</v>
      </c>
      <c r="W725">
        <v>41200</v>
      </c>
      <c r="X725">
        <v>131313.75</v>
      </c>
      <c r="Y725">
        <v>7713.75</v>
      </c>
    </row>
    <row r="726" spans="1:25" x14ac:dyDescent="0.3">
      <c r="A726" s="8" t="s">
        <v>1056</v>
      </c>
      <c r="B726" s="14">
        <v>46090</v>
      </c>
      <c r="C726" s="8" t="s">
        <v>150</v>
      </c>
      <c r="D726" s="8" t="s">
        <v>35</v>
      </c>
      <c r="E726" s="8" t="s">
        <v>30</v>
      </c>
      <c r="F726">
        <v>1</v>
      </c>
      <c r="G726">
        <v>1800</v>
      </c>
      <c r="H726">
        <v>0</v>
      </c>
      <c r="I726" s="8" t="s">
        <v>17</v>
      </c>
      <c r="J726" s="8" t="s">
        <v>18</v>
      </c>
      <c r="K726" s="8" t="s">
        <v>25</v>
      </c>
      <c r="L726">
        <v>1800</v>
      </c>
      <c r="M726" s="8" t="s">
        <v>20</v>
      </c>
      <c r="N726">
        <v>1800</v>
      </c>
      <c r="O726" s="8" t="s">
        <v>1701</v>
      </c>
      <c r="P726" s="8" t="s">
        <v>1548</v>
      </c>
      <c r="Q726" s="8" t="s">
        <v>1549</v>
      </c>
      <c r="R726" s="8" t="s">
        <v>42</v>
      </c>
      <c r="S726" s="8" t="s">
        <v>1542</v>
      </c>
      <c r="T726" s="8" t="s">
        <v>1573</v>
      </c>
      <c r="U726" s="8" t="s">
        <v>1571</v>
      </c>
      <c r="V726">
        <v>1800</v>
      </c>
      <c r="W726">
        <v>1120</v>
      </c>
      <c r="X726">
        <v>1800</v>
      </c>
      <c r="Y726">
        <v>680</v>
      </c>
    </row>
    <row r="727" spans="1:25" x14ac:dyDescent="0.3">
      <c r="A727" s="8" t="s">
        <v>1057</v>
      </c>
      <c r="B727" s="14">
        <v>46024</v>
      </c>
      <c r="C727" s="8" t="s">
        <v>586</v>
      </c>
      <c r="D727" s="8" t="s">
        <v>70</v>
      </c>
      <c r="E727" s="8" t="s">
        <v>63</v>
      </c>
      <c r="F727">
        <v>1</v>
      </c>
      <c r="G727">
        <v>2310</v>
      </c>
      <c r="H727">
        <v>0.2</v>
      </c>
      <c r="I727" s="8" t="s">
        <v>17</v>
      </c>
      <c r="J727" s="8" t="s">
        <v>47</v>
      </c>
      <c r="K727" s="8" t="s">
        <v>25</v>
      </c>
      <c r="L727">
        <v>1848</v>
      </c>
      <c r="M727" s="8" t="s">
        <v>48</v>
      </c>
      <c r="N727">
        <v>1848</v>
      </c>
      <c r="O727" s="8" t="s">
        <v>1701</v>
      </c>
      <c r="P727" s="8" t="s">
        <v>1550</v>
      </c>
      <c r="Q727" s="8" t="s">
        <v>1549</v>
      </c>
      <c r="R727" s="8" t="s">
        <v>32</v>
      </c>
      <c r="S727" s="8" t="s">
        <v>1542</v>
      </c>
      <c r="T727" s="8" t="s">
        <v>1572</v>
      </c>
      <c r="U727" s="8" t="s">
        <v>1571</v>
      </c>
      <c r="V727">
        <v>2200</v>
      </c>
      <c r="W727">
        <v>1450</v>
      </c>
      <c r="X727">
        <v>1848</v>
      </c>
      <c r="Y727">
        <v>398</v>
      </c>
    </row>
    <row r="728" spans="1:25" x14ac:dyDescent="0.3">
      <c r="A728" s="8" t="s">
        <v>1058</v>
      </c>
      <c r="B728" s="14">
        <v>46115</v>
      </c>
      <c r="C728" s="8" t="s">
        <v>14</v>
      </c>
      <c r="D728" s="8" t="s">
        <v>123</v>
      </c>
      <c r="E728" s="8" t="s">
        <v>74</v>
      </c>
      <c r="F728">
        <v>8</v>
      </c>
      <c r="G728">
        <v>2400</v>
      </c>
      <c r="H728">
        <v>0.2</v>
      </c>
      <c r="I728" s="8" t="s">
        <v>17</v>
      </c>
      <c r="J728" s="8" t="s">
        <v>71</v>
      </c>
      <c r="K728" s="8" t="s">
        <v>41</v>
      </c>
      <c r="L728">
        <v>15360</v>
      </c>
      <c r="M728" s="8" t="s">
        <v>20</v>
      </c>
      <c r="N728">
        <v>15360</v>
      </c>
      <c r="O728" s="8" t="s">
        <v>1701</v>
      </c>
      <c r="P728" s="8" t="s">
        <v>1558</v>
      </c>
      <c r="Q728" s="8" t="s">
        <v>1559</v>
      </c>
      <c r="R728" s="8" t="s">
        <v>138</v>
      </c>
      <c r="S728" s="8" t="s">
        <v>1542</v>
      </c>
      <c r="T728" s="8" t="s">
        <v>1584</v>
      </c>
      <c r="U728" s="8" t="s">
        <v>1583</v>
      </c>
      <c r="V728">
        <v>2400</v>
      </c>
      <c r="W728">
        <v>1480</v>
      </c>
      <c r="X728">
        <v>15360</v>
      </c>
      <c r="Y728">
        <v>3520</v>
      </c>
    </row>
    <row r="729" spans="1:25" x14ac:dyDescent="0.3">
      <c r="A729" s="8" t="s">
        <v>1059</v>
      </c>
      <c r="B729" s="14">
        <v>46071</v>
      </c>
      <c r="C729" s="8" t="s">
        <v>254</v>
      </c>
      <c r="D729" s="8" t="s">
        <v>15</v>
      </c>
      <c r="E729" s="8" t="s">
        <v>16</v>
      </c>
      <c r="F729">
        <v>3</v>
      </c>
      <c r="G729">
        <v>650</v>
      </c>
      <c r="H729">
        <v>0</v>
      </c>
      <c r="I729" s="8" t="s">
        <v>66</v>
      </c>
      <c r="J729" s="8" t="s">
        <v>71</v>
      </c>
      <c r="K729" s="8" t="s">
        <v>41</v>
      </c>
      <c r="L729">
        <v>1950</v>
      </c>
      <c r="M729" s="8" t="s">
        <v>32</v>
      </c>
      <c r="N729">
        <v>1950</v>
      </c>
      <c r="O729" s="8" t="s">
        <v>1701</v>
      </c>
      <c r="P729" s="8" t="s">
        <v>1543</v>
      </c>
      <c r="Q729" s="8" t="s">
        <v>1541</v>
      </c>
      <c r="R729" s="8" t="s">
        <v>52</v>
      </c>
      <c r="S729" s="8" t="s">
        <v>1542</v>
      </c>
      <c r="T729" s="8" t="s">
        <v>1570</v>
      </c>
      <c r="U729" s="8" t="s">
        <v>1571</v>
      </c>
      <c r="V729">
        <v>650</v>
      </c>
      <c r="W729">
        <v>390</v>
      </c>
      <c r="X729">
        <v>0</v>
      </c>
      <c r="Y729">
        <v>-1170</v>
      </c>
    </row>
    <row r="730" spans="1:25" x14ac:dyDescent="0.3">
      <c r="A730" s="8" t="s">
        <v>1060</v>
      </c>
      <c r="B730" s="14">
        <v>46183</v>
      </c>
      <c r="C730" s="8" t="s">
        <v>399</v>
      </c>
      <c r="D730" s="8" t="s">
        <v>90</v>
      </c>
      <c r="E730" s="8" t="s">
        <v>51</v>
      </c>
      <c r="F730">
        <v>1</v>
      </c>
      <c r="G730">
        <v>18500</v>
      </c>
      <c r="H730">
        <v>0.05</v>
      </c>
      <c r="I730" s="8" t="s">
        <v>17</v>
      </c>
      <c r="J730" s="8" t="s">
        <v>18</v>
      </c>
      <c r="K730" s="8" t="s">
        <v>1698</v>
      </c>
      <c r="L730">
        <v>17575</v>
      </c>
      <c r="M730" s="8" t="s">
        <v>42</v>
      </c>
      <c r="N730">
        <v>17575</v>
      </c>
      <c r="O730" s="8" t="s">
        <v>1701</v>
      </c>
      <c r="P730" s="8" t="s">
        <v>1562</v>
      </c>
      <c r="Q730" s="8" t="s">
        <v>1563</v>
      </c>
      <c r="R730" s="8" t="s">
        <v>48</v>
      </c>
      <c r="S730" s="8" t="s">
        <v>1542</v>
      </c>
      <c r="T730" s="8" t="s">
        <v>1581</v>
      </c>
      <c r="U730" s="8" t="s">
        <v>1580</v>
      </c>
      <c r="V730">
        <v>18500</v>
      </c>
      <c r="W730">
        <v>13900</v>
      </c>
      <c r="X730">
        <v>17575</v>
      </c>
      <c r="Y730">
        <v>3675</v>
      </c>
    </row>
    <row r="731" spans="1:25" x14ac:dyDescent="0.3">
      <c r="A731" s="8" t="s">
        <v>1061</v>
      </c>
      <c r="B731" s="14">
        <v>46065</v>
      </c>
      <c r="C731" s="8" t="s">
        <v>613</v>
      </c>
      <c r="D731" s="8" t="s">
        <v>77</v>
      </c>
      <c r="E731" s="8" t="s">
        <v>30</v>
      </c>
      <c r="F731">
        <v>4</v>
      </c>
      <c r="G731">
        <v>1890</v>
      </c>
      <c r="H731">
        <v>0.1</v>
      </c>
      <c r="I731" s="8" t="s">
        <v>116</v>
      </c>
      <c r="J731" s="8" t="s">
        <v>18</v>
      </c>
      <c r="K731" s="8" t="s">
        <v>25</v>
      </c>
      <c r="L731">
        <v>6804</v>
      </c>
      <c r="M731" s="8" t="s">
        <v>52</v>
      </c>
      <c r="N731">
        <v>6804</v>
      </c>
      <c r="O731" s="8" t="s">
        <v>1701</v>
      </c>
      <c r="P731" s="8" t="s">
        <v>1564</v>
      </c>
      <c r="Q731" s="8" t="s">
        <v>1563</v>
      </c>
      <c r="R731" s="8" t="s">
        <v>1565</v>
      </c>
      <c r="S731" s="8" t="s">
        <v>1542</v>
      </c>
      <c r="T731" s="8" t="s">
        <v>1573</v>
      </c>
      <c r="U731" s="8" t="s">
        <v>1571</v>
      </c>
      <c r="V731">
        <v>1800</v>
      </c>
      <c r="W731">
        <v>1120</v>
      </c>
      <c r="X731">
        <v>0</v>
      </c>
      <c r="Y731">
        <v>-4480</v>
      </c>
    </row>
    <row r="732" spans="1:25" x14ac:dyDescent="0.3">
      <c r="A732" s="8" t="s">
        <v>1062</v>
      </c>
      <c r="B732" s="14">
        <v>46074</v>
      </c>
      <c r="C732" s="8" t="s">
        <v>177</v>
      </c>
      <c r="D732" s="8" t="s">
        <v>45</v>
      </c>
      <c r="E732" s="8" t="s">
        <v>183</v>
      </c>
      <c r="F732">
        <v>4</v>
      </c>
      <c r="G732">
        <v>3040</v>
      </c>
      <c r="H732">
        <v>0.1</v>
      </c>
      <c r="I732" s="8" t="s">
        <v>17</v>
      </c>
      <c r="J732" s="8" t="s">
        <v>18</v>
      </c>
      <c r="K732" s="8" t="s">
        <v>55</v>
      </c>
      <c r="L732">
        <v>10944</v>
      </c>
      <c r="M732" s="8" t="s">
        <v>56</v>
      </c>
      <c r="N732">
        <v>10944</v>
      </c>
      <c r="O732" s="8" t="s">
        <v>1701</v>
      </c>
      <c r="P732" s="8" t="s">
        <v>1547</v>
      </c>
      <c r="Q732" s="8" t="s">
        <v>1541</v>
      </c>
      <c r="R732" s="8" t="s">
        <v>56</v>
      </c>
      <c r="S732" s="8" t="s">
        <v>1542</v>
      </c>
      <c r="T732" s="8" t="s">
        <v>1582</v>
      </c>
      <c r="U732" s="8" t="s">
        <v>1583</v>
      </c>
      <c r="V732">
        <v>3200</v>
      </c>
      <c r="W732">
        <v>2050</v>
      </c>
      <c r="X732">
        <v>10944</v>
      </c>
      <c r="Y732">
        <v>2744</v>
      </c>
    </row>
    <row r="733" spans="1:25" x14ac:dyDescent="0.3">
      <c r="A733" s="8" t="s">
        <v>1063</v>
      </c>
      <c r="B733" s="14">
        <v>46171</v>
      </c>
      <c r="C733" s="8" t="s">
        <v>901</v>
      </c>
      <c r="D733" s="8" t="s">
        <v>40</v>
      </c>
      <c r="E733" s="8" t="s">
        <v>85</v>
      </c>
      <c r="F733">
        <v>3</v>
      </c>
      <c r="G733">
        <v>50925</v>
      </c>
      <c r="H733">
        <v>0.05</v>
      </c>
      <c r="I733" s="8" t="s">
        <v>17</v>
      </c>
      <c r="J733" s="8" t="s">
        <v>18</v>
      </c>
      <c r="K733" s="8" t="s">
        <v>41</v>
      </c>
      <c r="L733">
        <v>145136.25</v>
      </c>
      <c r="M733" s="8" t="s">
        <v>20</v>
      </c>
      <c r="N733">
        <v>145136.25</v>
      </c>
      <c r="O733" s="8" t="s">
        <v>1701</v>
      </c>
      <c r="P733" s="8" t="s">
        <v>1555</v>
      </c>
      <c r="Q733" s="8" t="s">
        <v>1554</v>
      </c>
      <c r="R733" s="8" t="s">
        <v>82</v>
      </c>
      <c r="S733" s="8" t="s">
        <v>1542</v>
      </c>
      <c r="T733" s="8" t="s">
        <v>1585</v>
      </c>
      <c r="U733" s="8" t="s">
        <v>1586</v>
      </c>
      <c r="V733">
        <v>48500</v>
      </c>
      <c r="W733">
        <v>41200</v>
      </c>
      <c r="X733">
        <v>145136.25</v>
      </c>
      <c r="Y733">
        <v>21536.25</v>
      </c>
    </row>
    <row r="734" spans="1:25" x14ac:dyDescent="0.3">
      <c r="A734" s="8" t="s">
        <v>1064</v>
      </c>
      <c r="B734" s="14">
        <v>46158</v>
      </c>
      <c r="C734" s="8" t="s">
        <v>399</v>
      </c>
      <c r="D734" s="8" t="s">
        <v>168</v>
      </c>
      <c r="E734" s="8" t="s">
        <v>161</v>
      </c>
      <c r="F734">
        <v>3</v>
      </c>
      <c r="G734">
        <v>2730</v>
      </c>
      <c r="H734">
        <v>0.15</v>
      </c>
      <c r="I734" s="8" t="s">
        <v>17</v>
      </c>
      <c r="J734" s="8" t="s">
        <v>31</v>
      </c>
      <c r="K734" s="8" t="s">
        <v>55</v>
      </c>
      <c r="L734">
        <v>6961.5</v>
      </c>
      <c r="M734" s="8" t="s">
        <v>48</v>
      </c>
      <c r="N734">
        <v>6961.5</v>
      </c>
      <c r="O734" s="8" t="s">
        <v>1701</v>
      </c>
      <c r="P734" s="8" t="s">
        <v>1540</v>
      </c>
      <c r="Q734" s="8" t="s">
        <v>1541</v>
      </c>
      <c r="R734" s="8" t="s">
        <v>20</v>
      </c>
      <c r="S734" s="8" t="s">
        <v>1542</v>
      </c>
      <c r="T734" s="8" t="s">
        <v>1578</v>
      </c>
      <c r="U734" s="8" t="s">
        <v>1571</v>
      </c>
      <c r="V734">
        <v>2600</v>
      </c>
      <c r="W734">
        <v>1750</v>
      </c>
      <c r="X734">
        <v>6961.5</v>
      </c>
      <c r="Y734">
        <v>1711.5</v>
      </c>
    </row>
    <row r="735" spans="1:25" x14ac:dyDescent="0.3">
      <c r="A735" s="8" t="s">
        <v>1065</v>
      </c>
      <c r="B735" s="14">
        <v>46188</v>
      </c>
      <c r="C735" s="8" t="s">
        <v>330</v>
      </c>
      <c r="D735" s="8" t="s">
        <v>35</v>
      </c>
      <c r="E735" s="8" t="s">
        <v>46</v>
      </c>
      <c r="F735">
        <v>3</v>
      </c>
      <c r="G735">
        <v>7800</v>
      </c>
      <c r="H735">
        <v>0</v>
      </c>
      <c r="I735" s="8" t="s">
        <v>80</v>
      </c>
      <c r="J735" s="8" t="s">
        <v>47</v>
      </c>
      <c r="K735" s="8" t="s">
        <v>55</v>
      </c>
      <c r="L735">
        <v>23400</v>
      </c>
      <c r="M735" s="8" t="s">
        <v>52</v>
      </c>
      <c r="N735">
        <v>23400</v>
      </c>
      <c r="O735" s="8" t="s">
        <v>1701</v>
      </c>
      <c r="P735" s="8" t="s">
        <v>1548</v>
      </c>
      <c r="Q735" s="8" t="s">
        <v>1549</v>
      </c>
      <c r="R735" s="8" t="s">
        <v>42</v>
      </c>
      <c r="S735" s="8" t="s">
        <v>1542</v>
      </c>
      <c r="T735" s="8" t="s">
        <v>1579</v>
      </c>
      <c r="U735" s="8" t="s">
        <v>1580</v>
      </c>
      <c r="V735">
        <v>7800</v>
      </c>
      <c r="W735">
        <v>5200</v>
      </c>
      <c r="X735">
        <v>0</v>
      </c>
      <c r="Y735">
        <v>-15600</v>
      </c>
    </row>
    <row r="736" spans="1:25" x14ac:dyDescent="0.3">
      <c r="A736" s="8" t="s">
        <v>1066</v>
      </c>
      <c r="B736" s="14">
        <v>46152</v>
      </c>
      <c r="C736" s="8" t="s">
        <v>326</v>
      </c>
      <c r="D736" s="8" t="s">
        <v>23</v>
      </c>
      <c r="E736" s="8" t="s">
        <v>183</v>
      </c>
      <c r="F736">
        <v>5</v>
      </c>
      <c r="G736">
        <v>3360</v>
      </c>
      <c r="H736">
        <v>0.05</v>
      </c>
      <c r="I736" s="8" t="s">
        <v>80</v>
      </c>
      <c r="J736" s="8" t="s">
        <v>47</v>
      </c>
      <c r="K736" s="8" t="s">
        <v>55</v>
      </c>
      <c r="L736">
        <v>15960</v>
      </c>
      <c r="M736" s="8" t="s">
        <v>32</v>
      </c>
      <c r="N736">
        <v>15960</v>
      </c>
      <c r="O736" s="8" t="s">
        <v>1701</v>
      </c>
      <c r="P736" s="8" t="s">
        <v>1545</v>
      </c>
      <c r="Q736" s="8" t="s">
        <v>1541</v>
      </c>
      <c r="R736" s="8" t="s">
        <v>1546</v>
      </c>
      <c r="S736" s="8" t="s">
        <v>1542</v>
      </c>
      <c r="T736" s="8" t="s">
        <v>1582</v>
      </c>
      <c r="U736" s="8" t="s">
        <v>1583</v>
      </c>
      <c r="V736">
        <v>3200</v>
      </c>
      <c r="W736">
        <v>2050</v>
      </c>
      <c r="X736">
        <v>0</v>
      </c>
      <c r="Y736">
        <v>-10250</v>
      </c>
    </row>
    <row r="737" spans="1:25" x14ac:dyDescent="0.3">
      <c r="A737" s="8" t="s">
        <v>1067</v>
      </c>
      <c r="B737" s="14">
        <v>46195</v>
      </c>
      <c r="C737" s="8" t="s">
        <v>204</v>
      </c>
      <c r="D737" s="8" t="s">
        <v>95</v>
      </c>
      <c r="E737" s="8" t="s">
        <v>85</v>
      </c>
      <c r="F737">
        <v>2</v>
      </c>
      <c r="G737">
        <v>48500</v>
      </c>
      <c r="H737">
        <v>0.1</v>
      </c>
      <c r="I737" s="8" t="s">
        <v>17</v>
      </c>
      <c r="J737" s="8" t="s">
        <v>47</v>
      </c>
      <c r="K737" s="8" t="s">
        <v>1698</v>
      </c>
      <c r="L737">
        <v>87300</v>
      </c>
      <c r="M737" s="8" t="s">
        <v>56</v>
      </c>
      <c r="N737">
        <v>87300</v>
      </c>
      <c r="O737" s="8" t="s">
        <v>1701</v>
      </c>
      <c r="P737" s="8" t="s">
        <v>1556</v>
      </c>
      <c r="Q737" s="8" t="s">
        <v>1554</v>
      </c>
      <c r="R737" s="8" t="s">
        <v>1557</v>
      </c>
      <c r="S737" s="8" t="s">
        <v>1542</v>
      </c>
      <c r="T737" s="8" t="s">
        <v>1585</v>
      </c>
      <c r="U737" s="8" t="s">
        <v>1586</v>
      </c>
      <c r="V737">
        <v>48500</v>
      </c>
      <c r="W737">
        <v>41200</v>
      </c>
      <c r="X737">
        <v>87300</v>
      </c>
      <c r="Y737">
        <v>4900</v>
      </c>
    </row>
    <row r="738" spans="1:25" x14ac:dyDescent="0.3">
      <c r="A738" s="8" t="s">
        <v>1068</v>
      </c>
      <c r="B738" s="14">
        <v>46056</v>
      </c>
      <c r="C738" s="8" t="s">
        <v>851</v>
      </c>
      <c r="D738" s="8" t="s">
        <v>50</v>
      </c>
      <c r="E738" s="8" t="s">
        <v>24</v>
      </c>
      <c r="F738">
        <v>1</v>
      </c>
      <c r="G738">
        <v>11760</v>
      </c>
      <c r="H738">
        <v>0.1</v>
      </c>
      <c r="I738" s="8" t="s">
        <v>17</v>
      </c>
      <c r="J738" s="8" t="s">
        <v>47</v>
      </c>
      <c r="K738" s="8" t="s">
        <v>41</v>
      </c>
      <c r="L738">
        <v>10584</v>
      </c>
      <c r="M738" s="8" t="s">
        <v>52</v>
      </c>
      <c r="N738">
        <v>10584</v>
      </c>
      <c r="O738" s="8" t="s">
        <v>1701</v>
      </c>
      <c r="P738" s="8" t="s">
        <v>1544</v>
      </c>
      <c r="Q738" s="8" t="s">
        <v>1541</v>
      </c>
      <c r="R738" s="8" t="s">
        <v>26</v>
      </c>
      <c r="S738" s="8" t="s">
        <v>1542</v>
      </c>
      <c r="T738" s="8" t="s">
        <v>1574</v>
      </c>
      <c r="U738" s="8" t="s">
        <v>1575</v>
      </c>
      <c r="V738">
        <v>11200</v>
      </c>
      <c r="W738">
        <v>8300</v>
      </c>
      <c r="X738">
        <v>10584</v>
      </c>
      <c r="Y738">
        <v>2284</v>
      </c>
    </row>
    <row r="739" spans="1:25" x14ac:dyDescent="0.3">
      <c r="A739" s="8" t="s">
        <v>1069</v>
      </c>
      <c r="B739" s="14">
        <v>46165</v>
      </c>
      <c r="C739" s="8" t="s">
        <v>298</v>
      </c>
      <c r="D739" s="8" t="s">
        <v>168</v>
      </c>
      <c r="E739" s="8" t="s">
        <v>16</v>
      </c>
      <c r="F739">
        <v>2</v>
      </c>
      <c r="G739">
        <v>650</v>
      </c>
      <c r="H739">
        <v>0.05</v>
      </c>
      <c r="I739" s="8" t="s">
        <v>17</v>
      </c>
      <c r="J739" s="8" t="s">
        <v>31</v>
      </c>
      <c r="K739" s="8" t="s">
        <v>1698</v>
      </c>
      <c r="L739">
        <v>1235</v>
      </c>
      <c r="M739" s="8" t="s">
        <v>138</v>
      </c>
      <c r="N739">
        <v>1235</v>
      </c>
      <c r="O739" s="8" t="s">
        <v>1701</v>
      </c>
      <c r="P739" s="8" t="s">
        <v>1540</v>
      </c>
      <c r="Q739" s="8" t="s">
        <v>1541</v>
      </c>
      <c r="R739" s="8" t="s">
        <v>20</v>
      </c>
      <c r="S739" s="8" t="s">
        <v>1542</v>
      </c>
      <c r="T739" s="8" t="s">
        <v>1570</v>
      </c>
      <c r="U739" s="8" t="s">
        <v>1571</v>
      </c>
      <c r="V739">
        <v>650</v>
      </c>
      <c r="W739">
        <v>390</v>
      </c>
      <c r="X739">
        <v>1235</v>
      </c>
      <c r="Y739">
        <v>455</v>
      </c>
    </row>
    <row r="740" spans="1:25" x14ac:dyDescent="0.3">
      <c r="A740" s="8" t="s">
        <v>1070</v>
      </c>
      <c r="B740" s="14">
        <v>46133</v>
      </c>
      <c r="C740" s="8" t="s">
        <v>227</v>
      </c>
      <c r="D740" s="8" t="s">
        <v>15</v>
      </c>
      <c r="E740" s="8" t="s">
        <v>183</v>
      </c>
      <c r="F740">
        <v>1</v>
      </c>
      <c r="G740">
        <v>3200</v>
      </c>
      <c r="H740">
        <v>0.15</v>
      </c>
      <c r="I740" s="8" t="s">
        <v>17</v>
      </c>
      <c r="J740" s="8" t="s">
        <v>47</v>
      </c>
      <c r="K740" s="8" t="s">
        <v>1698</v>
      </c>
      <c r="L740">
        <v>2720</v>
      </c>
      <c r="M740" s="8" t="s">
        <v>82</v>
      </c>
      <c r="N740">
        <v>2720</v>
      </c>
      <c r="O740" s="8" t="s">
        <v>1701</v>
      </c>
      <c r="P740" s="8" t="s">
        <v>1543</v>
      </c>
      <c r="Q740" s="8" t="s">
        <v>1541</v>
      </c>
      <c r="R740" s="8" t="s">
        <v>52</v>
      </c>
      <c r="S740" s="8" t="s">
        <v>1542</v>
      </c>
      <c r="T740" s="8" t="s">
        <v>1582</v>
      </c>
      <c r="U740" s="8" t="s">
        <v>1583</v>
      </c>
      <c r="V740">
        <v>3200</v>
      </c>
      <c r="W740">
        <v>2050</v>
      </c>
      <c r="X740">
        <v>2720</v>
      </c>
      <c r="Y740">
        <v>670</v>
      </c>
    </row>
    <row r="741" spans="1:25" x14ac:dyDescent="0.3">
      <c r="A741" s="8" t="s">
        <v>1071</v>
      </c>
      <c r="B741" s="14">
        <v>46091</v>
      </c>
      <c r="C741" s="8" t="s">
        <v>572</v>
      </c>
      <c r="D741" s="8" t="s">
        <v>77</v>
      </c>
      <c r="E741" s="8" t="s">
        <v>30</v>
      </c>
      <c r="F741">
        <v>5</v>
      </c>
      <c r="G741">
        <v>1710</v>
      </c>
      <c r="H741">
        <v>0.15</v>
      </c>
      <c r="I741" s="8" t="s">
        <v>17</v>
      </c>
      <c r="J741" s="8" t="s">
        <v>18</v>
      </c>
      <c r="K741" s="8" t="s">
        <v>55</v>
      </c>
      <c r="L741">
        <v>7267.5</v>
      </c>
      <c r="M741" s="8" t="s">
        <v>42</v>
      </c>
      <c r="N741">
        <v>7267.5</v>
      </c>
      <c r="O741" s="8" t="s">
        <v>1701</v>
      </c>
      <c r="P741" s="8" t="s">
        <v>1564</v>
      </c>
      <c r="Q741" s="8" t="s">
        <v>1563</v>
      </c>
      <c r="R741" s="8" t="s">
        <v>1565</v>
      </c>
      <c r="S741" s="8" t="s">
        <v>1542</v>
      </c>
      <c r="T741" s="8" t="s">
        <v>1573</v>
      </c>
      <c r="U741" s="8" t="s">
        <v>1571</v>
      </c>
      <c r="V741">
        <v>1800</v>
      </c>
      <c r="W741">
        <v>1120</v>
      </c>
      <c r="X741">
        <v>7267.5</v>
      </c>
      <c r="Y741">
        <v>1667.5</v>
      </c>
    </row>
    <row r="742" spans="1:25" x14ac:dyDescent="0.3">
      <c r="A742" s="8" t="s">
        <v>1072</v>
      </c>
      <c r="B742" s="14">
        <v>46050</v>
      </c>
      <c r="C742" s="8" t="s">
        <v>179</v>
      </c>
      <c r="D742" s="8" t="s">
        <v>29</v>
      </c>
      <c r="E742" s="8" t="s">
        <v>183</v>
      </c>
      <c r="F742">
        <v>3</v>
      </c>
      <c r="G742">
        <v>3040</v>
      </c>
      <c r="H742">
        <v>0</v>
      </c>
      <c r="I742" s="8" t="s">
        <v>17</v>
      </c>
      <c r="J742" s="8" t="s">
        <v>31</v>
      </c>
      <c r="K742" s="8" t="s">
        <v>41</v>
      </c>
      <c r="L742">
        <v>9120</v>
      </c>
      <c r="M742" s="8" t="s">
        <v>42</v>
      </c>
      <c r="N742">
        <v>9120</v>
      </c>
      <c r="O742" s="8" t="s">
        <v>1701</v>
      </c>
      <c r="P742" s="8" t="s">
        <v>1560</v>
      </c>
      <c r="Q742" s="8" t="s">
        <v>1559</v>
      </c>
      <c r="R742" s="8" t="s">
        <v>1561</v>
      </c>
      <c r="S742" s="8" t="s">
        <v>1542</v>
      </c>
      <c r="T742" s="8" t="s">
        <v>1582</v>
      </c>
      <c r="U742" s="8" t="s">
        <v>1583</v>
      </c>
      <c r="V742">
        <v>3200</v>
      </c>
      <c r="W742">
        <v>2050</v>
      </c>
      <c r="X742">
        <v>9120</v>
      </c>
      <c r="Y742">
        <v>2970</v>
      </c>
    </row>
    <row r="743" spans="1:25" x14ac:dyDescent="0.3">
      <c r="A743" s="8" t="s">
        <v>1073</v>
      </c>
      <c r="B743" s="14">
        <v>46075</v>
      </c>
      <c r="C743" s="8" t="s">
        <v>1074</v>
      </c>
      <c r="D743" s="8" t="s">
        <v>77</v>
      </c>
      <c r="E743" s="8" t="s">
        <v>36</v>
      </c>
      <c r="F743">
        <v>1</v>
      </c>
      <c r="G743">
        <v>1470</v>
      </c>
      <c r="H743">
        <v>0.05</v>
      </c>
      <c r="I743" s="8" t="s">
        <v>17</v>
      </c>
      <c r="J743" s="8" t="s">
        <v>71</v>
      </c>
      <c r="K743" s="8" t="s">
        <v>67</v>
      </c>
      <c r="L743">
        <v>1396.5</v>
      </c>
      <c r="M743" s="8" t="s">
        <v>138</v>
      </c>
      <c r="N743">
        <v>1396.5</v>
      </c>
      <c r="O743" s="8" t="s">
        <v>1701</v>
      </c>
      <c r="P743" s="8" t="s">
        <v>1564</v>
      </c>
      <c r="Q743" s="8" t="s">
        <v>1563</v>
      </c>
      <c r="R743" s="8" t="s">
        <v>1565</v>
      </c>
      <c r="S743" s="8" t="s">
        <v>1542</v>
      </c>
      <c r="T743" s="8" t="s">
        <v>1577</v>
      </c>
      <c r="U743" s="8" t="s">
        <v>1571</v>
      </c>
      <c r="V743">
        <v>1400</v>
      </c>
      <c r="W743">
        <v>780</v>
      </c>
      <c r="X743">
        <v>1396.5</v>
      </c>
      <c r="Y743">
        <v>616.5</v>
      </c>
    </row>
    <row r="744" spans="1:25" x14ac:dyDescent="0.3">
      <c r="A744" s="8" t="s">
        <v>1075</v>
      </c>
      <c r="B744" s="14">
        <v>46058</v>
      </c>
      <c r="C744" s="8" t="s">
        <v>446</v>
      </c>
      <c r="D744" s="8" t="s">
        <v>15</v>
      </c>
      <c r="E744" s="8" t="s">
        <v>24</v>
      </c>
      <c r="F744">
        <v>2</v>
      </c>
      <c r="G744">
        <v>10640</v>
      </c>
      <c r="H744">
        <v>0.1</v>
      </c>
      <c r="I744" s="8" t="s">
        <v>17</v>
      </c>
      <c r="J744" s="8" t="s">
        <v>18</v>
      </c>
      <c r="K744" s="8" t="s">
        <v>67</v>
      </c>
      <c r="L744">
        <v>19152</v>
      </c>
      <c r="M744" s="8" t="s">
        <v>26</v>
      </c>
      <c r="N744">
        <v>19152</v>
      </c>
      <c r="O744" s="8" t="s">
        <v>1701</v>
      </c>
      <c r="P744" s="8" t="s">
        <v>1543</v>
      </c>
      <c r="Q744" s="8" t="s">
        <v>1541</v>
      </c>
      <c r="R744" s="8" t="s">
        <v>52</v>
      </c>
      <c r="S744" s="8" t="s">
        <v>1542</v>
      </c>
      <c r="T744" s="8" t="s">
        <v>1574</v>
      </c>
      <c r="U744" s="8" t="s">
        <v>1575</v>
      </c>
      <c r="V744">
        <v>11200</v>
      </c>
      <c r="W744">
        <v>8300</v>
      </c>
      <c r="X744">
        <v>19152</v>
      </c>
      <c r="Y744">
        <v>2552</v>
      </c>
    </row>
    <row r="745" spans="1:25" x14ac:dyDescent="0.3">
      <c r="A745" s="8" t="s">
        <v>1076</v>
      </c>
      <c r="B745" s="14">
        <v>46152</v>
      </c>
      <c r="C745" s="8" t="s">
        <v>446</v>
      </c>
      <c r="D745" s="8" t="s">
        <v>50</v>
      </c>
      <c r="E745" s="8" t="s">
        <v>63</v>
      </c>
      <c r="F745">
        <v>1</v>
      </c>
      <c r="G745">
        <v>2200</v>
      </c>
      <c r="H745">
        <v>0.2</v>
      </c>
      <c r="I745" s="8" t="s">
        <v>17</v>
      </c>
      <c r="J745" s="8" t="s">
        <v>71</v>
      </c>
      <c r="K745" s="8" t="s">
        <v>25</v>
      </c>
      <c r="L745">
        <v>1760</v>
      </c>
      <c r="M745" s="8" t="s">
        <v>32</v>
      </c>
      <c r="N745">
        <v>1760</v>
      </c>
      <c r="O745" s="8" t="s">
        <v>1701</v>
      </c>
      <c r="P745" s="8" t="s">
        <v>1544</v>
      </c>
      <c r="Q745" s="8" t="s">
        <v>1541</v>
      </c>
      <c r="R745" s="8" t="s">
        <v>26</v>
      </c>
      <c r="S745" s="8" t="s">
        <v>1542</v>
      </c>
      <c r="T745" s="8" t="s">
        <v>1572</v>
      </c>
      <c r="U745" s="8" t="s">
        <v>1571</v>
      </c>
      <c r="V745">
        <v>2200</v>
      </c>
      <c r="W745">
        <v>1450</v>
      </c>
      <c r="X745">
        <v>1760</v>
      </c>
      <c r="Y745">
        <v>310</v>
      </c>
    </row>
    <row r="746" spans="1:25" x14ac:dyDescent="0.3">
      <c r="A746" s="8" t="s">
        <v>1077</v>
      </c>
      <c r="B746" s="14">
        <v>46081</v>
      </c>
      <c r="C746" s="8" t="s">
        <v>568</v>
      </c>
      <c r="D746" s="8" t="s">
        <v>50</v>
      </c>
      <c r="E746" s="8" t="s">
        <v>161</v>
      </c>
      <c r="F746">
        <v>2</v>
      </c>
      <c r="G746">
        <v>2600</v>
      </c>
      <c r="H746">
        <v>0.1</v>
      </c>
      <c r="I746" s="8" t="s">
        <v>66</v>
      </c>
      <c r="J746" s="8" t="s">
        <v>18</v>
      </c>
      <c r="K746" s="8" t="s">
        <v>41</v>
      </c>
      <c r="L746">
        <v>4680</v>
      </c>
      <c r="M746" s="8" t="s">
        <v>20</v>
      </c>
      <c r="N746">
        <v>4680</v>
      </c>
      <c r="O746" s="8" t="s">
        <v>1701</v>
      </c>
      <c r="P746" s="8" t="s">
        <v>1544</v>
      </c>
      <c r="Q746" s="8" t="s">
        <v>1541</v>
      </c>
      <c r="R746" s="8" t="s">
        <v>26</v>
      </c>
      <c r="S746" s="8" t="s">
        <v>1542</v>
      </c>
      <c r="T746" s="8" t="s">
        <v>1578</v>
      </c>
      <c r="U746" s="8" t="s">
        <v>1571</v>
      </c>
      <c r="V746">
        <v>2600</v>
      </c>
      <c r="W746">
        <v>1750</v>
      </c>
      <c r="X746">
        <v>0</v>
      </c>
      <c r="Y746">
        <v>-3500</v>
      </c>
    </row>
    <row r="747" spans="1:25" x14ac:dyDescent="0.3">
      <c r="A747" s="8" t="s">
        <v>1078</v>
      </c>
      <c r="B747" s="14">
        <v>46155</v>
      </c>
      <c r="C747" s="8" t="s">
        <v>607</v>
      </c>
      <c r="D747" s="8" t="s">
        <v>15</v>
      </c>
      <c r="E747" s="8" t="s">
        <v>63</v>
      </c>
      <c r="F747">
        <v>2</v>
      </c>
      <c r="G747">
        <v>2200</v>
      </c>
      <c r="H747">
        <v>0.1</v>
      </c>
      <c r="I747" s="8" t="s">
        <v>116</v>
      </c>
      <c r="J747" s="8" t="s">
        <v>31</v>
      </c>
      <c r="K747" s="8" t="s">
        <v>55</v>
      </c>
      <c r="L747">
        <v>3960</v>
      </c>
      <c r="M747" s="8" t="s">
        <v>20</v>
      </c>
      <c r="N747">
        <v>3960</v>
      </c>
      <c r="O747" s="8" t="s">
        <v>1701</v>
      </c>
      <c r="P747" s="8" t="s">
        <v>1543</v>
      </c>
      <c r="Q747" s="8" t="s">
        <v>1541</v>
      </c>
      <c r="R747" s="8" t="s">
        <v>52</v>
      </c>
      <c r="S747" s="8" t="s">
        <v>1542</v>
      </c>
      <c r="T747" s="8" t="s">
        <v>1572</v>
      </c>
      <c r="U747" s="8" t="s">
        <v>1571</v>
      </c>
      <c r="V747">
        <v>2200</v>
      </c>
      <c r="W747">
        <v>1450</v>
      </c>
      <c r="X747">
        <v>0</v>
      </c>
      <c r="Y747">
        <v>-2900</v>
      </c>
    </row>
    <row r="748" spans="1:25" x14ac:dyDescent="0.3">
      <c r="A748" s="8" t="s">
        <v>1079</v>
      </c>
      <c r="B748" s="14">
        <v>46192</v>
      </c>
      <c r="C748" s="8" t="s">
        <v>163</v>
      </c>
      <c r="D748" s="8" t="s">
        <v>77</v>
      </c>
      <c r="E748" s="8" t="s">
        <v>74</v>
      </c>
      <c r="F748">
        <v>1</v>
      </c>
      <c r="G748">
        <v>2400</v>
      </c>
      <c r="H748">
        <v>0.15</v>
      </c>
      <c r="I748" s="8" t="s">
        <v>17</v>
      </c>
      <c r="J748" s="8" t="s">
        <v>18</v>
      </c>
      <c r="K748" s="8" t="s">
        <v>25</v>
      </c>
      <c r="L748">
        <v>2040</v>
      </c>
      <c r="M748" s="8" t="s">
        <v>26</v>
      </c>
      <c r="N748">
        <v>2040</v>
      </c>
      <c r="O748" s="8" t="s">
        <v>1701</v>
      </c>
      <c r="P748" s="8" t="s">
        <v>1564</v>
      </c>
      <c r="Q748" s="8" t="s">
        <v>1563</v>
      </c>
      <c r="R748" s="8" t="s">
        <v>1565</v>
      </c>
      <c r="S748" s="8" t="s">
        <v>1542</v>
      </c>
      <c r="T748" s="8" t="s">
        <v>1584</v>
      </c>
      <c r="U748" s="8" t="s">
        <v>1583</v>
      </c>
      <c r="V748">
        <v>2400</v>
      </c>
      <c r="W748">
        <v>1480</v>
      </c>
      <c r="X748">
        <v>2040</v>
      </c>
      <c r="Y748">
        <v>560</v>
      </c>
    </row>
    <row r="749" spans="1:25" x14ac:dyDescent="0.3">
      <c r="A749" s="8" t="s">
        <v>1080</v>
      </c>
      <c r="B749" s="14">
        <v>46103</v>
      </c>
      <c r="C749" s="8" t="s">
        <v>106</v>
      </c>
      <c r="D749" s="8" t="s">
        <v>77</v>
      </c>
      <c r="E749" s="8" t="s">
        <v>36</v>
      </c>
      <c r="F749">
        <v>1</v>
      </c>
      <c r="G749">
        <v>1400</v>
      </c>
      <c r="H749">
        <v>0.05</v>
      </c>
      <c r="I749" s="8" t="s">
        <v>66</v>
      </c>
      <c r="J749" s="8" t="s">
        <v>18</v>
      </c>
      <c r="K749" s="8" t="s">
        <v>41</v>
      </c>
      <c r="L749">
        <v>1330</v>
      </c>
      <c r="M749" s="8" t="s">
        <v>82</v>
      </c>
      <c r="N749">
        <v>1330</v>
      </c>
      <c r="O749" s="8" t="s">
        <v>1701</v>
      </c>
      <c r="P749" s="8" t="s">
        <v>1564</v>
      </c>
      <c r="Q749" s="8" t="s">
        <v>1563</v>
      </c>
      <c r="R749" s="8" t="s">
        <v>1565</v>
      </c>
      <c r="S749" s="8" t="s">
        <v>1542</v>
      </c>
      <c r="T749" s="8" t="s">
        <v>1577</v>
      </c>
      <c r="U749" s="8" t="s">
        <v>1571</v>
      </c>
      <c r="V749">
        <v>1400</v>
      </c>
      <c r="W749">
        <v>780</v>
      </c>
      <c r="X749">
        <v>0</v>
      </c>
      <c r="Y749">
        <v>-780</v>
      </c>
    </row>
    <row r="750" spans="1:25" x14ac:dyDescent="0.3">
      <c r="A750" s="8" t="s">
        <v>1081</v>
      </c>
      <c r="B750" s="14">
        <v>46182</v>
      </c>
      <c r="C750" s="8" t="s">
        <v>1082</v>
      </c>
      <c r="D750" s="8" t="s">
        <v>29</v>
      </c>
      <c r="E750" s="8" t="s">
        <v>183</v>
      </c>
      <c r="F750">
        <v>3</v>
      </c>
      <c r="G750">
        <v>3360</v>
      </c>
      <c r="H750">
        <v>0.2</v>
      </c>
      <c r="I750" s="8" t="s">
        <v>17</v>
      </c>
      <c r="J750" s="8" t="s">
        <v>47</v>
      </c>
      <c r="K750" s="8" t="s">
        <v>1698</v>
      </c>
      <c r="L750">
        <v>8064</v>
      </c>
      <c r="M750" s="8" t="s">
        <v>20</v>
      </c>
      <c r="N750">
        <v>8064</v>
      </c>
      <c r="O750" s="8" t="s">
        <v>1701</v>
      </c>
      <c r="P750" s="8" t="s">
        <v>1560</v>
      </c>
      <c r="Q750" s="8" t="s">
        <v>1559</v>
      </c>
      <c r="R750" s="8" t="s">
        <v>1561</v>
      </c>
      <c r="S750" s="8" t="s">
        <v>1542</v>
      </c>
      <c r="T750" s="8" t="s">
        <v>1582</v>
      </c>
      <c r="U750" s="8" t="s">
        <v>1583</v>
      </c>
      <c r="V750">
        <v>3200</v>
      </c>
      <c r="W750">
        <v>2050</v>
      </c>
      <c r="X750">
        <v>8064</v>
      </c>
      <c r="Y750">
        <v>1914</v>
      </c>
    </row>
    <row r="751" spans="1:25" x14ac:dyDescent="0.3">
      <c r="A751" s="8" t="s">
        <v>1083</v>
      </c>
      <c r="B751" s="14">
        <v>46160</v>
      </c>
      <c r="C751" s="8" t="s">
        <v>89</v>
      </c>
      <c r="D751" s="8" t="s">
        <v>35</v>
      </c>
      <c r="E751" s="8" t="s">
        <v>161</v>
      </c>
      <c r="F751">
        <v>3</v>
      </c>
      <c r="G751">
        <v>2600</v>
      </c>
      <c r="H751">
        <v>0.2</v>
      </c>
      <c r="I751" s="8" t="s">
        <v>66</v>
      </c>
      <c r="J751" s="8" t="s">
        <v>31</v>
      </c>
      <c r="K751" s="8" t="s">
        <v>25</v>
      </c>
      <c r="L751">
        <v>6240</v>
      </c>
      <c r="M751" s="8" t="s">
        <v>82</v>
      </c>
      <c r="N751">
        <v>6240</v>
      </c>
      <c r="O751" s="8" t="s">
        <v>1701</v>
      </c>
      <c r="P751" s="8" t="s">
        <v>1548</v>
      </c>
      <c r="Q751" s="8" t="s">
        <v>1549</v>
      </c>
      <c r="R751" s="8" t="s">
        <v>42</v>
      </c>
      <c r="S751" s="8" t="s">
        <v>1542</v>
      </c>
      <c r="T751" s="8" t="s">
        <v>1578</v>
      </c>
      <c r="U751" s="8" t="s">
        <v>1571</v>
      </c>
      <c r="V751">
        <v>2600</v>
      </c>
      <c r="W751">
        <v>1750</v>
      </c>
      <c r="X751">
        <v>0</v>
      </c>
      <c r="Y751">
        <v>-5250</v>
      </c>
    </row>
    <row r="752" spans="1:25" x14ac:dyDescent="0.3">
      <c r="A752" s="8" t="s">
        <v>1084</v>
      </c>
      <c r="B752" s="14">
        <v>46102</v>
      </c>
      <c r="C752" s="8" t="s">
        <v>388</v>
      </c>
      <c r="D752" s="8" t="s">
        <v>152</v>
      </c>
      <c r="E752" s="8" t="s">
        <v>36</v>
      </c>
      <c r="F752">
        <v>4</v>
      </c>
      <c r="G752">
        <v>1400</v>
      </c>
      <c r="H752">
        <v>0</v>
      </c>
      <c r="I752" s="8" t="s">
        <v>17</v>
      </c>
      <c r="J752" s="8" t="s">
        <v>47</v>
      </c>
      <c r="K752" s="8" t="s">
        <v>55</v>
      </c>
      <c r="L752">
        <v>5600</v>
      </c>
      <c r="M752" s="8" t="s">
        <v>82</v>
      </c>
      <c r="N752">
        <v>5600</v>
      </c>
      <c r="O752" s="8" t="s">
        <v>1701</v>
      </c>
      <c r="P752" s="8" t="s">
        <v>1553</v>
      </c>
      <c r="Q752" s="8" t="s">
        <v>1554</v>
      </c>
      <c r="R752" s="8" t="s">
        <v>59</v>
      </c>
      <c r="S752" s="8" t="s">
        <v>1542</v>
      </c>
      <c r="T752" s="8" t="s">
        <v>1577</v>
      </c>
      <c r="U752" s="8" t="s">
        <v>1571</v>
      </c>
      <c r="V752">
        <v>1400</v>
      </c>
      <c r="W752">
        <v>780</v>
      </c>
      <c r="X752">
        <v>5600</v>
      </c>
      <c r="Y752">
        <v>2480</v>
      </c>
    </row>
    <row r="753" spans="1:25" x14ac:dyDescent="0.3">
      <c r="A753" s="8" t="s">
        <v>1085</v>
      </c>
      <c r="B753" s="14">
        <v>46051</v>
      </c>
      <c r="C753" s="8" t="s">
        <v>669</v>
      </c>
      <c r="D753" s="8" t="s">
        <v>123</v>
      </c>
      <c r="E753" s="8" t="s">
        <v>16</v>
      </c>
      <c r="F753">
        <v>4</v>
      </c>
      <c r="G753">
        <v>650</v>
      </c>
      <c r="H753">
        <v>0.05</v>
      </c>
      <c r="I753" s="8" t="s">
        <v>17</v>
      </c>
      <c r="J753" s="8" t="s">
        <v>31</v>
      </c>
      <c r="K753" s="8" t="s">
        <v>1698</v>
      </c>
      <c r="L753">
        <v>2470</v>
      </c>
      <c r="M753" s="8" t="s">
        <v>56</v>
      </c>
      <c r="N753">
        <v>2470</v>
      </c>
      <c r="O753" s="8" t="s">
        <v>1701</v>
      </c>
      <c r="P753" s="8" t="s">
        <v>1558</v>
      </c>
      <c r="Q753" s="8" t="s">
        <v>1559</v>
      </c>
      <c r="R753" s="8" t="s">
        <v>138</v>
      </c>
      <c r="S753" s="8" t="s">
        <v>1542</v>
      </c>
      <c r="T753" s="8" t="s">
        <v>1570</v>
      </c>
      <c r="U753" s="8" t="s">
        <v>1571</v>
      </c>
      <c r="V753">
        <v>650</v>
      </c>
      <c r="W753">
        <v>390</v>
      </c>
      <c r="X753">
        <v>2470</v>
      </c>
      <c r="Y753">
        <v>910</v>
      </c>
    </row>
    <row r="754" spans="1:25" x14ac:dyDescent="0.3">
      <c r="A754" s="8" t="s">
        <v>1086</v>
      </c>
      <c r="B754" s="14">
        <v>46099</v>
      </c>
      <c r="C754" s="8" t="s">
        <v>308</v>
      </c>
      <c r="D754" s="8" t="s">
        <v>40</v>
      </c>
      <c r="E754" s="8" t="s">
        <v>85</v>
      </c>
      <c r="F754">
        <v>1</v>
      </c>
      <c r="G754">
        <v>48500</v>
      </c>
      <c r="H754">
        <v>0.05</v>
      </c>
      <c r="I754" s="8" t="s">
        <v>116</v>
      </c>
      <c r="J754" s="8" t="s">
        <v>47</v>
      </c>
      <c r="K754" s="8" t="s">
        <v>67</v>
      </c>
      <c r="L754">
        <v>46075</v>
      </c>
      <c r="M754" s="8" t="s">
        <v>48</v>
      </c>
      <c r="N754">
        <v>46075</v>
      </c>
      <c r="O754" s="8" t="s">
        <v>1701</v>
      </c>
      <c r="P754" s="8" t="s">
        <v>1555</v>
      </c>
      <c r="Q754" s="8" t="s">
        <v>1554</v>
      </c>
      <c r="R754" s="8" t="s">
        <v>82</v>
      </c>
      <c r="S754" s="8" t="s">
        <v>1542</v>
      </c>
      <c r="T754" s="8" t="s">
        <v>1585</v>
      </c>
      <c r="U754" s="8" t="s">
        <v>1586</v>
      </c>
      <c r="V754">
        <v>48500</v>
      </c>
      <c r="W754">
        <v>41200</v>
      </c>
      <c r="X754">
        <v>0</v>
      </c>
      <c r="Y754">
        <v>-41200</v>
      </c>
    </row>
    <row r="755" spans="1:25" x14ac:dyDescent="0.3">
      <c r="A755" s="8" t="s">
        <v>1087</v>
      </c>
      <c r="B755" s="14">
        <v>46195</v>
      </c>
      <c r="C755" s="8" t="s">
        <v>801</v>
      </c>
      <c r="D755" s="8" t="s">
        <v>50</v>
      </c>
      <c r="E755" s="8" t="s">
        <v>85</v>
      </c>
      <c r="F755">
        <v>2</v>
      </c>
      <c r="G755">
        <v>48500</v>
      </c>
      <c r="H755">
        <v>0.2</v>
      </c>
      <c r="I755" s="8" t="s">
        <v>17</v>
      </c>
      <c r="J755" s="8" t="s">
        <v>47</v>
      </c>
      <c r="K755" s="8" t="s">
        <v>55</v>
      </c>
      <c r="L755">
        <v>77600</v>
      </c>
      <c r="M755" s="8" t="s">
        <v>42</v>
      </c>
      <c r="N755">
        <v>77600</v>
      </c>
      <c r="O755" s="8" t="s">
        <v>1701</v>
      </c>
      <c r="P755" s="8" t="s">
        <v>1544</v>
      </c>
      <c r="Q755" s="8" t="s">
        <v>1541</v>
      </c>
      <c r="R755" s="8" t="s">
        <v>26</v>
      </c>
      <c r="S755" s="8" t="s">
        <v>1542</v>
      </c>
      <c r="T755" s="8" t="s">
        <v>1585</v>
      </c>
      <c r="U755" s="8" t="s">
        <v>1586</v>
      </c>
      <c r="V755">
        <v>48500</v>
      </c>
      <c r="W755">
        <v>41200</v>
      </c>
      <c r="X755">
        <v>77600</v>
      </c>
      <c r="Y755">
        <v>-4800</v>
      </c>
    </row>
    <row r="756" spans="1:25" x14ac:dyDescent="0.3">
      <c r="A756" s="8" t="s">
        <v>1088</v>
      </c>
      <c r="B756" s="14">
        <v>46060</v>
      </c>
      <c r="C756" s="8" t="s">
        <v>269</v>
      </c>
      <c r="D756" s="8" t="s">
        <v>123</v>
      </c>
      <c r="E756" s="8" t="s">
        <v>161</v>
      </c>
      <c r="F756">
        <v>4</v>
      </c>
      <c r="G756">
        <v>2730</v>
      </c>
      <c r="H756">
        <v>0</v>
      </c>
      <c r="I756" s="8" t="s">
        <v>17</v>
      </c>
      <c r="J756" s="8" t="s">
        <v>18</v>
      </c>
      <c r="K756" s="8" t="s">
        <v>41</v>
      </c>
      <c r="L756">
        <v>10920</v>
      </c>
      <c r="M756" s="8" t="s">
        <v>56</v>
      </c>
      <c r="N756">
        <v>10920</v>
      </c>
      <c r="O756" s="8" t="s">
        <v>1701</v>
      </c>
      <c r="P756" s="8" t="s">
        <v>1558</v>
      </c>
      <c r="Q756" s="8" t="s">
        <v>1559</v>
      </c>
      <c r="R756" s="8" t="s">
        <v>138</v>
      </c>
      <c r="S756" s="8" t="s">
        <v>1542</v>
      </c>
      <c r="T756" s="8" t="s">
        <v>1578</v>
      </c>
      <c r="U756" s="8" t="s">
        <v>1571</v>
      </c>
      <c r="V756">
        <v>2600</v>
      </c>
      <c r="W756">
        <v>1750</v>
      </c>
      <c r="X756">
        <v>10920</v>
      </c>
      <c r="Y756">
        <v>3920</v>
      </c>
    </row>
    <row r="757" spans="1:25" x14ac:dyDescent="0.3">
      <c r="A757" s="8" t="s">
        <v>1089</v>
      </c>
      <c r="B757" s="14">
        <v>46042</v>
      </c>
      <c r="C757" s="8" t="s">
        <v>79</v>
      </c>
      <c r="D757" s="8" t="s">
        <v>35</v>
      </c>
      <c r="E757" s="8" t="s">
        <v>74</v>
      </c>
      <c r="F757">
        <v>2</v>
      </c>
      <c r="G757">
        <v>2520</v>
      </c>
      <c r="H757">
        <v>0.15</v>
      </c>
      <c r="I757" s="8" t="s">
        <v>17</v>
      </c>
      <c r="J757" s="8" t="s">
        <v>18</v>
      </c>
      <c r="K757" s="8" t="s">
        <v>55</v>
      </c>
      <c r="L757">
        <v>4284</v>
      </c>
      <c r="M757" s="8" t="s">
        <v>1702</v>
      </c>
      <c r="N757">
        <v>4284</v>
      </c>
      <c r="O757" s="8" t="s">
        <v>1701</v>
      </c>
      <c r="P757" s="8" t="s">
        <v>1548</v>
      </c>
      <c r="Q757" s="8" t="s">
        <v>1549</v>
      </c>
      <c r="R757" s="8" t="s">
        <v>42</v>
      </c>
      <c r="S757" s="8" t="s">
        <v>1542</v>
      </c>
      <c r="T757" s="8" t="s">
        <v>1584</v>
      </c>
      <c r="U757" s="8" t="s">
        <v>1583</v>
      </c>
      <c r="V757">
        <v>2400</v>
      </c>
      <c r="W757">
        <v>1480</v>
      </c>
      <c r="X757">
        <v>4284</v>
      </c>
      <c r="Y757">
        <v>1324</v>
      </c>
    </row>
    <row r="758" spans="1:25" x14ac:dyDescent="0.3">
      <c r="A758" s="8" t="s">
        <v>1090</v>
      </c>
      <c r="B758" s="14">
        <v>46199</v>
      </c>
      <c r="C758" s="8" t="s">
        <v>317</v>
      </c>
      <c r="D758" s="8" t="s">
        <v>77</v>
      </c>
      <c r="E758" s="8" t="s">
        <v>46</v>
      </c>
      <c r="F758">
        <v>4</v>
      </c>
      <c r="G758">
        <v>7800</v>
      </c>
      <c r="H758">
        <v>0.1</v>
      </c>
      <c r="I758" s="8" t="s">
        <v>17</v>
      </c>
      <c r="J758" s="8" t="s">
        <v>71</v>
      </c>
      <c r="K758" s="8" t="s">
        <v>55</v>
      </c>
      <c r="L758">
        <v>28080</v>
      </c>
      <c r="M758" s="8" t="s">
        <v>56</v>
      </c>
      <c r="N758">
        <v>28080</v>
      </c>
      <c r="O758" s="8" t="s">
        <v>1701</v>
      </c>
      <c r="P758" s="8" t="s">
        <v>1564</v>
      </c>
      <c r="Q758" s="8" t="s">
        <v>1563</v>
      </c>
      <c r="R758" s="8" t="s">
        <v>1565</v>
      </c>
      <c r="S758" s="8" t="s">
        <v>1542</v>
      </c>
      <c r="T758" s="8" t="s">
        <v>1579</v>
      </c>
      <c r="U758" s="8" t="s">
        <v>1580</v>
      </c>
      <c r="V758">
        <v>7800</v>
      </c>
      <c r="W758">
        <v>5200</v>
      </c>
      <c r="X758">
        <v>28080</v>
      </c>
      <c r="Y758">
        <v>7280</v>
      </c>
    </row>
    <row r="759" spans="1:25" x14ac:dyDescent="0.3">
      <c r="A759" s="8" t="s">
        <v>1091</v>
      </c>
      <c r="B759" s="14">
        <v>46056</v>
      </c>
      <c r="C759" s="8" t="s">
        <v>399</v>
      </c>
      <c r="D759" s="8" t="s">
        <v>123</v>
      </c>
      <c r="E759" s="8" t="s">
        <v>51</v>
      </c>
      <c r="F759">
        <v>5</v>
      </c>
      <c r="G759">
        <v>19425</v>
      </c>
      <c r="H759">
        <v>0</v>
      </c>
      <c r="I759" s="8" t="s">
        <v>17</v>
      </c>
      <c r="J759" s="8" t="s">
        <v>31</v>
      </c>
      <c r="K759" s="8" t="s">
        <v>41</v>
      </c>
      <c r="L759">
        <v>97125</v>
      </c>
      <c r="M759" s="8" t="s">
        <v>82</v>
      </c>
      <c r="N759">
        <v>97125</v>
      </c>
      <c r="O759" s="8" t="s">
        <v>1701</v>
      </c>
      <c r="P759" s="8" t="s">
        <v>1558</v>
      </c>
      <c r="Q759" s="8" t="s">
        <v>1559</v>
      </c>
      <c r="R759" s="8" t="s">
        <v>138</v>
      </c>
      <c r="S759" s="8" t="s">
        <v>1542</v>
      </c>
      <c r="T759" s="8" t="s">
        <v>1581</v>
      </c>
      <c r="U759" s="8" t="s">
        <v>1580</v>
      </c>
      <c r="V759">
        <v>18500</v>
      </c>
      <c r="W759">
        <v>13900</v>
      </c>
      <c r="X759">
        <v>97125</v>
      </c>
      <c r="Y759">
        <v>27625</v>
      </c>
    </row>
    <row r="760" spans="1:25" x14ac:dyDescent="0.3">
      <c r="A760" s="8" t="s">
        <v>1092</v>
      </c>
      <c r="B760" s="14">
        <v>46117</v>
      </c>
      <c r="C760" s="8" t="s">
        <v>39</v>
      </c>
      <c r="D760" s="8" t="s">
        <v>77</v>
      </c>
      <c r="E760" s="8" t="s">
        <v>63</v>
      </c>
      <c r="F760">
        <v>3</v>
      </c>
      <c r="G760">
        <v>2200</v>
      </c>
      <c r="H760">
        <v>0.1</v>
      </c>
      <c r="I760" s="8" t="s">
        <v>17</v>
      </c>
      <c r="J760" s="8" t="s">
        <v>31</v>
      </c>
      <c r="K760" s="8" t="s">
        <v>25</v>
      </c>
      <c r="L760">
        <v>5940</v>
      </c>
      <c r="M760" s="8" t="s">
        <v>59</v>
      </c>
      <c r="N760">
        <v>5940</v>
      </c>
      <c r="O760" s="8" t="s">
        <v>1701</v>
      </c>
      <c r="P760" s="8" t="s">
        <v>1564</v>
      </c>
      <c r="Q760" s="8" t="s">
        <v>1563</v>
      </c>
      <c r="R760" s="8" t="s">
        <v>1565</v>
      </c>
      <c r="S760" s="8" t="s">
        <v>1542</v>
      </c>
      <c r="T760" s="8" t="s">
        <v>1572</v>
      </c>
      <c r="U760" s="8" t="s">
        <v>1571</v>
      </c>
      <c r="V760">
        <v>2200</v>
      </c>
      <c r="W760">
        <v>1450</v>
      </c>
      <c r="X760">
        <v>5940</v>
      </c>
      <c r="Y760">
        <v>1590</v>
      </c>
    </row>
    <row r="761" spans="1:25" x14ac:dyDescent="0.3">
      <c r="A761" s="8" t="s">
        <v>1093</v>
      </c>
      <c r="B761" s="14">
        <v>46053</v>
      </c>
      <c r="C761" s="8" t="s">
        <v>475</v>
      </c>
      <c r="D761" s="8" t="s">
        <v>35</v>
      </c>
      <c r="E761" s="8" t="s">
        <v>135</v>
      </c>
      <c r="F761">
        <v>10</v>
      </c>
      <c r="G761">
        <v>15960</v>
      </c>
      <c r="H761">
        <v>0.05</v>
      </c>
      <c r="I761" s="8" t="s">
        <v>17</v>
      </c>
      <c r="J761" s="8" t="s">
        <v>71</v>
      </c>
      <c r="K761" s="8" t="s">
        <v>25</v>
      </c>
      <c r="L761">
        <v>151620</v>
      </c>
      <c r="M761" s="8" t="s">
        <v>32</v>
      </c>
      <c r="N761">
        <v>151620</v>
      </c>
      <c r="O761" s="8" t="s">
        <v>1701</v>
      </c>
      <c r="P761" s="8" t="s">
        <v>1548</v>
      </c>
      <c r="Q761" s="8" t="s">
        <v>1549</v>
      </c>
      <c r="R761" s="8" t="s">
        <v>42</v>
      </c>
      <c r="S761" s="8" t="s">
        <v>1542</v>
      </c>
      <c r="T761" s="8" t="s">
        <v>1576</v>
      </c>
      <c r="U761" s="8" t="s">
        <v>1575</v>
      </c>
      <c r="V761">
        <v>16800</v>
      </c>
      <c r="W761">
        <v>12600</v>
      </c>
      <c r="X761">
        <v>151620</v>
      </c>
      <c r="Y761">
        <v>25620</v>
      </c>
    </row>
    <row r="762" spans="1:25" x14ac:dyDescent="0.3">
      <c r="A762" s="8" t="s">
        <v>1094</v>
      </c>
      <c r="B762" s="14">
        <v>46035</v>
      </c>
      <c r="C762" s="8" t="s">
        <v>120</v>
      </c>
      <c r="D762" s="8" t="s">
        <v>77</v>
      </c>
      <c r="E762" s="8" t="s">
        <v>135</v>
      </c>
      <c r="F762">
        <v>5</v>
      </c>
      <c r="G762">
        <v>17640</v>
      </c>
      <c r="H762">
        <v>0</v>
      </c>
      <c r="I762" s="8" t="s">
        <v>17</v>
      </c>
      <c r="J762" s="8" t="s">
        <v>31</v>
      </c>
      <c r="K762" s="8" t="s">
        <v>25</v>
      </c>
      <c r="L762">
        <v>88200</v>
      </c>
      <c r="M762" s="8" t="s">
        <v>138</v>
      </c>
      <c r="N762">
        <v>88200</v>
      </c>
      <c r="O762" s="8" t="s">
        <v>1701</v>
      </c>
      <c r="P762" s="8" t="s">
        <v>1564</v>
      </c>
      <c r="Q762" s="8" t="s">
        <v>1563</v>
      </c>
      <c r="R762" s="8" t="s">
        <v>1565</v>
      </c>
      <c r="S762" s="8" t="s">
        <v>1542</v>
      </c>
      <c r="T762" s="8" t="s">
        <v>1576</v>
      </c>
      <c r="U762" s="8" t="s">
        <v>1575</v>
      </c>
      <c r="V762">
        <v>16800</v>
      </c>
      <c r="W762">
        <v>12600</v>
      </c>
      <c r="X762">
        <v>88200</v>
      </c>
      <c r="Y762">
        <v>25200</v>
      </c>
    </row>
    <row r="763" spans="1:25" x14ac:dyDescent="0.3">
      <c r="A763" s="8" t="s">
        <v>1095</v>
      </c>
      <c r="B763" s="14">
        <v>46040</v>
      </c>
      <c r="C763" s="8" t="s">
        <v>28</v>
      </c>
      <c r="D763" s="8" t="s">
        <v>90</v>
      </c>
      <c r="E763" s="8" t="s">
        <v>16</v>
      </c>
      <c r="F763">
        <v>2</v>
      </c>
      <c r="G763">
        <v>682.5</v>
      </c>
      <c r="H763">
        <v>0.15</v>
      </c>
      <c r="I763" s="8" t="s">
        <v>17</v>
      </c>
      <c r="J763" s="8" t="s">
        <v>18</v>
      </c>
      <c r="K763" s="8" t="s">
        <v>55</v>
      </c>
      <c r="L763">
        <v>1160.25</v>
      </c>
      <c r="M763" s="8" t="s">
        <v>48</v>
      </c>
      <c r="N763">
        <v>1160.25</v>
      </c>
      <c r="O763" s="8" t="s">
        <v>1701</v>
      </c>
      <c r="P763" s="8" t="s">
        <v>1562</v>
      </c>
      <c r="Q763" s="8" t="s">
        <v>1563</v>
      </c>
      <c r="R763" s="8" t="s">
        <v>48</v>
      </c>
      <c r="S763" s="8" t="s">
        <v>1542</v>
      </c>
      <c r="T763" s="8" t="s">
        <v>1570</v>
      </c>
      <c r="U763" s="8" t="s">
        <v>1571</v>
      </c>
      <c r="V763">
        <v>650</v>
      </c>
      <c r="W763">
        <v>390</v>
      </c>
      <c r="X763">
        <v>1160.25</v>
      </c>
      <c r="Y763">
        <v>380.25</v>
      </c>
    </row>
    <row r="764" spans="1:25" x14ac:dyDescent="0.3">
      <c r="A764" s="8" t="s">
        <v>1096</v>
      </c>
      <c r="B764" s="14">
        <v>46056</v>
      </c>
      <c r="C764" s="8" t="s">
        <v>709</v>
      </c>
      <c r="D764" s="8" t="s">
        <v>29</v>
      </c>
      <c r="E764" s="8" t="s">
        <v>30</v>
      </c>
      <c r="F764">
        <v>2</v>
      </c>
      <c r="G764">
        <v>1890</v>
      </c>
      <c r="H764">
        <v>0.1</v>
      </c>
      <c r="I764" s="8" t="s">
        <v>17</v>
      </c>
      <c r="J764" s="8" t="s">
        <v>47</v>
      </c>
      <c r="K764" s="8" t="s">
        <v>1698</v>
      </c>
      <c r="L764">
        <v>3402</v>
      </c>
      <c r="M764" s="8" t="s">
        <v>48</v>
      </c>
      <c r="N764">
        <v>3402</v>
      </c>
      <c r="O764" s="8" t="s">
        <v>1701</v>
      </c>
      <c r="P764" s="8" t="s">
        <v>1560</v>
      </c>
      <c r="Q764" s="8" t="s">
        <v>1559</v>
      </c>
      <c r="R764" s="8" t="s">
        <v>1561</v>
      </c>
      <c r="S764" s="8" t="s">
        <v>1542</v>
      </c>
      <c r="T764" s="8" t="s">
        <v>1573</v>
      </c>
      <c r="U764" s="8" t="s">
        <v>1571</v>
      </c>
      <c r="V764">
        <v>1800</v>
      </c>
      <c r="W764">
        <v>1120</v>
      </c>
      <c r="X764">
        <v>3402</v>
      </c>
      <c r="Y764">
        <v>1162</v>
      </c>
    </row>
    <row r="765" spans="1:25" x14ac:dyDescent="0.3">
      <c r="A765" s="8" t="s">
        <v>1097</v>
      </c>
      <c r="B765" s="14">
        <v>46193</v>
      </c>
      <c r="C765" s="8" t="s">
        <v>97</v>
      </c>
      <c r="D765" s="8" t="s">
        <v>40</v>
      </c>
      <c r="E765" s="8" t="s">
        <v>161</v>
      </c>
      <c r="F765">
        <v>2</v>
      </c>
      <c r="G765">
        <v>2470</v>
      </c>
      <c r="H765">
        <v>0.1</v>
      </c>
      <c r="I765" s="8" t="s">
        <v>17</v>
      </c>
      <c r="J765" s="8" t="s">
        <v>47</v>
      </c>
      <c r="K765" s="8" t="s">
        <v>1698</v>
      </c>
      <c r="L765">
        <v>4446</v>
      </c>
      <c r="M765" s="8" t="s">
        <v>59</v>
      </c>
      <c r="N765">
        <v>4446</v>
      </c>
      <c r="O765" s="8" t="s">
        <v>1701</v>
      </c>
      <c r="P765" s="8" t="s">
        <v>1555</v>
      </c>
      <c r="Q765" s="8" t="s">
        <v>1554</v>
      </c>
      <c r="R765" s="8" t="s">
        <v>82</v>
      </c>
      <c r="S765" s="8" t="s">
        <v>1542</v>
      </c>
      <c r="T765" s="8" t="s">
        <v>1578</v>
      </c>
      <c r="U765" s="8" t="s">
        <v>1571</v>
      </c>
      <c r="V765">
        <v>2600</v>
      </c>
      <c r="W765">
        <v>1750</v>
      </c>
      <c r="X765">
        <v>4446</v>
      </c>
      <c r="Y765">
        <v>946</v>
      </c>
    </row>
    <row r="766" spans="1:25" x14ac:dyDescent="0.3">
      <c r="A766" s="8" t="s">
        <v>1098</v>
      </c>
      <c r="B766" s="14">
        <v>46029</v>
      </c>
      <c r="C766" s="8" t="s">
        <v>480</v>
      </c>
      <c r="D766" s="8" t="s">
        <v>40</v>
      </c>
      <c r="E766" s="8" t="s">
        <v>74</v>
      </c>
      <c r="F766">
        <v>4</v>
      </c>
      <c r="G766">
        <v>2280</v>
      </c>
      <c r="H766">
        <v>0.2</v>
      </c>
      <c r="I766" s="8" t="s">
        <v>17</v>
      </c>
      <c r="J766" s="8" t="s">
        <v>71</v>
      </c>
      <c r="K766" s="8" t="s">
        <v>25</v>
      </c>
      <c r="L766">
        <v>7296</v>
      </c>
      <c r="M766" s="8" t="s">
        <v>82</v>
      </c>
      <c r="N766">
        <v>7296</v>
      </c>
      <c r="O766" s="8" t="s">
        <v>1701</v>
      </c>
      <c r="P766" s="8" t="s">
        <v>1555</v>
      </c>
      <c r="Q766" s="8" t="s">
        <v>1554</v>
      </c>
      <c r="R766" s="8" t="s">
        <v>82</v>
      </c>
      <c r="S766" s="8" t="s">
        <v>1542</v>
      </c>
      <c r="T766" s="8" t="s">
        <v>1584</v>
      </c>
      <c r="U766" s="8" t="s">
        <v>1583</v>
      </c>
      <c r="V766">
        <v>2400</v>
      </c>
      <c r="W766">
        <v>1480</v>
      </c>
      <c r="X766">
        <v>7296</v>
      </c>
      <c r="Y766">
        <v>1376</v>
      </c>
    </row>
    <row r="767" spans="1:25" x14ac:dyDescent="0.3">
      <c r="A767" s="8" t="s">
        <v>1099</v>
      </c>
      <c r="B767" s="14">
        <v>46170</v>
      </c>
      <c r="C767" s="8" t="s">
        <v>376</v>
      </c>
      <c r="D767" s="8" t="s">
        <v>29</v>
      </c>
      <c r="E767" s="8" t="s">
        <v>16</v>
      </c>
      <c r="F767">
        <v>8</v>
      </c>
      <c r="G767">
        <v>682.5</v>
      </c>
      <c r="H767">
        <v>0.15</v>
      </c>
      <c r="I767" s="8" t="s">
        <v>17</v>
      </c>
      <c r="J767" s="8" t="s">
        <v>31</v>
      </c>
      <c r="K767" s="8" t="s">
        <v>1698</v>
      </c>
      <c r="L767">
        <v>4641</v>
      </c>
      <c r="M767" s="8" t="s">
        <v>82</v>
      </c>
      <c r="N767">
        <v>4641</v>
      </c>
      <c r="O767" s="8" t="s">
        <v>1701</v>
      </c>
      <c r="P767" s="8" t="s">
        <v>1560</v>
      </c>
      <c r="Q767" s="8" t="s">
        <v>1559</v>
      </c>
      <c r="R767" s="8" t="s">
        <v>1561</v>
      </c>
      <c r="S767" s="8" t="s">
        <v>1542</v>
      </c>
      <c r="T767" s="8" t="s">
        <v>1570</v>
      </c>
      <c r="U767" s="8" t="s">
        <v>1571</v>
      </c>
      <c r="V767">
        <v>650</v>
      </c>
      <c r="W767">
        <v>390</v>
      </c>
      <c r="X767">
        <v>4641</v>
      </c>
      <c r="Y767">
        <v>1521</v>
      </c>
    </row>
    <row r="768" spans="1:25" x14ac:dyDescent="0.3">
      <c r="A768" s="8" t="s">
        <v>1100</v>
      </c>
      <c r="B768" s="14">
        <v>46069</v>
      </c>
      <c r="C768" s="8" t="s">
        <v>480</v>
      </c>
      <c r="D768" s="8" t="s">
        <v>168</v>
      </c>
      <c r="E768" s="8" t="s">
        <v>135</v>
      </c>
      <c r="F768">
        <v>4</v>
      </c>
      <c r="G768">
        <v>17640</v>
      </c>
      <c r="H768">
        <v>0</v>
      </c>
      <c r="I768" s="8" t="s">
        <v>17</v>
      </c>
      <c r="J768" s="8" t="s">
        <v>47</v>
      </c>
      <c r="K768" s="8" t="s">
        <v>55</v>
      </c>
      <c r="L768">
        <v>70560</v>
      </c>
      <c r="M768" s="8" t="s">
        <v>48</v>
      </c>
      <c r="N768">
        <v>70560</v>
      </c>
      <c r="O768" s="8" t="s">
        <v>1701</v>
      </c>
      <c r="P768" s="8" t="s">
        <v>1540</v>
      </c>
      <c r="Q768" s="8" t="s">
        <v>1541</v>
      </c>
      <c r="R768" s="8" t="s">
        <v>20</v>
      </c>
      <c r="S768" s="8" t="s">
        <v>1542</v>
      </c>
      <c r="T768" s="8" t="s">
        <v>1576</v>
      </c>
      <c r="U768" s="8" t="s">
        <v>1575</v>
      </c>
      <c r="V768">
        <v>16800</v>
      </c>
      <c r="W768">
        <v>12600</v>
      </c>
      <c r="X768">
        <v>70560</v>
      </c>
      <c r="Y768">
        <v>20160</v>
      </c>
    </row>
    <row r="769" spans="1:25" x14ac:dyDescent="0.3">
      <c r="A769" s="8" t="s">
        <v>1101</v>
      </c>
      <c r="B769" s="14">
        <v>46034</v>
      </c>
      <c r="C769" s="8" t="s">
        <v>258</v>
      </c>
      <c r="D769" s="8" t="s">
        <v>62</v>
      </c>
      <c r="E769" s="8" t="s">
        <v>16</v>
      </c>
      <c r="F769">
        <v>2</v>
      </c>
      <c r="G769">
        <v>650</v>
      </c>
      <c r="H769">
        <v>0</v>
      </c>
      <c r="I769" s="8" t="s">
        <v>17</v>
      </c>
      <c r="J769" s="8" t="s">
        <v>47</v>
      </c>
      <c r="K769" s="8" t="s">
        <v>1698</v>
      </c>
      <c r="L769">
        <v>1300</v>
      </c>
      <c r="M769" s="8" t="s">
        <v>42</v>
      </c>
      <c r="N769">
        <v>1300</v>
      </c>
      <c r="O769" s="8" t="s">
        <v>1701</v>
      </c>
      <c r="P769" s="8" t="s">
        <v>1551</v>
      </c>
      <c r="Q769" s="8" t="s">
        <v>1549</v>
      </c>
      <c r="R769" s="8" t="s">
        <v>1552</v>
      </c>
      <c r="S769" s="8" t="s">
        <v>1542</v>
      </c>
      <c r="T769" s="8" t="s">
        <v>1570</v>
      </c>
      <c r="U769" s="8" t="s">
        <v>1571</v>
      </c>
      <c r="V769">
        <v>650</v>
      </c>
      <c r="W769">
        <v>390</v>
      </c>
      <c r="X769">
        <v>1300</v>
      </c>
      <c r="Y769">
        <v>520</v>
      </c>
    </row>
    <row r="770" spans="1:25" x14ac:dyDescent="0.3">
      <c r="A770" s="8" t="s">
        <v>1102</v>
      </c>
      <c r="B770" s="14">
        <v>46048</v>
      </c>
      <c r="C770" s="8" t="s">
        <v>181</v>
      </c>
      <c r="D770" s="8" t="s">
        <v>152</v>
      </c>
      <c r="E770" s="8" t="s">
        <v>30</v>
      </c>
      <c r="F770">
        <v>1</v>
      </c>
      <c r="G770">
        <v>1710</v>
      </c>
      <c r="H770">
        <v>0</v>
      </c>
      <c r="I770" s="8" t="s">
        <v>17</v>
      </c>
      <c r="J770" s="8" t="s">
        <v>47</v>
      </c>
      <c r="K770" s="8" t="s">
        <v>55</v>
      </c>
      <c r="L770">
        <v>1710</v>
      </c>
      <c r="M770" s="8" t="s">
        <v>59</v>
      </c>
      <c r="N770">
        <v>1710</v>
      </c>
      <c r="O770" s="8" t="s">
        <v>1701</v>
      </c>
      <c r="P770" s="8" t="s">
        <v>1553</v>
      </c>
      <c r="Q770" s="8" t="s">
        <v>1554</v>
      </c>
      <c r="R770" s="8" t="s">
        <v>59</v>
      </c>
      <c r="S770" s="8" t="s">
        <v>1542</v>
      </c>
      <c r="T770" s="8" t="s">
        <v>1573</v>
      </c>
      <c r="U770" s="8" t="s">
        <v>1571</v>
      </c>
      <c r="V770">
        <v>1800</v>
      </c>
      <c r="W770">
        <v>1120</v>
      </c>
      <c r="X770">
        <v>1710</v>
      </c>
      <c r="Y770">
        <v>590</v>
      </c>
    </row>
    <row r="771" spans="1:25" x14ac:dyDescent="0.3">
      <c r="A771" s="8" t="s">
        <v>1103</v>
      </c>
      <c r="B771" s="14">
        <v>46038</v>
      </c>
      <c r="C771" s="8" t="s">
        <v>1074</v>
      </c>
      <c r="D771" s="8" t="s">
        <v>40</v>
      </c>
      <c r="E771" s="8" t="s">
        <v>36</v>
      </c>
      <c r="F771">
        <v>1</v>
      </c>
      <c r="G771">
        <v>1470</v>
      </c>
      <c r="H771">
        <v>0.2</v>
      </c>
      <c r="I771" s="8" t="s">
        <v>17</v>
      </c>
      <c r="J771" s="8" t="s">
        <v>47</v>
      </c>
      <c r="K771" s="8" t="s">
        <v>41</v>
      </c>
      <c r="L771">
        <v>1176</v>
      </c>
      <c r="M771" s="8" t="s">
        <v>32</v>
      </c>
      <c r="N771">
        <v>1176</v>
      </c>
      <c r="O771" s="8" t="s">
        <v>1701</v>
      </c>
      <c r="P771" s="8" t="s">
        <v>1555</v>
      </c>
      <c r="Q771" s="8" t="s">
        <v>1554</v>
      </c>
      <c r="R771" s="8" t="s">
        <v>82</v>
      </c>
      <c r="S771" s="8" t="s">
        <v>1542</v>
      </c>
      <c r="T771" s="8" t="s">
        <v>1577</v>
      </c>
      <c r="U771" s="8" t="s">
        <v>1571</v>
      </c>
      <c r="V771">
        <v>1400</v>
      </c>
      <c r="W771">
        <v>780</v>
      </c>
      <c r="X771">
        <v>1176</v>
      </c>
      <c r="Y771">
        <v>396</v>
      </c>
    </row>
    <row r="772" spans="1:25" x14ac:dyDescent="0.3">
      <c r="A772" s="8" t="s">
        <v>1104</v>
      </c>
      <c r="B772" s="14">
        <v>46105</v>
      </c>
      <c r="C772" s="8" t="s">
        <v>127</v>
      </c>
      <c r="D772" s="8" t="s">
        <v>45</v>
      </c>
      <c r="E772" s="8" t="s">
        <v>161</v>
      </c>
      <c r="F772">
        <v>8</v>
      </c>
      <c r="G772">
        <v>2600</v>
      </c>
      <c r="H772">
        <v>0</v>
      </c>
      <c r="I772" s="8" t="s">
        <v>17</v>
      </c>
      <c r="J772" s="8" t="s">
        <v>18</v>
      </c>
      <c r="K772" s="8" t="s">
        <v>25</v>
      </c>
      <c r="L772">
        <v>20800</v>
      </c>
      <c r="M772" s="8" t="s">
        <v>82</v>
      </c>
      <c r="N772">
        <v>20800</v>
      </c>
      <c r="O772" s="8" t="s">
        <v>1701</v>
      </c>
      <c r="P772" s="8" t="s">
        <v>1547</v>
      </c>
      <c r="Q772" s="8" t="s">
        <v>1541</v>
      </c>
      <c r="R772" s="8" t="s">
        <v>56</v>
      </c>
      <c r="S772" s="8" t="s">
        <v>1542</v>
      </c>
      <c r="T772" s="8" t="s">
        <v>1578</v>
      </c>
      <c r="U772" s="8" t="s">
        <v>1571</v>
      </c>
      <c r="V772">
        <v>2600</v>
      </c>
      <c r="W772">
        <v>1750</v>
      </c>
      <c r="X772">
        <v>20800</v>
      </c>
      <c r="Y772">
        <v>6800</v>
      </c>
    </row>
    <row r="773" spans="1:25" x14ac:dyDescent="0.3">
      <c r="A773" s="8" t="s">
        <v>1105</v>
      </c>
      <c r="B773" s="14">
        <v>46121</v>
      </c>
      <c r="C773" s="8" t="s">
        <v>407</v>
      </c>
      <c r="D773" s="8" t="s">
        <v>15</v>
      </c>
      <c r="E773" s="8" t="s">
        <v>135</v>
      </c>
      <c r="F773">
        <v>1</v>
      </c>
      <c r="G773">
        <v>15960</v>
      </c>
      <c r="H773">
        <v>0.1</v>
      </c>
      <c r="I773" s="8" t="s">
        <v>17</v>
      </c>
      <c r="J773" s="8" t="s">
        <v>31</v>
      </c>
      <c r="K773" s="8" t="s">
        <v>55</v>
      </c>
      <c r="L773">
        <v>14364</v>
      </c>
      <c r="M773" s="8" t="s">
        <v>52</v>
      </c>
      <c r="N773">
        <v>14364</v>
      </c>
      <c r="O773" s="8" t="s">
        <v>1701</v>
      </c>
      <c r="P773" s="8" t="s">
        <v>1543</v>
      </c>
      <c r="Q773" s="8" t="s">
        <v>1541</v>
      </c>
      <c r="R773" s="8" t="s">
        <v>52</v>
      </c>
      <c r="S773" s="8" t="s">
        <v>1542</v>
      </c>
      <c r="T773" s="8" t="s">
        <v>1576</v>
      </c>
      <c r="U773" s="8" t="s">
        <v>1575</v>
      </c>
      <c r="V773">
        <v>16800</v>
      </c>
      <c r="W773">
        <v>12600</v>
      </c>
      <c r="X773">
        <v>14364</v>
      </c>
      <c r="Y773">
        <v>1764</v>
      </c>
    </row>
    <row r="774" spans="1:25" x14ac:dyDescent="0.3">
      <c r="A774" s="8" t="s">
        <v>1106</v>
      </c>
      <c r="B774" s="14">
        <v>46027</v>
      </c>
      <c r="C774" s="8" t="s">
        <v>774</v>
      </c>
      <c r="D774" s="8" t="s">
        <v>45</v>
      </c>
      <c r="E774" s="8" t="s">
        <v>51</v>
      </c>
      <c r="F774">
        <v>8</v>
      </c>
      <c r="G774">
        <v>18500</v>
      </c>
      <c r="H774">
        <v>0.2</v>
      </c>
      <c r="I774" s="8" t="s">
        <v>17</v>
      </c>
      <c r="J774" s="8" t="s">
        <v>18</v>
      </c>
      <c r="K774" s="8" t="s">
        <v>55</v>
      </c>
      <c r="L774">
        <v>118400</v>
      </c>
      <c r="M774" s="8" t="s">
        <v>42</v>
      </c>
      <c r="N774">
        <v>118400</v>
      </c>
      <c r="O774" s="8" t="s">
        <v>1701</v>
      </c>
      <c r="P774" s="8" t="s">
        <v>1547</v>
      </c>
      <c r="Q774" s="8" t="s">
        <v>1541</v>
      </c>
      <c r="R774" s="8" t="s">
        <v>56</v>
      </c>
      <c r="S774" s="8" t="s">
        <v>1542</v>
      </c>
      <c r="T774" s="8" t="s">
        <v>1581</v>
      </c>
      <c r="U774" s="8" t="s">
        <v>1580</v>
      </c>
      <c r="V774">
        <v>18500</v>
      </c>
      <c r="W774">
        <v>13900</v>
      </c>
      <c r="X774">
        <v>118400</v>
      </c>
      <c r="Y774">
        <v>7200</v>
      </c>
    </row>
    <row r="775" spans="1:25" x14ac:dyDescent="0.3">
      <c r="A775" s="8" t="s">
        <v>1107</v>
      </c>
      <c r="B775" s="14">
        <v>46185</v>
      </c>
      <c r="C775" s="8" t="s">
        <v>446</v>
      </c>
      <c r="D775" s="8" t="s">
        <v>152</v>
      </c>
      <c r="E775" s="8" t="s">
        <v>24</v>
      </c>
      <c r="F775">
        <v>4</v>
      </c>
      <c r="G775">
        <v>11200</v>
      </c>
      <c r="H775">
        <v>0</v>
      </c>
      <c r="I775" s="8" t="s">
        <v>17</v>
      </c>
      <c r="J775" s="8" t="s">
        <v>18</v>
      </c>
      <c r="K775" s="8" t="s">
        <v>25</v>
      </c>
      <c r="L775">
        <v>44800</v>
      </c>
      <c r="M775" s="8" t="s">
        <v>56</v>
      </c>
      <c r="N775">
        <v>44800</v>
      </c>
      <c r="O775" s="8" t="s">
        <v>1701</v>
      </c>
      <c r="P775" s="8" t="s">
        <v>1553</v>
      </c>
      <c r="Q775" s="8" t="s">
        <v>1554</v>
      </c>
      <c r="R775" s="8" t="s">
        <v>59</v>
      </c>
      <c r="S775" s="8" t="s">
        <v>1542</v>
      </c>
      <c r="T775" s="8" t="s">
        <v>1574</v>
      </c>
      <c r="U775" s="8" t="s">
        <v>1575</v>
      </c>
      <c r="V775">
        <v>11200</v>
      </c>
      <c r="W775">
        <v>8300</v>
      </c>
      <c r="X775">
        <v>44800</v>
      </c>
      <c r="Y775">
        <v>11600</v>
      </c>
    </row>
    <row r="776" spans="1:25" x14ac:dyDescent="0.3">
      <c r="A776" s="8" t="s">
        <v>1108</v>
      </c>
      <c r="B776" s="14">
        <v>46033</v>
      </c>
      <c r="C776" s="8" t="s">
        <v>73</v>
      </c>
      <c r="D776" s="8" t="s">
        <v>168</v>
      </c>
      <c r="E776" s="8" t="s">
        <v>46</v>
      </c>
      <c r="F776">
        <v>8</v>
      </c>
      <c r="G776">
        <v>7800</v>
      </c>
      <c r="H776">
        <v>0.15</v>
      </c>
      <c r="I776" s="8" t="s">
        <v>17</v>
      </c>
      <c r="J776" s="8" t="s">
        <v>31</v>
      </c>
      <c r="K776" s="8" t="s">
        <v>55</v>
      </c>
      <c r="L776">
        <v>53040</v>
      </c>
      <c r="M776" s="8" t="s">
        <v>1702</v>
      </c>
      <c r="N776">
        <v>53040</v>
      </c>
      <c r="O776" s="8" t="s">
        <v>1701</v>
      </c>
      <c r="P776" s="8" t="s">
        <v>1540</v>
      </c>
      <c r="Q776" s="8" t="s">
        <v>1541</v>
      </c>
      <c r="R776" s="8" t="s">
        <v>20</v>
      </c>
      <c r="S776" s="8" t="s">
        <v>1542</v>
      </c>
      <c r="T776" s="8" t="s">
        <v>1579</v>
      </c>
      <c r="U776" s="8" t="s">
        <v>1580</v>
      </c>
      <c r="V776">
        <v>7800</v>
      </c>
      <c r="W776">
        <v>5200</v>
      </c>
      <c r="X776">
        <v>53040</v>
      </c>
      <c r="Y776">
        <v>11440</v>
      </c>
    </row>
    <row r="777" spans="1:25" x14ac:dyDescent="0.3">
      <c r="A777" s="8" t="s">
        <v>1109</v>
      </c>
      <c r="B777" s="14">
        <v>46176</v>
      </c>
      <c r="C777" s="8" t="s">
        <v>554</v>
      </c>
      <c r="D777" s="8" t="s">
        <v>45</v>
      </c>
      <c r="E777" s="8" t="s">
        <v>74</v>
      </c>
      <c r="F777">
        <v>2</v>
      </c>
      <c r="G777">
        <v>2400</v>
      </c>
      <c r="H777">
        <v>0.05</v>
      </c>
      <c r="I777" s="8" t="s">
        <v>66</v>
      </c>
      <c r="J777" s="8" t="s">
        <v>31</v>
      </c>
      <c r="K777" s="8" t="s">
        <v>41</v>
      </c>
      <c r="L777">
        <v>4560</v>
      </c>
      <c r="M777" s="8" t="s">
        <v>82</v>
      </c>
      <c r="N777">
        <v>4560</v>
      </c>
      <c r="O777" s="8" t="s">
        <v>1701</v>
      </c>
      <c r="P777" s="8" t="s">
        <v>1547</v>
      </c>
      <c r="Q777" s="8" t="s">
        <v>1541</v>
      </c>
      <c r="R777" s="8" t="s">
        <v>56</v>
      </c>
      <c r="S777" s="8" t="s">
        <v>1542</v>
      </c>
      <c r="T777" s="8" t="s">
        <v>1584</v>
      </c>
      <c r="U777" s="8" t="s">
        <v>1583</v>
      </c>
      <c r="V777">
        <v>2400</v>
      </c>
      <c r="W777">
        <v>1480</v>
      </c>
      <c r="X777">
        <v>0</v>
      </c>
      <c r="Y777">
        <v>-2960</v>
      </c>
    </row>
    <row r="778" spans="1:25" x14ac:dyDescent="0.3">
      <c r="A778" s="8" t="s">
        <v>1110</v>
      </c>
      <c r="B778" s="14">
        <v>46167</v>
      </c>
      <c r="C778" s="8" t="s">
        <v>559</v>
      </c>
      <c r="D778" s="8" t="s">
        <v>15</v>
      </c>
      <c r="E778" s="8" t="s">
        <v>135</v>
      </c>
      <c r="F778">
        <v>1</v>
      </c>
      <c r="G778">
        <v>16800</v>
      </c>
      <c r="H778">
        <v>0.2</v>
      </c>
      <c r="I778" s="8" t="s">
        <v>17</v>
      </c>
      <c r="J778" s="8" t="s">
        <v>18</v>
      </c>
      <c r="K778" s="8" t="s">
        <v>41</v>
      </c>
      <c r="L778">
        <v>13440</v>
      </c>
      <c r="M778" s="8" t="s">
        <v>48</v>
      </c>
      <c r="N778">
        <v>13440</v>
      </c>
      <c r="O778" s="8" t="s">
        <v>1701</v>
      </c>
      <c r="P778" s="8" t="s">
        <v>1543</v>
      </c>
      <c r="Q778" s="8" t="s">
        <v>1541</v>
      </c>
      <c r="R778" s="8" t="s">
        <v>52</v>
      </c>
      <c r="S778" s="8" t="s">
        <v>1542</v>
      </c>
      <c r="T778" s="8" t="s">
        <v>1576</v>
      </c>
      <c r="U778" s="8" t="s">
        <v>1575</v>
      </c>
      <c r="V778">
        <v>16800</v>
      </c>
      <c r="W778">
        <v>12600</v>
      </c>
      <c r="X778">
        <v>13440</v>
      </c>
      <c r="Y778">
        <v>840</v>
      </c>
    </row>
    <row r="779" spans="1:25" x14ac:dyDescent="0.3">
      <c r="A779" s="8" t="s">
        <v>1111</v>
      </c>
      <c r="B779" s="14">
        <v>46152</v>
      </c>
      <c r="C779" s="8" t="s">
        <v>209</v>
      </c>
      <c r="D779" s="8" t="s">
        <v>29</v>
      </c>
      <c r="E779" s="8" t="s">
        <v>36</v>
      </c>
      <c r="F779">
        <v>5</v>
      </c>
      <c r="G779">
        <v>1470</v>
      </c>
      <c r="H779">
        <v>0.05</v>
      </c>
      <c r="I779" s="8" t="s">
        <v>17</v>
      </c>
      <c r="J779" s="8" t="s">
        <v>71</v>
      </c>
      <c r="K779" s="8" t="s">
        <v>67</v>
      </c>
      <c r="L779">
        <v>6982.5</v>
      </c>
      <c r="M779" s="8" t="s">
        <v>138</v>
      </c>
      <c r="N779">
        <v>6982.5</v>
      </c>
      <c r="O779" s="8" t="s">
        <v>1701</v>
      </c>
      <c r="P779" s="8" t="s">
        <v>1560</v>
      </c>
      <c r="Q779" s="8" t="s">
        <v>1559</v>
      </c>
      <c r="R779" s="8" t="s">
        <v>1561</v>
      </c>
      <c r="S779" s="8" t="s">
        <v>1542</v>
      </c>
      <c r="T779" s="8" t="s">
        <v>1577</v>
      </c>
      <c r="U779" s="8" t="s">
        <v>1571</v>
      </c>
      <c r="V779">
        <v>1400</v>
      </c>
      <c r="W779">
        <v>780</v>
      </c>
      <c r="X779">
        <v>6982.5</v>
      </c>
      <c r="Y779">
        <v>3082.5</v>
      </c>
    </row>
    <row r="780" spans="1:25" x14ac:dyDescent="0.3">
      <c r="A780" s="8" t="s">
        <v>1112</v>
      </c>
      <c r="B780" s="14">
        <v>46076</v>
      </c>
      <c r="C780" s="8" t="s">
        <v>771</v>
      </c>
      <c r="D780" s="8" t="s">
        <v>62</v>
      </c>
      <c r="E780" s="8" t="s">
        <v>183</v>
      </c>
      <c r="F780">
        <v>2</v>
      </c>
      <c r="G780">
        <v>3040</v>
      </c>
      <c r="H780">
        <v>0.2</v>
      </c>
      <c r="I780" s="8" t="s">
        <v>17</v>
      </c>
      <c r="J780" s="8" t="s">
        <v>31</v>
      </c>
      <c r="K780" s="8" t="s">
        <v>1698</v>
      </c>
      <c r="L780">
        <v>4864</v>
      </c>
      <c r="M780" s="8" t="s">
        <v>59</v>
      </c>
      <c r="N780">
        <v>4864</v>
      </c>
      <c r="O780" s="8" t="s">
        <v>1701</v>
      </c>
      <c r="P780" s="8" t="s">
        <v>1551</v>
      </c>
      <c r="Q780" s="8" t="s">
        <v>1549</v>
      </c>
      <c r="R780" s="8" t="s">
        <v>1552</v>
      </c>
      <c r="S780" s="8" t="s">
        <v>1542</v>
      </c>
      <c r="T780" s="8" t="s">
        <v>1582</v>
      </c>
      <c r="U780" s="8" t="s">
        <v>1583</v>
      </c>
      <c r="V780">
        <v>3200</v>
      </c>
      <c r="W780">
        <v>2050</v>
      </c>
      <c r="X780">
        <v>4864</v>
      </c>
      <c r="Y780">
        <v>764</v>
      </c>
    </row>
    <row r="781" spans="1:25" x14ac:dyDescent="0.3">
      <c r="A781" s="8" t="s">
        <v>1113</v>
      </c>
      <c r="B781" s="14">
        <v>46128</v>
      </c>
      <c r="C781" s="8" t="s">
        <v>568</v>
      </c>
      <c r="D781" s="8" t="s">
        <v>152</v>
      </c>
      <c r="E781" s="8" t="s">
        <v>85</v>
      </c>
      <c r="F781">
        <v>3</v>
      </c>
      <c r="G781">
        <v>46075</v>
      </c>
      <c r="H781">
        <v>0.1</v>
      </c>
      <c r="I781" s="8" t="s">
        <v>17</v>
      </c>
      <c r="J781" s="8" t="s">
        <v>18</v>
      </c>
      <c r="K781" s="8" t="s">
        <v>1698</v>
      </c>
      <c r="L781">
        <v>124402.5</v>
      </c>
      <c r="M781" s="8" t="s">
        <v>138</v>
      </c>
      <c r="N781">
        <v>124402.5</v>
      </c>
      <c r="O781" s="8" t="s">
        <v>1701</v>
      </c>
      <c r="P781" s="8" t="s">
        <v>1553</v>
      </c>
      <c r="Q781" s="8" t="s">
        <v>1554</v>
      </c>
      <c r="R781" s="8" t="s">
        <v>59</v>
      </c>
      <c r="S781" s="8" t="s">
        <v>1542</v>
      </c>
      <c r="T781" s="8" t="s">
        <v>1585</v>
      </c>
      <c r="U781" s="8" t="s">
        <v>1586</v>
      </c>
      <c r="V781">
        <v>48500</v>
      </c>
      <c r="W781">
        <v>41200</v>
      </c>
      <c r="X781">
        <v>124402.5</v>
      </c>
      <c r="Y781">
        <v>802.5</v>
      </c>
    </row>
    <row r="782" spans="1:25" x14ac:dyDescent="0.3">
      <c r="A782" s="8" t="s">
        <v>1114</v>
      </c>
      <c r="B782" s="14">
        <v>46119</v>
      </c>
      <c r="C782" s="8" t="s">
        <v>669</v>
      </c>
      <c r="D782" s="8" t="s">
        <v>90</v>
      </c>
      <c r="E782" s="8" t="s">
        <v>183</v>
      </c>
      <c r="F782">
        <v>2</v>
      </c>
      <c r="G782">
        <v>3040</v>
      </c>
      <c r="H782">
        <v>0</v>
      </c>
      <c r="I782" s="8" t="s">
        <v>66</v>
      </c>
      <c r="J782" s="8" t="s">
        <v>18</v>
      </c>
      <c r="K782" s="8" t="s">
        <v>67</v>
      </c>
      <c r="L782">
        <v>6080</v>
      </c>
      <c r="M782" s="8" t="s">
        <v>52</v>
      </c>
      <c r="N782">
        <v>6080</v>
      </c>
      <c r="O782" s="8" t="s">
        <v>1701</v>
      </c>
      <c r="P782" s="8" t="s">
        <v>1562</v>
      </c>
      <c r="Q782" s="8" t="s">
        <v>1563</v>
      </c>
      <c r="R782" s="8" t="s">
        <v>48</v>
      </c>
      <c r="S782" s="8" t="s">
        <v>1542</v>
      </c>
      <c r="T782" s="8" t="s">
        <v>1582</v>
      </c>
      <c r="U782" s="8" t="s">
        <v>1583</v>
      </c>
      <c r="V782">
        <v>3200</v>
      </c>
      <c r="W782">
        <v>2050</v>
      </c>
      <c r="X782">
        <v>0</v>
      </c>
      <c r="Y782">
        <v>-4100</v>
      </c>
    </row>
    <row r="783" spans="1:25" x14ac:dyDescent="0.3">
      <c r="A783" s="8" t="s">
        <v>1115</v>
      </c>
      <c r="B783" s="14">
        <v>46136</v>
      </c>
      <c r="C783" s="8" t="s">
        <v>801</v>
      </c>
      <c r="D783" s="8" t="s">
        <v>168</v>
      </c>
      <c r="E783" s="8" t="s">
        <v>24</v>
      </c>
      <c r="F783">
        <v>4</v>
      </c>
      <c r="G783">
        <v>11200</v>
      </c>
      <c r="H783">
        <v>0.05</v>
      </c>
      <c r="I783" s="8" t="s">
        <v>17</v>
      </c>
      <c r="J783" s="8" t="s">
        <v>31</v>
      </c>
      <c r="K783" s="8" t="s">
        <v>25</v>
      </c>
      <c r="L783">
        <v>42560</v>
      </c>
      <c r="M783" s="8" t="s">
        <v>26</v>
      </c>
      <c r="N783">
        <v>42560</v>
      </c>
      <c r="O783" s="8" t="s">
        <v>1701</v>
      </c>
      <c r="P783" s="8" t="s">
        <v>1540</v>
      </c>
      <c r="Q783" s="8" t="s">
        <v>1541</v>
      </c>
      <c r="R783" s="8" t="s">
        <v>20</v>
      </c>
      <c r="S783" s="8" t="s">
        <v>1542</v>
      </c>
      <c r="T783" s="8" t="s">
        <v>1574</v>
      </c>
      <c r="U783" s="8" t="s">
        <v>1575</v>
      </c>
      <c r="V783">
        <v>11200</v>
      </c>
      <c r="W783">
        <v>8300</v>
      </c>
      <c r="X783">
        <v>42560</v>
      </c>
      <c r="Y783">
        <v>9360</v>
      </c>
    </row>
    <row r="784" spans="1:25" x14ac:dyDescent="0.3">
      <c r="A784" s="8" t="s">
        <v>1116</v>
      </c>
      <c r="B784" s="14">
        <v>46079</v>
      </c>
      <c r="C784" s="8" t="s">
        <v>296</v>
      </c>
      <c r="D784" s="8" t="s">
        <v>23</v>
      </c>
      <c r="E784" s="8" t="s">
        <v>46</v>
      </c>
      <c r="F784">
        <v>8</v>
      </c>
      <c r="G784">
        <v>7800</v>
      </c>
      <c r="H784">
        <v>0</v>
      </c>
      <c r="I784" s="8" t="s">
        <v>17</v>
      </c>
      <c r="J784" s="8" t="s">
        <v>71</v>
      </c>
      <c r="K784" s="8" t="s">
        <v>55</v>
      </c>
      <c r="L784">
        <v>62400</v>
      </c>
      <c r="M784" s="8" t="s">
        <v>42</v>
      </c>
      <c r="N784">
        <v>62400</v>
      </c>
      <c r="O784" s="8" t="s">
        <v>1701</v>
      </c>
      <c r="P784" s="8" t="s">
        <v>1545</v>
      </c>
      <c r="Q784" s="8" t="s">
        <v>1541</v>
      </c>
      <c r="R784" s="8" t="s">
        <v>1546</v>
      </c>
      <c r="S784" s="8" t="s">
        <v>1542</v>
      </c>
      <c r="T784" s="8" t="s">
        <v>1579</v>
      </c>
      <c r="U784" s="8" t="s">
        <v>1580</v>
      </c>
      <c r="V784">
        <v>7800</v>
      </c>
      <c r="W784">
        <v>5200</v>
      </c>
      <c r="X784">
        <v>62400</v>
      </c>
      <c r="Y784">
        <v>20800</v>
      </c>
    </row>
    <row r="785" spans="1:25" x14ac:dyDescent="0.3">
      <c r="A785" s="8" t="s">
        <v>1117</v>
      </c>
      <c r="B785" s="14">
        <v>46094</v>
      </c>
      <c r="C785" s="8" t="s">
        <v>690</v>
      </c>
      <c r="D785" s="8" t="s">
        <v>40</v>
      </c>
      <c r="E785" s="8" t="s">
        <v>51</v>
      </c>
      <c r="F785">
        <v>2</v>
      </c>
      <c r="G785">
        <v>18500</v>
      </c>
      <c r="H785">
        <v>0.15</v>
      </c>
      <c r="I785" s="8" t="s">
        <v>17</v>
      </c>
      <c r="J785" s="8" t="s">
        <v>71</v>
      </c>
      <c r="K785" s="8" t="s">
        <v>1698</v>
      </c>
      <c r="L785">
        <v>31450</v>
      </c>
      <c r="M785" s="8" t="s">
        <v>59</v>
      </c>
      <c r="N785">
        <v>31450</v>
      </c>
      <c r="O785" s="8" t="s">
        <v>1701</v>
      </c>
      <c r="P785" s="8" t="s">
        <v>1555</v>
      </c>
      <c r="Q785" s="8" t="s">
        <v>1554</v>
      </c>
      <c r="R785" s="8" t="s">
        <v>82</v>
      </c>
      <c r="S785" s="8" t="s">
        <v>1542</v>
      </c>
      <c r="T785" s="8" t="s">
        <v>1581</v>
      </c>
      <c r="U785" s="8" t="s">
        <v>1580</v>
      </c>
      <c r="V785">
        <v>18500</v>
      </c>
      <c r="W785">
        <v>13900</v>
      </c>
      <c r="X785">
        <v>31450</v>
      </c>
      <c r="Y785">
        <v>3650</v>
      </c>
    </row>
    <row r="786" spans="1:25" x14ac:dyDescent="0.3">
      <c r="A786" s="8" t="s">
        <v>1118</v>
      </c>
      <c r="B786" s="14">
        <v>46089</v>
      </c>
      <c r="C786" s="8" t="s">
        <v>801</v>
      </c>
      <c r="D786" s="8" t="s">
        <v>77</v>
      </c>
      <c r="E786" s="8" t="s">
        <v>183</v>
      </c>
      <c r="F786">
        <v>5</v>
      </c>
      <c r="G786">
        <v>3200</v>
      </c>
      <c r="H786">
        <v>0.15</v>
      </c>
      <c r="I786" s="8" t="s">
        <v>17</v>
      </c>
      <c r="J786" s="8" t="s">
        <v>31</v>
      </c>
      <c r="K786" s="8" t="s">
        <v>25</v>
      </c>
      <c r="L786">
        <v>13600</v>
      </c>
      <c r="M786" s="8" t="s">
        <v>48</v>
      </c>
      <c r="N786">
        <v>13600</v>
      </c>
      <c r="O786" s="8" t="s">
        <v>1701</v>
      </c>
      <c r="P786" s="8" t="s">
        <v>1564</v>
      </c>
      <c r="Q786" s="8" t="s">
        <v>1563</v>
      </c>
      <c r="R786" s="8" t="s">
        <v>1565</v>
      </c>
      <c r="S786" s="8" t="s">
        <v>1542</v>
      </c>
      <c r="T786" s="8" t="s">
        <v>1582</v>
      </c>
      <c r="U786" s="8" t="s">
        <v>1583</v>
      </c>
      <c r="V786">
        <v>3200</v>
      </c>
      <c r="W786">
        <v>2050</v>
      </c>
      <c r="X786">
        <v>13600</v>
      </c>
      <c r="Y786">
        <v>3350</v>
      </c>
    </row>
    <row r="787" spans="1:25" x14ac:dyDescent="0.3">
      <c r="A787" s="8" t="s">
        <v>1119</v>
      </c>
      <c r="B787" s="14">
        <v>46087</v>
      </c>
      <c r="C787" s="8" t="s">
        <v>271</v>
      </c>
      <c r="D787" s="8" t="s">
        <v>95</v>
      </c>
      <c r="E787" s="8" t="s">
        <v>51</v>
      </c>
      <c r="F787">
        <v>5</v>
      </c>
      <c r="G787">
        <v>17575</v>
      </c>
      <c r="H787">
        <v>0</v>
      </c>
      <c r="I787" s="8" t="s">
        <v>80</v>
      </c>
      <c r="J787" s="8" t="s">
        <v>18</v>
      </c>
      <c r="K787" s="8" t="s">
        <v>55</v>
      </c>
      <c r="L787">
        <v>87875</v>
      </c>
      <c r="M787" s="8" t="s">
        <v>26</v>
      </c>
      <c r="N787">
        <v>87875</v>
      </c>
      <c r="O787" s="8" t="s">
        <v>1701</v>
      </c>
      <c r="P787" s="8" t="s">
        <v>1556</v>
      </c>
      <c r="Q787" s="8" t="s">
        <v>1554</v>
      </c>
      <c r="R787" s="8" t="s">
        <v>1557</v>
      </c>
      <c r="S787" s="8" t="s">
        <v>1542</v>
      </c>
      <c r="T787" s="8" t="s">
        <v>1581</v>
      </c>
      <c r="U787" s="8" t="s">
        <v>1580</v>
      </c>
      <c r="V787">
        <v>18500</v>
      </c>
      <c r="W787">
        <v>13900</v>
      </c>
      <c r="X787">
        <v>0</v>
      </c>
      <c r="Y787">
        <v>-69500</v>
      </c>
    </row>
    <row r="788" spans="1:25" x14ac:dyDescent="0.3">
      <c r="A788" s="8" t="s">
        <v>1120</v>
      </c>
      <c r="B788" s="14">
        <v>46054</v>
      </c>
      <c r="C788" s="8" t="s">
        <v>338</v>
      </c>
      <c r="D788" s="8" t="s">
        <v>95</v>
      </c>
      <c r="E788" s="8" t="s">
        <v>51</v>
      </c>
      <c r="F788">
        <v>2</v>
      </c>
      <c r="G788">
        <v>17575</v>
      </c>
      <c r="H788">
        <v>0.05</v>
      </c>
      <c r="I788" s="8" t="s">
        <v>17</v>
      </c>
      <c r="J788" s="8" t="s">
        <v>31</v>
      </c>
      <c r="K788" s="8" t="s">
        <v>67</v>
      </c>
      <c r="L788">
        <v>33392.5</v>
      </c>
      <c r="M788" s="8" t="s">
        <v>32</v>
      </c>
      <c r="N788">
        <v>33392.5</v>
      </c>
      <c r="O788" s="8" t="s">
        <v>1701</v>
      </c>
      <c r="P788" s="8" t="s">
        <v>1556</v>
      </c>
      <c r="Q788" s="8" t="s">
        <v>1554</v>
      </c>
      <c r="R788" s="8" t="s">
        <v>1557</v>
      </c>
      <c r="S788" s="8" t="s">
        <v>1542</v>
      </c>
      <c r="T788" s="8" t="s">
        <v>1581</v>
      </c>
      <c r="U788" s="8" t="s">
        <v>1580</v>
      </c>
      <c r="V788">
        <v>18500</v>
      </c>
      <c r="W788">
        <v>13900</v>
      </c>
      <c r="X788">
        <v>33392.5</v>
      </c>
      <c r="Y788">
        <v>5592.5</v>
      </c>
    </row>
    <row r="789" spans="1:25" x14ac:dyDescent="0.3">
      <c r="A789" s="8" t="s">
        <v>1121</v>
      </c>
      <c r="B789" s="14">
        <v>46159</v>
      </c>
      <c r="C789" s="8" t="s">
        <v>594</v>
      </c>
      <c r="D789" s="8" t="s">
        <v>62</v>
      </c>
      <c r="E789" s="8" t="s">
        <v>36</v>
      </c>
      <c r="F789">
        <v>1</v>
      </c>
      <c r="G789">
        <v>1330</v>
      </c>
      <c r="H789">
        <v>0</v>
      </c>
      <c r="I789" s="8" t="s">
        <v>17</v>
      </c>
      <c r="J789" s="8" t="s">
        <v>18</v>
      </c>
      <c r="K789" s="8" t="s">
        <v>1698</v>
      </c>
      <c r="L789">
        <v>1330</v>
      </c>
      <c r="M789" s="8" t="s">
        <v>52</v>
      </c>
      <c r="N789">
        <v>1330</v>
      </c>
      <c r="O789" s="8" t="s">
        <v>1701</v>
      </c>
      <c r="P789" s="8" t="s">
        <v>1551</v>
      </c>
      <c r="Q789" s="8" t="s">
        <v>1549</v>
      </c>
      <c r="R789" s="8" t="s">
        <v>1552</v>
      </c>
      <c r="S789" s="8" t="s">
        <v>1542</v>
      </c>
      <c r="T789" s="8" t="s">
        <v>1577</v>
      </c>
      <c r="U789" s="8" t="s">
        <v>1571</v>
      </c>
      <c r="V789">
        <v>1400</v>
      </c>
      <c r="W789">
        <v>780</v>
      </c>
      <c r="X789">
        <v>1330</v>
      </c>
      <c r="Y789">
        <v>550</v>
      </c>
    </row>
    <row r="790" spans="1:25" x14ac:dyDescent="0.3">
      <c r="A790" s="8" t="s">
        <v>1122</v>
      </c>
      <c r="B790" s="14">
        <v>46073</v>
      </c>
      <c r="C790" s="8" t="s">
        <v>457</v>
      </c>
      <c r="D790" s="8" t="s">
        <v>50</v>
      </c>
      <c r="E790" s="8" t="s">
        <v>36</v>
      </c>
      <c r="F790">
        <v>2</v>
      </c>
      <c r="G790">
        <v>1330</v>
      </c>
      <c r="H790">
        <v>0.2</v>
      </c>
      <c r="I790" s="8" t="s">
        <v>17</v>
      </c>
      <c r="J790" s="8" t="s">
        <v>18</v>
      </c>
      <c r="K790" s="8" t="s">
        <v>1698</v>
      </c>
      <c r="L790">
        <v>2128</v>
      </c>
      <c r="M790" s="8" t="s">
        <v>48</v>
      </c>
      <c r="N790">
        <v>2128</v>
      </c>
      <c r="O790" s="8" t="s">
        <v>1701</v>
      </c>
      <c r="P790" s="8" t="s">
        <v>1544</v>
      </c>
      <c r="Q790" s="8" t="s">
        <v>1541</v>
      </c>
      <c r="R790" s="8" t="s">
        <v>26</v>
      </c>
      <c r="S790" s="8" t="s">
        <v>1542</v>
      </c>
      <c r="T790" s="8" t="s">
        <v>1577</v>
      </c>
      <c r="U790" s="8" t="s">
        <v>1571</v>
      </c>
      <c r="V790">
        <v>1400</v>
      </c>
      <c r="W790">
        <v>780</v>
      </c>
      <c r="X790">
        <v>2128</v>
      </c>
      <c r="Y790">
        <v>568</v>
      </c>
    </row>
    <row r="791" spans="1:25" x14ac:dyDescent="0.3">
      <c r="A791" s="8" t="s">
        <v>1123</v>
      </c>
      <c r="B791" s="14">
        <v>46183</v>
      </c>
      <c r="C791" s="8" t="s">
        <v>227</v>
      </c>
      <c r="D791" s="8" t="s">
        <v>77</v>
      </c>
      <c r="E791" s="8" t="s">
        <v>36</v>
      </c>
      <c r="F791">
        <v>4</v>
      </c>
      <c r="G791">
        <v>1400</v>
      </c>
      <c r="H791">
        <v>0</v>
      </c>
      <c r="I791" s="8" t="s">
        <v>17</v>
      </c>
      <c r="J791" s="8" t="s">
        <v>31</v>
      </c>
      <c r="K791" s="8" t="s">
        <v>67</v>
      </c>
      <c r="L791">
        <v>5600</v>
      </c>
      <c r="M791" s="8" t="s">
        <v>82</v>
      </c>
      <c r="N791">
        <v>5600</v>
      </c>
      <c r="O791" s="8" t="s">
        <v>1701</v>
      </c>
      <c r="P791" s="8" t="s">
        <v>1564</v>
      </c>
      <c r="Q791" s="8" t="s">
        <v>1563</v>
      </c>
      <c r="R791" s="8" t="s">
        <v>1565</v>
      </c>
      <c r="S791" s="8" t="s">
        <v>1542</v>
      </c>
      <c r="T791" s="8" t="s">
        <v>1577</v>
      </c>
      <c r="U791" s="8" t="s">
        <v>1571</v>
      </c>
      <c r="V791">
        <v>1400</v>
      </c>
      <c r="W791">
        <v>780</v>
      </c>
      <c r="X791">
        <v>5600</v>
      </c>
      <c r="Y791">
        <v>2480</v>
      </c>
    </row>
    <row r="792" spans="1:25" x14ac:dyDescent="0.3">
      <c r="A792" s="8" t="s">
        <v>1124</v>
      </c>
      <c r="B792" s="14">
        <v>46083</v>
      </c>
      <c r="C792" s="8" t="s">
        <v>480</v>
      </c>
      <c r="D792" s="8" t="s">
        <v>15</v>
      </c>
      <c r="E792" s="8" t="s">
        <v>183</v>
      </c>
      <c r="F792">
        <v>3</v>
      </c>
      <c r="G792">
        <v>3040</v>
      </c>
      <c r="H792">
        <v>0</v>
      </c>
      <c r="I792" s="8" t="s">
        <v>17</v>
      </c>
      <c r="J792" s="8" t="s">
        <v>31</v>
      </c>
      <c r="K792" s="8" t="s">
        <v>1698</v>
      </c>
      <c r="L792">
        <v>9120</v>
      </c>
      <c r="M792" s="8" t="s">
        <v>32</v>
      </c>
      <c r="N792">
        <v>9120</v>
      </c>
      <c r="O792" s="8" t="s">
        <v>1701</v>
      </c>
      <c r="P792" s="8" t="s">
        <v>1543</v>
      </c>
      <c r="Q792" s="8" t="s">
        <v>1541</v>
      </c>
      <c r="R792" s="8" t="s">
        <v>52</v>
      </c>
      <c r="S792" s="8" t="s">
        <v>1542</v>
      </c>
      <c r="T792" s="8" t="s">
        <v>1582</v>
      </c>
      <c r="U792" s="8" t="s">
        <v>1583</v>
      </c>
      <c r="V792">
        <v>3200</v>
      </c>
      <c r="W792">
        <v>2050</v>
      </c>
      <c r="X792">
        <v>9120</v>
      </c>
      <c r="Y792">
        <v>2970</v>
      </c>
    </row>
    <row r="793" spans="1:25" x14ac:dyDescent="0.3">
      <c r="A793" s="8" t="s">
        <v>1125</v>
      </c>
      <c r="B793" s="14">
        <v>46103</v>
      </c>
      <c r="C793" s="8" t="s">
        <v>720</v>
      </c>
      <c r="D793" s="8" t="s">
        <v>77</v>
      </c>
      <c r="E793" s="8" t="s">
        <v>85</v>
      </c>
      <c r="F793">
        <v>1</v>
      </c>
      <c r="G793">
        <v>50925</v>
      </c>
      <c r="H793">
        <v>0</v>
      </c>
      <c r="I793" s="8" t="s">
        <v>17</v>
      </c>
      <c r="J793" s="8" t="s">
        <v>47</v>
      </c>
      <c r="K793" s="8" t="s">
        <v>25</v>
      </c>
      <c r="L793">
        <v>50925</v>
      </c>
      <c r="M793" s="8" t="s">
        <v>32</v>
      </c>
      <c r="N793">
        <v>50925</v>
      </c>
      <c r="O793" s="8" t="s">
        <v>1701</v>
      </c>
      <c r="P793" s="8" t="s">
        <v>1564</v>
      </c>
      <c r="Q793" s="8" t="s">
        <v>1563</v>
      </c>
      <c r="R793" s="8" t="s">
        <v>1565</v>
      </c>
      <c r="S793" s="8" t="s">
        <v>1542</v>
      </c>
      <c r="T793" s="8" t="s">
        <v>1585</v>
      </c>
      <c r="U793" s="8" t="s">
        <v>1586</v>
      </c>
      <c r="V793">
        <v>48500</v>
      </c>
      <c r="W793">
        <v>41200</v>
      </c>
      <c r="X793">
        <v>50925</v>
      </c>
      <c r="Y793">
        <v>9725</v>
      </c>
    </row>
    <row r="794" spans="1:25" x14ac:dyDescent="0.3">
      <c r="A794" s="8" t="s">
        <v>1126</v>
      </c>
      <c r="B794" s="14">
        <v>46039</v>
      </c>
      <c r="C794" s="8" t="s">
        <v>289</v>
      </c>
      <c r="D794" s="8" t="s">
        <v>15</v>
      </c>
      <c r="E794" s="8" t="s">
        <v>74</v>
      </c>
      <c r="F794">
        <v>1</v>
      </c>
      <c r="G794">
        <v>2520</v>
      </c>
      <c r="H794">
        <v>0</v>
      </c>
      <c r="I794" s="8" t="s">
        <v>17</v>
      </c>
      <c r="J794" s="8" t="s">
        <v>31</v>
      </c>
      <c r="K794" s="8" t="s">
        <v>25</v>
      </c>
      <c r="L794">
        <v>2520</v>
      </c>
      <c r="M794" s="8" t="s">
        <v>32</v>
      </c>
      <c r="N794">
        <v>2520</v>
      </c>
      <c r="O794" s="8" t="s">
        <v>1701</v>
      </c>
      <c r="P794" s="8" t="s">
        <v>1543</v>
      </c>
      <c r="Q794" s="8" t="s">
        <v>1541</v>
      </c>
      <c r="R794" s="8" t="s">
        <v>52</v>
      </c>
      <c r="S794" s="8" t="s">
        <v>1542</v>
      </c>
      <c r="T794" s="8" t="s">
        <v>1584</v>
      </c>
      <c r="U794" s="8" t="s">
        <v>1583</v>
      </c>
      <c r="V794">
        <v>2400</v>
      </c>
      <c r="W794">
        <v>1480</v>
      </c>
      <c r="X794">
        <v>2520</v>
      </c>
      <c r="Y794">
        <v>1040</v>
      </c>
    </row>
    <row r="795" spans="1:25" x14ac:dyDescent="0.3">
      <c r="A795" s="8" t="s">
        <v>1127</v>
      </c>
      <c r="B795" s="14">
        <v>46082</v>
      </c>
      <c r="C795" s="8" t="s">
        <v>442</v>
      </c>
      <c r="D795" s="8" t="s">
        <v>90</v>
      </c>
      <c r="E795" s="8" t="s">
        <v>183</v>
      </c>
      <c r="F795">
        <v>4</v>
      </c>
      <c r="G795">
        <v>3360</v>
      </c>
      <c r="H795">
        <v>0.15</v>
      </c>
      <c r="I795" s="8" t="s">
        <v>17</v>
      </c>
      <c r="J795" s="8" t="s">
        <v>18</v>
      </c>
      <c r="K795" s="8" t="s">
        <v>25</v>
      </c>
      <c r="L795">
        <v>11424</v>
      </c>
      <c r="M795" s="8" t="s">
        <v>48</v>
      </c>
      <c r="N795">
        <v>11424</v>
      </c>
      <c r="O795" s="8" t="s">
        <v>1701</v>
      </c>
      <c r="P795" s="8" t="s">
        <v>1562</v>
      </c>
      <c r="Q795" s="8" t="s">
        <v>1563</v>
      </c>
      <c r="R795" s="8" t="s">
        <v>48</v>
      </c>
      <c r="S795" s="8" t="s">
        <v>1542</v>
      </c>
      <c r="T795" s="8" t="s">
        <v>1582</v>
      </c>
      <c r="U795" s="8" t="s">
        <v>1583</v>
      </c>
      <c r="V795">
        <v>3200</v>
      </c>
      <c r="W795">
        <v>2050</v>
      </c>
      <c r="X795">
        <v>11424</v>
      </c>
      <c r="Y795">
        <v>3224</v>
      </c>
    </row>
    <row r="796" spans="1:25" x14ac:dyDescent="0.3">
      <c r="A796" s="8" t="s">
        <v>1128</v>
      </c>
      <c r="B796" s="14">
        <v>46048</v>
      </c>
      <c r="C796" s="8" t="s">
        <v>801</v>
      </c>
      <c r="D796" s="8" t="s">
        <v>35</v>
      </c>
      <c r="E796" s="8" t="s">
        <v>74</v>
      </c>
      <c r="F796">
        <v>8</v>
      </c>
      <c r="G796">
        <v>2400</v>
      </c>
      <c r="H796">
        <v>0</v>
      </c>
      <c r="I796" s="8" t="s">
        <v>17</v>
      </c>
      <c r="J796" s="8" t="s">
        <v>31</v>
      </c>
      <c r="K796" s="8" t="s">
        <v>1698</v>
      </c>
      <c r="L796">
        <v>19200</v>
      </c>
      <c r="M796" s="8" t="s">
        <v>20</v>
      </c>
      <c r="N796">
        <v>19200</v>
      </c>
      <c r="O796" s="8" t="s">
        <v>1701</v>
      </c>
      <c r="P796" s="8" t="s">
        <v>1548</v>
      </c>
      <c r="Q796" s="8" t="s">
        <v>1549</v>
      </c>
      <c r="R796" s="8" t="s">
        <v>42</v>
      </c>
      <c r="S796" s="8" t="s">
        <v>1542</v>
      </c>
      <c r="T796" s="8" t="s">
        <v>1584</v>
      </c>
      <c r="U796" s="8" t="s">
        <v>1583</v>
      </c>
      <c r="V796">
        <v>2400</v>
      </c>
      <c r="W796">
        <v>1480</v>
      </c>
      <c r="X796">
        <v>19200</v>
      </c>
      <c r="Y796">
        <v>7360</v>
      </c>
    </row>
    <row r="797" spans="1:25" x14ac:dyDescent="0.3">
      <c r="A797" s="8" t="s">
        <v>1129</v>
      </c>
      <c r="B797" s="14">
        <v>46175</v>
      </c>
      <c r="C797" s="8" t="s">
        <v>463</v>
      </c>
      <c r="D797" s="8" t="s">
        <v>123</v>
      </c>
      <c r="E797" s="8" t="s">
        <v>63</v>
      </c>
      <c r="F797">
        <v>3</v>
      </c>
      <c r="G797">
        <v>2200</v>
      </c>
      <c r="H797">
        <v>0</v>
      </c>
      <c r="I797" s="8" t="s">
        <v>80</v>
      </c>
      <c r="J797" s="8" t="s">
        <v>47</v>
      </c>
      <c r="K797" s="8" t="s">
        <v>55</v>
      </c>
      <c r="L797">
        <v>6600</v>
      </c>
      <c r="M797" s="8" t="s">
        <v>56</v>
      </c>
      <c r="N797">
        <v>6600</v>
      </c>
      <c r="O797" s="8" t="s">
        <v>1701</v>
      </c>
      <c r="P797" s="8" t="s">
        <v>1558</v>
      </c>
      <c r="Q797" s="8" t="s">
        <v>1559</v>
      </c>
      <c r="R797" s="8" t="s">
        <v>138</v>
      </c>
      <c r="S797" s="8" t="s">
        <v>1542</v>
      </c>
      <c r="T797" s="8" t="s">
        <v>1572</v>
      </c>
      <c r="U797" s="8" t="s">
        <v>1571</v>
      </c>
      <c r="V797">
        <v>2200</v>
      </c>
      <c r="W797">
        <v>1450</v>
      </c>
      <c r="X797">
        <v>0</v>
      </c>
      <c r="Y797">
        <v>-4350</v>
      </c>
    </row>
    <row r="798" spans="1:25" x14ac:dyDescent="0.3">
      <c r="A798" s="8" t="s">
        <v>1130</v>
      </c>
      <c r="B798" s="14">
        <v>46181</v>
      </c>
      <c r="C798" s="8" t="s">
        <v>134</v>
      </c>
      <c r="D798" s="8" t="s">
        <v>62</v>
      </c>
      <c r="E798" s="8" t="s">
        <v>30</v>
      </c>
      <c r="F798">
        <v>1</v>
      </c>
      <c r="G798">
        <v>1800</v>
      </c>
      <c r="H798">
        <v>0</v>
      </c>
      <c r="I798" s="8" t="s">
        <v>17</v>
      </c>
      <c r="J798" s="8" t="s">
        <v>47</v>
      </c>
      <c r="K798" s="8" t="s">
        <v>67</v>
      </c>
      <c r="L798">
        <v>1800</v>
      </c>
      <c r="M798" s="8" t="s">
        <v>48</v>
      </c>
      <c r="N798">
        <v>1800</v>
      </c>
      <c r="O798" s="8" t="s">
        <v>1701</v>
      </c>
      <c r="P798" s="8" t="s">
        <v>1551</v>
      </c>
      <c r="Q798" s="8" t="s">
        <v>1549</v>
      </c>
      <c r="R798" s="8" t="s">
        <v>1552</v>
      </c>
      <c r="S798" s="8" t="s">
        <v>1542</v>
      </c>
      <c r="T798" s="8" t="s">
        <v>1573</v>
      </c>
      <c r="U798" s="8" t="s">
        <v>1571</v>
      </c>
      <c r="V798">
        <v>1800</v>
      </c>
      <c r="W798">
        <v>1120</v>
      </c>
      <c r="X798">
        <v>1800</v>
      </c>
      <c r="Y798">
        <v>680</v>
      </c>
    </row>
    <row r="799" spans="1:25" x14ac:dyDescent="0.3">
      <c r="A799" s="8" t="s">
        <v>1131</v>
      </c>
      <c r="B799" s="14">
        <v>46161</v>
      </c>
      <c r="C799" s="8" t="s">
        <v>619</v>
      </c>
      <c r="D799" s="8" t="s">
        <v>29</v>
      </c>
      <c r="E799" s="8" t="s">
        <v>30</v>
      </c>
      <c r="F799">
        <v>1</v>
      </c>
      <c r="G799">
        <v>1800</v>
      </c>
      <c r="H799">
        <v>0.05</v>
      </c>
      <c r="I799" s="8" t="s">
        <v>17</v>
      </c>
      <c r="J799" s="8" t="s">
        <v>31</v>
      </c>
      <c r="K799" s="8" t="s">
        <v>25</v>
      </c>
      <c r="L799">
        <v>1710</v>
      </c>
      <c r="M799" s="8" t="s">
        <v>48</v>
      </c>
      <c r="N799">
        <v>1710</v>
      </c>
      <c r="O799" s="8" t="s">
        <v>1701</v>
      </c>
      <c r="P799" s="8" t="s">
        <v>1560</v>
      </c>
      <c r="Q799" s="8" t="s">
        <v>1559</v>
      </c>
      <c r="R799" s="8" t="s">
        <v>1561</v>
      </c>
      <c r="S799" s="8" t="s">
        <v>1542</v>
      </c>
      <c r="T799" s="8" t="s">
        <v>1573</v>
      </c>
      <c r="U799" s="8" t="s">
        <v>1571</v>
      </c>
      <c r="V799">
        <v>1800</v>
      </c>
      <c r="W799">
        <v>1120</v>
      </c>
      <c r="X799">
        <v>1710</v>
      </c>
      <c r="Y799">
        <v>590</v>
      </c>
    </row>
    <row r="800" spans="1:25" x14ac:dyDescent="0.3">
      <c r="A800" s="8" t="s">
        <v>1132</v>
      </c>
      <c r="B800" s="14">
        <v>46191</v>
      </c>
      <c r="C800" s="8" t="s">
        <v>61</v>
      </c>
      <c r="D800" s="8" t="s">
        <v>95</v>
      </c>
      <c r="E800" s="8" t="s">
        <v>30</v>
      </c>
      <c r="F800">
        <v>1</v>
      </c>
      <c r="G800">
        <v>1710</v>
      </c>
      <c r="H800">
        <v>0.15</v>
      </c>
      <c r="I800" s="8" t="s">
        <v>66</v>
      </c>
      <c r="J800" s="8" t="s">
        <v>47</v>
      </c>
      <c r="K800" s="8" t="s">
        <v>41</v>
      </c>
      <c r="L800">
        <v>1453.5</v>
      </c>
      <c r="M800" s="8" t="s">
        <v>52</v>
      </c>
      <c r="N800">
        <v>1453.5</v>
      </c>
      <c r="O800" s="8" t="s">
        <v>1701</v>
      </c>
      <c r="P800" s="8" t="s">
        <v>1556</v>
      </c>
      <c r="Q800" s="8" t="s">
        <v>1554</v>
      </c>
      <c r="R800" s="8" t="s">
        <v>1557</v>
      </c>
      <c r="S800" s="8" t="s">
        <v>1542</v>
      </c>
      <c r="T800" s="8" t="s">
        <v>1573</v>
      </c>
      <c r="U800" s="8" t="s">
        <v>1571</v>
      </c>
      <c r="V800">
        <v>1800</v>
      </c>
      <c r="W800">
        <v>1120</v>
      </c>
      <c r="X800">
        <v>0</v>
      </c>
      <c r="Y800">
        <v>-1120</v>
      </c>
    </row>
    <row r="801" spans="1:25" x14ac:dyDescent="0.3">
      <c r="A801" s="8" t="s">
        <v>1133</v>
      </c>
      <c r="B801" s="14">
        <v>46186</v>
      </c>
      <c r="C801" s="8" t="s">
        <v>798</v>
      </c>
      <c r="D801" s="8" t="s">
        <v>77</v>
      </c>
      <c r="E801" s="8" t="s">
        <v>24</v>
      </c>
      <c r="F801">
        <v>4</v>
      </c>
      <c r="G801">
        <v>11760</v>
      </c>
      <c r="H801">
        <v>0.05</v>
      </c>
      <c r="I801" s="8" t="s">
        <v>17</v>
      </c>
      <c r="J801" s="8" t="s">
        <v>47</v>
      </c>
      <c r="K801" s="8" t="s">
        <v>25</v>
      </c>
      <c r="L801">
        <v>44688</v>
      </c>
      <c r="M801" s="8" t="s">
        <v>48</v>
      </c>
      <c r="N801">
        <v>44688</v>
      </c>
      <c r="O801" s="8" t="s">
        <v>1701</v>
      </c>
      <c r="P801" s="8" t="s">
        <v>1564</v>
      </c>
      <c r="Q801" s="8" t="s">
        <v>1563</v>
      </c>
      <c r="R801" s="8" t="s">
        <v>1565</v>
      </c>
      <c r="S801" s="8" t="s">
        <v>1542</v>
      </c>
      <c r="T801" s="8" t="s">
        <v>1574</v>
      </c>
      <c r="U801" s="8" t="s">
        <v>1575</v>
      </c>
      <c r="V801">
        <v>11200</v>
      </c>
      <c r="W801">
        <v>8300</v>
      </c>
      <c r="X801">
        <v>44688</v>
      </c>
      <c r="Y801">
        <v>11488</v>
      </c>
    </row>
    <row r="802" spans="1:25" x14ac:dyDescent="0.3">
      <c r="A802" s="8" t="s">
        <v>1134</v>
      </c>
      <c r="B802" s="14">
        <v>46108</v>
      </c>
      <c r="C802" s="8" t="s">
        <v>232</v>
      </c>
      <c r="D802" s="8" t="s">
        <v>40</v>
      </c>
      <c r="E802" s="8" t="s">
        <v>135</v>
      </c>
      <c r="F802">
        <v>2</v>
      </c>
      <c r="G802">
        <v>15960</v>
      </c>
      <c r="H802">
        <v>0</v>
      </c>
      <c r="I802" s="8" t="s">
        <v>17</v>
      </c>
      <c r="J802" s="8" t="s">
        <v>71</v>
      </c>
      <c r="K802" s="8" t="s">
        <v>1698</v>
      </c>
      <c r="L802">
        <v>31920</v>
      </c>
      <c r="M802" s="8" t="s">
        <v>52</v>
      </c>
      <c r="N802">
        <v>31920</v>
      </c>
      <c r="O802" s="8" t="s">
        <v>1701</v>
      </c>
      <c r="P802" s="8" t="s">
        <v>1555</v>
      </c>
      <c r="Q802" s="8" t="s">
        <v>1554</v>
      </c>
      <c r="R802" s="8" t="s">
        <v>82</v>
      </c>
      <c r="S802" s="8" t="s">
        <v>1542</v>
      </c>
      <c r="T802" s="8" t="s">
        <v>1576</v>
      </c>
      <c r="U802" s="8" t="s">
        <v>1575</v>
      </c>
      <c r="V802">
        <v>16800</v>
      </c>
      <c r="W802">
        <v>12600</v>
      </c>
      <c r="X802">
        <v>31920</v>
      </c>
      <c r="Y802">
        <v>6720</v>
      </c>
    </row>
    <row r="803" spans="1:25" x14ac:dyDescent="0.3">
      <c r="A803" s="8" t="s">
        <v>1135</v>
      </c>
      <c r="B803" s="14">
        <v>46200</v>
      </c>
      <c r="C803" s="8" t="s">
        <v>596</v>
      </c>
      <c r="D803" s="8" t="s">
        <v>23</v>
      </c>
      <c r="E803" s="8" t="s">
        <v>46</v>
      </c>
      <c r="F803">
        <v>3</v>
      </c>
      <c r="G803">
        <v>7800</v>
      </c>
      <c r="H803">
        <v>0</v>
      </c>
      <c r="I803" s="8" t="s">
        <v>17</v>
      </c>
      <c r="J803" s="8" t="s">
        <v>71</v>
      </c>
      <c r="K803" s="8" t="s">
        <v>55</v>
      </c>
      <c r="L803">
        <v>23400</v>
      </c>
      <c r="M803" s="8" t="s">
        <v>59</v>
      </c>
      <c r="N803">
        <v>23400</v>
      </c>
      <c r="O803" s="8" t="s">
        <v>1701</v>
      </c>
      <c r="P803" s="8" t="s">
        <v>1545</v>
      </c>
      <c r="Q803" s="8" t="s">
        <v>1541</v>
      </c>
      <c r="R803" s="8" t="s">
        <v>1546</v>
      </c>
      <c r="S803" s="8" t="s">
        <v>1542</v>
      </c>
      <c r="T803" s="8" t="s">
        <v>1579</v>
      </c>
      <c r="U803" s="8" t="s">
        <v>1580</v>
      </c>
      <c r="V803">
        <v>7800</v>
      </c>
      <c r="W803">
        <v>5200</v>
      </c>
      <c r="X803">
        <v>23400</v>
      </c>
      <c r="Y803">
        <v>7800</v>
      </c>
    </row>
    <row r="804" spans="1:25" x14ac:dyDescent="0.3">
      <c r="A804" s="8" t="s">
        <v>1136</v>
      </c>
      <c r="B804" s="14">
        <v>46024</v>
      </c>
      <c r="C804" s="8" t="s">
        <v>39</v>
      </c>
      <c r="D804" s="8" t="s">
        <v>35</v>
      </c>
      <c r="E804" s="8" t="s">
        <v>16</v>
      </c>
      <c r="F804">
        <v>1</v>
      </c>
      <c r="G804">
        <v>650</v>
      </c>
      <c r="H804">
        <v>0</v>
      </c>
      <c r="I804" s="8" t="s">
        <v>17</v>
      </c>
      <c r="J804" s="8" t="s">
        <v>18</v>
      </c>
      <c r="K804" s="8" t="s">
        <v>41</v>
      </c>
      <c r="L804">
        <v>650</v>
      </c>
      <c r="M804" s="8" t="s">
        <v>48</v>
      </c>
      <c r="N804">
        <v>650</v>
      </c>
      <c r="O804" s="8" t="s">
        <v>1701</v>
      </c>
      <c r="P804" s="8" t="s">
        <v>1548</v>
      </c>
      <c r="Q804" s="8" t="s">
        <v>1549</v>
      </c>
      <c r="R804" s="8" t="s">
        <v>42</v>
      </c>
      <c r="S804" s="8" t="s">
        <v>1542</v>
      </c>
      <c r="T804" s="8" t="s">
        <v>1570</v>
      </c>
      <c r="U804" s="8" t="s">
        <v>1571</v>
      </c>
      <c r="V804">
        <v>650</v>
      </c>
      <c r="W804">
        <v>390</v>
      </c>
      <c r="X804">
        <v>650</v>
      </c>
      <c r="Y804">
        <v>260</v>
      </c>
    </row>
    <row r="805" spans="1:25" x14ac:dyDescent="0.3">
      <c r="A805" s="8" t="s">
        <v>1138</v>
      </c>
      <c r="B805" s="14">
        <v>46068</v>
      </c>
      <c r="C805" s="8" t="s">
        <v>363</v>
      </c>
      <c r="D805" s="8" t="s">
        <v>23</v>
      </c>
      <c r="E805" s="8" t="s">
        <v>16</v>
      </c>
      <c r="F805">
        <v>1</v>
      </c>
      <c r="G805">
        <v>617.5</v>
      </c>
      <c r="H805">
        <v>0.05</v>
      </c>
      <c r="I805" s="8" t="s">
        <v>80</v>
      </c>
      <c r="J805" s="8" t="s">
        <v>18</v>
      </c>
      <c r="K805" s="8" t="s">
        <v>1698</v>
      </c>
      <c r="L805">
        <v>586.62</v>
      </c>
      <c r="M805" s="8" t="s">
        <v>138</v>
      </c>
      <c r="N805">
        <v>586.625</v>
      </c>
      <c r="O805" s="8" t="s">
        <v>1701</v>
      </c>
      <c r="P805" s="8" t="s">
        <v>1545</v>
      </c>
      <c r="Q805" s="8" t="s">
        <v>1541</v>
      </c>
      <c r="R805" s="8" t="s">
        <v>1546</v>
      </c>
      <c r="S805" s="8" t="s">
        <v>1542</v>
      </c>
      <c r="T805" s="8" t="s">
        <v>1570</v>
      </c>
      <c r="U805" s="8" t="s">
        <v>1571</v>
      </c>
      <c r="V805">
        <v>650</v>
      </c>
      <c r="W805">
        <v>390</v>
      </c>
      <c r="X805">
        <v>0</v>
      </c>
      <c r="Y805">
        <v>-390</v>
      </c>
    </row>
    <row r="806" spans="1:25" x14ac:dyDescent="0.3">
      <c r="A806" s="8" t="s">
        <v>1139</v>
      </c>
      <c r="B806" s="14">
        <v>46076</v>
      </c>
      <c r="C806" s="8" t="s">
        <v>690</v>
      </c>
      <c r="D806" s="8" t="s">
        <v>45</v>
      </c>
      <c r="E806" s="8" t="s">
        <v>46</v>
      </c>
      <c r="F806">
        <v>1</v>
      </c>
      <c r="G806">
        <v>8190</v>
      </c>
      <c r="H806">
        <v>0.05</v>
      </c>
      <c r="I806" s="8" t="s">
        <v>17</v>
      </c>
      <c r="J806" s="8" t="s">
        <v>31</v>
      </c>
      <c r="K806" s="8" t="s">
        <v>41</v>
      </c>
      <c r="L806">
        <v>7780.5</v>
      </c>
      <c r="M806" s="8" t="s">
        <v>59</v>
      </c>
      <c r="N806">
        <v>7780.5</v>
      </c>
      <c r="O806" s="8" t="s">
        <v>1701</v>
      </c>
      <c r="P806" s="8" t="s">
        <v>1547</v>
      </c>
      <c r="Q806" s="8" t="s">
        <v>1541</v>
      </c>
      <c r="R806" s="8" t="s">
        <v>56</v>
      </c>
      <c r="S806" s="8" t="s">
        <v>1542</v>
      </c>
      <c r="T806" s="8" t="s">
        <v>1579</v>
      </c>
      <c r="U806" s="8" t="s">
        <v>1580</v>
      </c>
      <c r="V806">
        <v>7800</v>
      </c>
      <c r="W806">
        <v>5200</v>
      </c>
      <c r="X806">
        <v>7780.5</v>
      </c>
      <c r="Y806">
        <v>2580.5</v>
      </c>
    </row>
    <row r="807" spans="1:25" x14ac:dyDescent="0.3">
      <c r="A807" s="8" t="s">
        <v>1140</v>
      </c>
      <c r="B807" s="14">
        <v>46071</v>
      </c>
      <c r="C807" s="8" t="s">
        <v>446</v>
      </c>
      <c r="D807" s="8" t="s">
        <v>23</v>
      </c>
      <c r="E807" s="8" t="s">
        <v>51</v>
      </c>
      <c r="F807">
        <v>2</v>
      </c>
      <c r="G807">
        <v>19425</v>
      </c>
      <c r="H807">
        <v>0.05</v>
      </c>
      <c r="I807" s="8" t="s">
        <v>17</v>
      </c>
      <c r="J807" s="8" t="s">
        <v>31</v>
      </c>
      <c r="K807" s="8" t="s">
        <v>25</v>
      </c>
      <c r="L807">
        <v>36907.5</v>
      </c>
      <c r="M807" s="8" t="s">
        <v>48</v>
      </c>
      <c r="N807">
        <v>36907.5</v>
      </c>
      <c r="O807" s="8" t="s">
        <v>1701</v>
      </c>
      <c r="P807" s="8" t="s">
        <v>1545</v>
      </c>
      <c r="Q807" s="8" t="s">
        <v>1541</v>
      </c>
      <c r="R807" s="8" t="s">
        <v>1546</v>
      </c>
      <c r="S807" s="8" t="s">
        <v>1542</v>
      </c>
      <c r="T807" s="8" t="s">
        <v>1581</v>
      </c>
      <c r="U807" s="8" t="s">
        <v>1580</v>
      </c>
      <c r="V807">
        <v>18500</v>
      </c>
      <c r="W807">
        <v>13900</v>
      </c>
      <c r="X807">
        <v>36907.5</v>
      </c>
      <c r="Y807">
        <v>9107.5</v>
      </c>
    </row>
    <row r="808" spans="1:25" x14ac:dyDescent="0.3">
      <c r="A808" s="8" t="s">
        <v>1141</v>
      </c>
      <c r="B808" s="14">
        <v>46071</v>
      </c>
      <c r="C808" s="8" t="s">
        <v>559</v>
      </c>
      <c r="D808" s="8" t="s">
        <v>90</v>
      </c>
      <c r="E808" s="8" t="s">
        <v>51</v>
      </c>
      <c r="F808">
        <v>1</v>
      </c>
      <c r="G808">
        <v>17575</v>
      </c>
      <c r="H808">
        <v>0</v>
      </c>
      <c r="I808" s="8" t="s">
        <v>80</v>
      </c>
      <c r="J808" s="8" t="s">
        <v>31</v>
      </c>
      <c r="K808" s="8" t="s">
        <v>25</v>
      </c>
      <c r="L808">
        <v>17575</v>
      </c>
      <c r="M808" s="8" t="s">
        <v>48</v>
      </c>
      <c r="N808">
        <v>17575</v>
      </c>
      <c r="O808" s="8" t="s">
        <v>1701</v>
      </c>
      <c r="P808" s="8" t="s">
        <v>1562</v>
      </c>
      <c r="Q808" s="8" t="s">
        <v>1563</v>
      </c>
      <c r="R808" s="8" t="s">
        <v>48</v>
      </c>
      <c r="S808" s="8" t="s">
        <v>1542</v>
      </c>
      <c r="T808" s="8" t="s">
        <v>1581</v>
      </c>
      <c r="U808" s="8" t="s">
        <v>1580</v>
      </c>
      <c r="V808">
        <v>18500</v>
      </c>
      <c r="W808">
        <v>13900</v>
      </c>
      <c r="X808">
        <v>0</v>
      </c>
      <c r="Y808">
        <v>-13900</v>
      </c>
    </row>
    <row r="809" spans="1:25" x14ac:dyDescent="0.3">
      <c r="A809" s="8" t="s">
        <v>1142</v>
      </c>
      <c r="B809" s="14">
        <v>46148</v>
      </c>
      <c r="C809" s="8" t="s">
        <v>501</v>
      </c>
      <c r="D809" s="8" t="s">
        <v>23</v>
      </c>
      <c r="E809" s="8" t="s">
        <v>85</v>
      </c>
      <c r="F809">
        <v>1</v>
      </c>
      <c r="G809">
        <v>46075</v>
      </c>
      <c r="H809">
        <v>0.1</v>
      </c>
      <c r="I809" s="8" t="s">
        <v>17</v>
      </c>
      <c r="J809" s="8" t="s">
        <v>18</v>
      </c>
      <c r="K809" s="8" t="s">
        <v>25</v>
      </c>
      <c r="L809">
        <v>41467.5</v>
      </c>
      <c r="M809" s="8" t="s">
        <v>138</v>
      </c>
      <c r="N809">
        <v>41467.5</v>
      </c>
      <c r="O809" s="8" t="s">
        <v>1701</v>
      </c>
      <c r="P809" s="8" t="s">
        <v>1545</v>
      </c>
      <c r="Q809" s="8" t="s">
        <v>1541</v>
      </c>
      <c r="R809" s="8" t="s">
        <v>1546</v>
      </c>
      <c r="S809" s="8" t="s">
        <v>1542</v>
      </c>
      <c r="T809" s="8" t="s">
        <v>1585</v>
      </c>
      <c r="U809" s="8" t="s">
        <v>1586</v>
      </c>
      <c r="V809">
        <v>48500</v>
      </c>
      <c r="W809">
        <v>41200</v>
      </c>
      <c r="X809">
        <v>41467.5</v>
      </c>
      <c r="Y809">
        <v>267.5</v>
      </c>
    </row>
    <row r="810" spans="1:25" x14ac:dyDescent="0.3">
      <c r="A810" s="8" t="s">
        <v>1143</v>
      </c>
      <c r="B810" s="14">
        <v>46150</v>
      </c>
      <c r="C810" s="8" t="s">
        <v>232</v>
      </c>
      <c r="D810" s="8" t="s">
        <v>152</v>
      </c>
      <c r="E810" s="8" t="s">
        <v>46</v>
      </c>
      <c r="F810">
        <v>1</v>
      </c>
      <c r="G810">
        <v>8190</v>
      </c>
      <c r="H810">
        <v>0.2</v>
      </c>
      <c r="I810" s="8" t="s">
        <v>17</v>
      </c>
      <c r="J810" s="8" t="s">
        <v>18</v>
      </c>
      <c r="K810" s="8" t="s">
        <v>67</v>
      </c>
      <c r="L810">
        <v>6552</v>
      </c>
      <c r="M810" s="8" t="s">
        <v>48</v>
      </c>
      <c r="N810">
        <v>6552</v>
      </c>
      <c r="O810" s="8" t="s">
        <v>1701</v>
      </c>
      <c r="P810" s="8" t="s">
        <v>1553</v>
      </c>
      <c r="Q810" s="8" t="s">
        <v>1554</v>
      </c>
      <c r="R810" s="8" t="s">
        <v>59</v>
      </c>
      <c r="S810" s="8" t="s">
        <v>1542</v>
      </c>
      <c r="T810" s="8" t="s">
        <v>1579</v>
      </c>
      <c r="U810" s="8" t="s">
        <v>1580</v>
      </c>
      <c r="V810">
        <v>7800</v>
      </c>
      <c r="W810">
        <v>5200</v>
      </c>
      <c r="X810">
        <v>6552</v>
      </c>
      <c r="Y810">
        <v>1352</v>
      </c>
    </row>
    <row r="811" spans="1:25" x14ac:dyDescent="0.3">
      <c r="A811" s="8" t="s">
        <v>1144</v>
      </c>
      <c r="B811" s="14">
        <v>46125</v>
      </c>
      <c r="C811" s="8" t="s">
        <v>84</v>
      </c>
      <c r="D811" s="8" t="s">
        <v>95</v>
      </c>
      <c r="E811" s="8" t="s">
        <v>183</v>
      </c>
      <c r="F811">
        <v>3</v>
      </c>
      <c r="G811">
        <v>3200</v>
      </c>
      <c r="H811">
        <v>0</v>
      </c>
      <c r="I811" s="8" t="s">
        <v>80</v>
      </c>
      <c r="J811" s="8" t="s">
        <v>71</v>
      </c>
      <c r="K811" s="8" t="s">
        <v>55</v>
      </c>
      <c r="L811">
        <v>9600</v>
      </c>
      <c r="M811" s="8" t="s">
        <v>52</v>
      </c>
      <c r="N811">
        <v>9600</v>
      </c>
      <c r="O811" s="8" t="s">
        <v>1701</v>
      </c>
      <c r="P811" s="8" t="s">
        <v>1556</v>
      </c>
      <c r="Q811" s="8" t="s">
        <v>1554</v>
      </c>
      <c r="R811" s="8" t="s">
        <v>1557</v>
      </c>
      <c r="S811" s="8" t="s">
        <v>1542</v>
      </c>
      <c r="T811" s="8" t="s">
        <v>1582</v>
      </c>
      <c r="U811" s="8" t="s">
        <v>1583</v>
      </c>
      <c r="V811">
        <v>3200</v>
      </c>
      <c r="W811">
        <v>2050</v>
      </c>
      <c r="X811">
        <v>0</v>
      </c>
      <c r="Y811">
        <v>-6150</v>
      </c>
    </row>
    <row r="812" spans="1:25" x14ac:dyDescent="0.3">
      <c r="A812" s="8" t="s">
        <v>1145</v>
      </c>
      <c r="B812" s="14">
        <v>46101</v>
      </c>
      <c r="C812" s="8" t="s">
        <v>421</v>
      </c>
      <c r="D812" s="8" t="s">
        <v>70</v>
      </c>
      <c r="E812" s="8" t="s">
        <v>161</v>
      </c>
      <c r="F812">
        <v>3</v>
      </c>
      <c r="G812">
        <v>2470</v>
      </c>
      <c r="H812">
        <v>0.05</v>
      </c>
      <c r="I812" s="8" t="s">
        <v>17</v>
      </c>
      <c r="J812" s="8" t="s">
        <v>31</v>
      </c>
      <c r="K812" s="8" t="s">
        <v>67</v>
      </c>
      <c r="L812">
        <v>7039.5</v>
      </c>
      <c r="M812" s="8" t="s">
        <v>56</v>
      </c>
      <c r="N812">
        <v>7039.5</v>
      </c>
      <c r="O812" s="8" t="s">
        <v>1701</v>
      </c>
      <c r="P812" s="8" t="s">
        <v>1550</v>
      </c>
      <c r="Q812" s="8" t="s">
        <v>1549</v>
      </c>
      <c r="R812" s="8" t="s">
        <v>32</v>
      </c>
      <c r="S812" s="8" t="s">
        <v>1542</v>
      </c>
      <c r="T812" s="8" t="s">
        <v>1578</v>
      </c>
      <c r="U812" s="8" t="s">
        <v>1571</v>
      </c>
      <c r="V812">
        <v>2600</v>
      </c>
      <c r="W812">
        <v>1750</v>
      </c>
      <c r="X812">
        <v>7039.5</v>
      </c>
      <c r="Y812">
        <v>1789.5</v>
      </c>
    </row>
    <row r="813" spans="1:25" x14ac:dyDescent="0.3">
      <c r="A813" s="8" t="s">
        <v>1146</v>
      </c>
      <c r="B813" s="14">
        <v>46155</v>
      </c>
      <c r="C813" s="8" t="s">
        <v>1147</v>
      </c>
      <c r="D813" s="8" t="s">
        <v>35</v>
      </c>
      <c r="E813" s="8" t="s">
        <v>24</v>
      </c>
      <c r="F813">
        <v>3</v>
      </c>
      <c r="G813">
        <v>11200</v>
      </c>
      <c r="I813" s="8" t="s">
        <v>17</v>
      </c>
      <c r="J813" s="8" t="s">
        <v>18</v>
      </c>
      <c r="K813" s="8" t="s">
        <v>55</v>
      </c>
      <c r="L813">
        <v>30240</v>
      </c>
      <c r="M813" s="8" t="s">
        <v>32</v>
      </c>
      <c r="O813" s="8" t="s">
        <v>1703</v>
      </c>
      <c r="P813" s="8" t="s">
        <v>1548</v>
      </c>
      <c r="Q813" s="8" t="s">
        <v>1549</v>
      </c>
      <c r="R813" s="8" t="s">
        <v>42</v>
      </c>
      <c r="S813" s="8" t="s">
        <v>1542</v>
      </c>
      <c r="T813" s="8" t="s">
        <v>1574</v>
      </c>
      <c r="U813" s="8" t="s">
        <v>1575</v>
      </c>
      <c r="V813">
        <v>11200</v>
      </c>
      <c r="W813">
        <v>8300</v>
      </c>
      <c r="X813">
        <v>0</v>
      </c>
      <c r="Y813">
        <v>-24900</v>
      </c>
    </row>
    <row r="814" spans="1:25" x14ac:dyDescent="0.3">
      <c r="A814" s="8" t="s">
        <v>1148</v>
      </c>
      <c r="B814" s="14">
        <v>46127</v>
      </c>
      <c r="C814" s="8" t="s">
        <v>448</v>
      </c>
      <c r="D814" s="8" t="s">
        <v>35</v>
      </c>
      <c r="E814" s="8" t="s">
        <v>46</v>
      </c>
      <c r="F814">
        <v>2</v>
      </c>
      <c r="G814">
        <v>8190</v>
      </c>
      <c r="H814">
        <v>0.1</v>
      </c>
      <c r="I814" s="8" t="s">
        <v>17</v>
      </c>
      <c r="J814" s="8" t="s">
        <v>47</v>
      </c>
      <c r="K814" s="8" t="s">
        <v>1698</v>
      </c>
      <c r="L814">
        <v>14742</v>
      </c>
      <c r="M814" s="8" t="s">
        <v>138</v>
      </c>
      <c r="N814">
        <v>14742</v>
      </c>
      <c r="O814" s="8" t="s">
        <v>1701</v>
      </c>
      <c r="P814" s="8" t="s">
        <v>1548</v>
      </c>
      <c r="Q814" s="8" t="s">
        <v>1549</v>
      </c>
      <c r="R814" s="8" t="s">
        <v>42</v>
      </c>
      <c r="S814" s="8" t="s">
        <v>1542</v>
      </c>
      <c r="T814" s="8" t="s">
        <v>1579</v>
      </c>
      <c r="U814" s="8" t="s">
        <v>1580</v>
      </c>
      <c r="V814">
        <v>7800</v>
      </c>
      <c r="W814">
        <v>5200</v>
      </c>
      <c r="X814">
        <v>14742</v>
      </c>
      <c r="Y814">
        <v>4342</v>
      </c>
    </row>
    <row r="815" spans="1:25" x14ac:dyDescent="0.3">
      <c r="A815" s="8" t="s">
        <v>1149</v>
      </c>
      <c r="B815" s="14">
        <v>46044</v>
      </c>
      <c r="C815" s="8" t="s">
        <v>237</v>
      </c>
      <c r="D815" s="8" t="s">
        <v>45</v>
      </c>
      <c r="E815" s="8" t="s">
        <v>51</v>
      </c>
      <c r="F815">
        <v>2</v>
      </c>
      <c r="G815">
        <v>18500</v>
      </c>
      <c r="H815">
        <v>0.2</v>
      </c>
      <c r="I815" s="8" t="s">
        <v>17</v>
      </c>
      <c r="J815" s="8" t="s">
        <v>31</v>
      </c>
      <c r="K815" s="8" t="s">
        <v>1698</v>
      </c>
      <c r="L815">
        <v>29600</v>
      </c>
      <c r="M815" s="8" t="s">
        <v>42</v>
      </c>
      <c r="N815">
        <v>29600</v>
      </c>
      <c r="O815" s="8" t="s">
        <v>1701</v>
      </c>
      <c r="P815" s="8" t="s">
        <v>1547</v>
      </c>
      <c r="Q815" s="8" t="s">
        <v>1541</v>
      </c>
      <c r="R815" s="8" t="s">
        <v>56</v>
      </c>
      <c r="S815" s="8" t="s">
        <v>1542</v>
      </c>
      <c r="T815" s="8" t="s">
        <v>1581</v>
      </c>
      <c r="U815" s="8" t="s">
        <v>1580</v>
      </c>
      <c r="V815">
        <v>18500</v>
      </c>
      <c r="W815">
        <v>13900</v>
      </c>
      <c r="X815">
        <v>29600</v>
      </c>
      <c r="Y815">
        <v>1800</v>
      </c>
    </row>
    <row r="816" spans="1:25" x14ac:dyDescent="0.3">
      <c r="A816" s="8" t="s">
        <v>1150</v>
      </c>
      <c r="B816" s="14">
        <v>46115</v>
      </c>
      <c r="C816" s="8" t="s">
        <v>142</v>
      </c>
      <c r="D816" s="8" t="s">
        <v>168</v>
      </c>
      <c r="E816" s="8" t="s">
        <v>51</v>
      </c>
      <c r="F816">
        <v>1</v>
      </c>
      <c r="G816">
        <v>18500</v>
      </c>
      <c r="H816">
        <v>0</v>
      </c>
      <c r="I816" s="8" t="s">
        <v>17</v>
      </c>
      <c r="J816" s="8" t="s">
        <v>47</v>
      </c>
      <c r="K816" s="8" t="s">
        <v>41</v>
      </c>
      <c r="L816">
        <v>18500</v>
      </c>
      <c r="M816" s="8" t="s">
        <v>48</v>
      </c>
      <c r="N816">
        <v>18500</v>
      </c>
      <c r="O816" s="8" t="s">
        <v>1701</v>
      </c>
      <c r="P816" s="8" t="s">
        <v>1540</v>
      </c>
      <c r="Q816" s="8" t="s">
        <v>1541</v>
      </c>
      <c r="R816" s="8" t="s">
        <v>20</v>
      </c>
      <c r="S816" s="8" t="s">
        <v>1542</v>
      </c>
      <c r="T816" s="8" t="s">
        <v>1581</v>
      </c>
      <c r="U816" s="8" t="s">
        <v>1580</v>
      </c>
      <c r="V816">
        <v>18500</v>
      </c>
      <c r="W816">
        <v>13900</v>
      </c>
      <c r="X816">
        <v>18500</v>
      </c>
      <c r="Y816">
        <v>4600</v>
      </c>
    </row>
    <row r="817" spans="1:25" x14ac:dyDescent="0.3">
      <c r="A817" s="8" t="s">
        <v>1151</v>
      </c>
      <c r="B817" s="14">
        <v>46058</v>
      </c>
      <c r="C817" s="8" t="s">
        <v>554</v>
      </c>
      <c r="D817" s="8" t="s">
        <v>90</v>
      </c>
      <c r="E817" s="8" t="s">
        <v>85</v>
      </c>
      <c r="F817">
        <v>4</v>
      </c>
      <c r="G817">
        <v>48500</v>
      </c>
      <c r="H817">
        <v>0.05</v>
      </c>
      <c r="I817" s="8" t="s">
        <v>17</v>
      </c>
      <c r="J817" s="8" t="s">
        <v>47</v>
      </c>
      <c r="K817" s="8" t="s">
        <v>55</v>
      </c>
      <c r="L817">
        <v>184300</v>
      </c>
      <c r="M817" s="8" t="s">
        <v>32</v>
      </c>
      <c r="N817">
        <v>184300</v>
      </c>
      <c r="O817" s="8" t="s">
        <v>1701</v>
      </c>
      <c r="P817" s="8" t="s">
        <v>1562</v>
      </c>
      <c r="Q817" s="8" t="s">
        <v>1563</v>
      </c>
      <c r="R817" s="8" t="s">
        <v>48</v>
      </c>
      <c r="S817" s="8" t="s">
        <v>1542</v>
      </c>
      <c r="T817" s="8" t="s">
        <v>1585</v>
      </c>
      <c r="U817" s="8" t="s">
        <v>1586</v>
      </c>
      <c r="V817">
        <v>48500</v>
      </c>
      <c r="W817">
        <v>41200</v>
      </c>
      <c r="X817">
        <v>184300</v>
      </c>
      <c r="Y817">
        <v>19500</v>
      </c>
    </row>
    <row r="818" spans="1:25" x14ac:dyDescent="0.3">
      <c r="A818" s="8" t="s">
        <v>1152</v>
      </c>
      <c r="B818" s="14">
        <v>46171</v>
      </c>
      <c r="C818" s="8" t="s">
        <v>300</v>
      </c>
      <c r="D818" s="8" t="s">
        <v>29</v>
      </c>
      <c r="E818" s="8" t="s">
        <v>74</v>
      </c>
      <c r="F818">
        <v>1</v>
      </c>
      <c r="G818">
        <v>2400</v>
      </c>
      <c r="H818">
        <v>0.2</v>
      </c>
      <c r="I818" s="8" t="s">
        <v>17</v>
      </c>
      <c r="J818" s="8" t="s">
        <v>71</v>
      </c>
      <c r="K818" s="8" t="s">
        <v>41</v>
      </c>
      <c r="L818">
        <v>1920</v>
      </c>
      <c r="M818" s="8" t="s">
        <v>52</v>
      </c>
      <c r="N818">
        <v>1920</v>
      </c>
      <c r="O818" s="8" t="s">
        <v>1701</v>
      </c>
      <c r="P818" s="8" t="s">
        <v>1560</v>
      </c>
      <c r="Q818" s="8" t="s">
        <v>1559</v>
      </c>
      <c r="R818" s="8" t="s">
        <v>1561</v>
      </c>
      <c r="S818" s="8" t="s">
        <v>1542</v>
      </c>
      <c r="T818" s="8" t="s">
        <v>1584</v>
      </c>
      <c r="U818" s="8" t="s">
        <v>1583</v>
      </c>
      <c r="V818">
        <v>2400</v>
      </c>
      <c r="W818">
        <v>1480</v>
      </c>
      <c r="X818">
        <v>1920</v>
      </c>
      <c r="Y818">
        <v>440</v>
      </c>
    </row>
    <row r="819" spans="1:25" x14ac:dyDescent="0.3">
      <c r="A819" s="8" t="s">
        <v>1153</v>
      </c>
      <c r="B819" s="14">
        <v>46144</v>
      </c>
      <c r="C819" s="8" t="s">
        <v>227</v>
      </c>
      <c r="D819" s="8" t="s">
        <v>23</v>
      </c>
      <c r="E819" s="8" t="s">
        <v>51</v>
      </c>
      <c r="F819">
        <v>3</v>
      </c>
      <c r="G819">
        <v>19425</v>
      </c>
      <c r="H819">
        <v>0.15</v>
      </c>
      <c r="I819" s="8" t="s">
        <v>17</v>
      </c>
      <c r="J819" s="8" t="s">
        <v>31</v>
      </c>
      <c r="K819" s="8" t="s">
        <v>67</v>
      </c>
      <c r="L819">
        <v>49533.75</v>
      </c>
      <c r="M819" s="8" t="s">
        <v>52</v>
      </c>
      <c r="N819">
        <v>49533.75</v>
      </c>
      <c r="O819" s="8" t="s">
        <v>1701</v>
      </c>
      <c r="P819" s="8" t="s">
        <v>1545</v>
      </c>
      <c r="Q819" s="8" t="s">
        <v>1541</v>
      </c>
      <c r="R819" s="8" t="s">
        <v>1546</v>
      </c>
      <c r="S819" s="8" t="s">
        <v>1542</v>
      </c>
      <c r="T819" s="8" t="s">
        <v>1581</v>
      </c>
      <c r="U819" s="8" t="s">
        <v>1580</v>
      </c>
      <c r="V819">
        <v>18500</v>
      </c>
      <c r="W819">
        <v>13900</v>
      </c>
      <c r="X819">
        <v>49533.75</v>
      </c>
      <c r="Y819">
        <v>7833.75</v>
      </c>
    </row>
    <row r="820" spans="1:25" x14ac:dyDescent="0.3">
      <c r="A820" s="8" t="s">
        <v>1154</v>
      </c>
      <c r="B820" s="14">
        <v>46132</v>
      </c>
      <c r="C820" s="8" t="s">
        <v>438</v>
      </c>
      <c r="D820" s="8" t="s">
        <v>29</v>
      </c>
      <c r="E820" s="8" t="s">
        <v>85</v>
      </c>
      <c r="F820">
        <v>2</v>
      </c>
      <c r="G820">
        <v>46075</v>
      </c>
      <c r="H820">
        <v>0.1</v>
      </c>
      <c r="I820" s="8" t="s">
        <v>17</v>
      </c>
      <c r="J820" s="8" t="s">
        <v>71</v>
      </c>
      <c r="K820" s="8" t="s">
        <v>25</v>
      </c>
      <c r="L820">
        <v>82935</v>
      </c>
      <c r="M820" s="8" t="s">
        <v>59</v>
      </c>
      <c r="N820">
        <v>82935</v>
      </c>
      <c r="O820" s="8" t="s">
        <v>1701</v>
      </c>
      <c r="P820" s="8" t="s">
        <v>1560</v>
      </c>
      <c r="Q820" s="8" t="s">
        <v>1559</v>
      </c>
      <c r="R820" s="8" t="s">
        <v>1561</v>
      </c>
      <c r="S820" s="8" t="s">
        <v>1542</v>
      </c>
      <c r="T820" s="8" t="s">
        <v>1585</v>
      </c>
      <c r="U820" s="8" t="s">
        <v>1586</v>
      </c>
      <c r="V820">
        <v>48500</v>
      </c>
      <c r="W820">
        <v>41200</v>
      </c>
      <c r="X820">
        <v>82935</v>
      </c>
      <c r="Y820">
        <v>535</v>
      </c>
    </row>
    <row r="821" spans="1:25" x14ac:dyDescent="0.3">
      <c r="A821" s="8" t="s">
        <v>1155</v>
      </c>
      <c r="B821" s="14">
        <v>46101</v>
      </c>
      <c r="C821" s="8" t="s">
        <v>594</v>
      </c>
      <c r="D821" s="8" t="s">
        <v>123</v>
      </c>
      <c r="E821" s="8" t="s">
        <v>16</v>
      </c>
      <c r="F821">
        <v>2</v>
      </c>
      <c r="G821">
        <v>650</v>
      </c>
      <c r="H821">
        <v>0.2</v>
      </c>
      <c r="I821" s="8" t="s">
        <v>66</v>
      </c>
      <c r="J821" s="8" t="s">
        <v>31</v>
      </c>
      <c r="K821" s="8" t="s">
        <v>55</v>
      </c>
      <c r="L821">
        <v>1040</v>
      </c>
      <c r="M821" s="8" t="s">
        <v>32</v>
      </c>
      <c r="N821">
        <v>1040</v>
      </c>
      <c r="O821" s="8" t="s">
        <v>1701</v>
      </c>
      <c r="P821" s="8" t="s">
        <v>1558</v>
      </c>
      <c r="Q821" s="8" t="s">
        <v>1559</v>
      </c>
      <c r="R821" s="8" t="s">
        <v>138</v>
      </c>
      <c r="S821" s="8" t="s">
        <v>1542</v>
      </c>
      <c r="T821" s="8" t="s">
        <v>1570</v>
      </c>
      <c r="U821" s="8" t="s">
        <v>1571</v>
      </c>
      <c r="V821">
        <v>650</v>
      </c>
      <c r="W821">
        <v>390</v>
      </c>
      <c r="X821">
        <v>0</v>
      </c>
      <c r="Y821">
        <v>-780</v>
      </c>
    </row>
    <row r="822" spans="1:25" x14ac:dyDescent="0.3">
      <c r="A822" s="8" t="s">
        <v>1156</v>
      </c>
      <c r="B822" s="14">
        <v>46199</v>
      </c>
      <c r="C822" s="8" t="s">
        <v>340</v>
      </c>
      <c r="D822" s="8" t="s">
        <v>152</v>
      </c>
      <c r="E822" s="8" t="s">
        <v>135</v>
      </c>
      <c r="F822">
        <v>2</v>
      </c>
      <c r="G822">
        <v>15960</v>
      </c>
      <c r="H822">
        <v>0</v>
      </c>
      <c r="I822" s="8" t="s">
        <v>17</v>
      </c>
      <c r="J822" s="8" t="s">
        <v>71</v>
      </c>
      <c r="K822" s="8" t="s">
        <v>67</v>
      </c>
      <c r="L822">
        <v>31920</v>
      </c>
      <c r="M822" s="8" t="s">
        <v>48</v>
      </c>
      <c r="N822">
        <v>31920</v>
      </c>
      <c r="O822" s="8" t="s">
        <v>1701</v>
      </c>
      <c r="P822" s="8" t="s">
        <v>1553</v>
      </c>
      <c r="Q822" s="8" t="s">
        <v>1554</v>
      </c>
      <c r="R822" s="8" t="s">
        <v>59</v>
      </c>
      <c r="S822" s="8" t="s">
        <v>1542</v>
      </c>
      <c r="T822" s="8" t="s">
        <v>1576</v>
      </c>
      <c r="U822" s="8" t="s">
        <v>1575</v>
      </c>
      <c r="V822">
        <v>16800</v>
      </c>
      <c r="W822">
        <v>12600</v>
      </c>
      <c r="X822">
        <v>31920</v>
      </c>
      <c r="Y822">
        <v>6720</v>
      </c>
    </row>
    <row r="823" spans="1:25" x14ac:dyDescent="0.3">
      <c r="A823" s="8" t="s">
        <v>1157</v>
      </c>
      <c r="B823" s="14">
        <v>46184</v>
      </c>
      <c r="C823" s="8" t="s">
        <v>403</v>
      </c>
      <c r="D823" s="8" t="s">
        <v>29</v>
      </c>
      <c r="E823" s="8" t="s">
        <v>183</v>
      </c>
      <c r="F823">
        <v>5</v>
      </c>
      <c r="G823">
        <v>3360</v>
      </c>
      <c r="H823">
        <v>0.15</v>
      </c>
      <c r="I823" s="8" t="s">
        <v>66</v>
      </c>
      <c r="J823" s="8" t="s">
        <v>18</v>
      </c>
      <c r="K823" s="8" t="s">
        <v>1698</v>
      </c>
      <c r="L823">
        <v>14280</v>
      </c>
      <c r="M823" s="8" t="s">
        <v>82</v>
      </c>
      <c r="N823">
        <v>14280</v>
      </c>
      <c r="O823" s="8" t="s">
        <v>1701</v>
      </c>
      <c r="P823" s="8" t="s">
        <v>1560</v>
      </c>
      <c r="Q823" s="8" t="s">
        <v>1559</v>
      </c>
      <c r="R823" s="8" t="s">
        <v>1561</v>
      </c>
      <c r="S823" s="8" t="s">
        <v>1542</v>
      </c>
      <c r="T823" s="8" t="s">
        <v>1582</v>
      </c>
      <c r="U823" s="8" t="s">
        <v>1583</v>
      </c>
      <c r="V823">
        <v>3200</v>
      </c>
      <c r="W823">
        <v>2050</v>
      </c>
      <c r="X823">
        <v>0</v>
      </c>
      <c r="Y823">
        <v>-10250</v>
      </c>
    </row>
    <row r="824" spans="1:25" x14ac:dyDescent="0.3">
      <c r="A824" s="8" t="s">
        <v>1158</v>
      </c>
      <c r="B824" s="14">
        <v>46121</v>
      </c>
      <c r="C824" s="8" t="s">
        <v>146</v>
      </c>
      <c r="D824" s="8" t="s">
        <v>23</v>
      </c>
      <c r="E824" s="8" t="s">
        <v>46</v>
      </c>
      <c r="F824">
        <v>1</v>
      </c>
      <c r="G824">
        <v>7800</v>
      </c>
      <c r="H824">
        <v>0.15</v>
      </c>
      <c r="I824" s="8" t="s">
        <v>116</v>
      </c>
      <c r="J824" s="8" t="s">
        <v>71</v>
      </c>
      <c r="K824" s="8" t="s">
        <v>1698</v>
      </c>
      <c r="L824">
        <v>6630</v>
      </c>
      <c r="M824" s="8" t="s">
        <v>82</v>
      </c>
      <c r="N824">
        <v>6630</v>
      </c>
      <c r="O824" s="8" t="s">
        <v>1701</v>
      </c>
      <c r="P824" s="8" t="s">
        <v>1545</v>
      </c>
      <c r="Q824" s="8" t="s">
        <v>1541</v>
      </c>
      <c r="R824" s="8" t="s">
        <v>1546</v>
      </c>
      <c r="S824" s="8" t="s">
        <v>1542</v>
      </c>
      <c r="T824" s="8" t="s">
        <v>1579</v>
      </c>
      <c r="U824" s="8" t="s">
        <v>1580</v>
      </c>
      <c r="V824">
        <v>7800</v>
      </c>
      <c r="W824">
        <v>5200</v>
      </c>
      <c r="X824">
        <v>0</v>
      </c>
      <c r="Y824">
        <v>-5200</v>
      </c>
    </row>
    <row r="825" spans="1:25" x14ac:dyDescent="0.3">
      <c r="A825" s="8" t="s">
        <v>1159</v>
      </c>
      <c r="B825" s="14">
        <v>46068</v>
      </c>
      <c r="C825" s="8" t="s">
        <v>592</v>
      </c>
      <c r="D825" s="8" t="s">
        <v>168</v>
      </c>
      <c r="E825" s="8" t="s">
        <v>85</v>
      </c>
      <c r="F825">
        <v>3</v>
      </c>
      <c r="G825">
        <v>46075</v>
      </c>
      <c r="H825">
        <v>0</v>
      </c>
      <c r="I825" s="8" t="s">
        <v>17</v>
      </c>
      <c r="J825" s="8" t="s">
        <v>47</v>
      </c>
      <c r="K825" s="8" t="s">
        <v>41</v>
      </c>
      <c r="L825">
        <v>138225</v>
      </c>
      <c r="M825" s="8" t="s">
        <v>52</v>
      </c>
      <c r="N825">
        <v>138225</v>
      </c>
      <c r="O825" s="8" t="s">
        <v>1701</v>
      </c>
      <c r="P825" s="8" t="s">
        <v>1540</v>
      </c>
      <c r="Q825" s="8" t="s">
        <v>1541</v>
      </c>
      <c r="R825" s="8" t="s">
        <v>20</v>
      </c>
      <c r="S825" s="8" t="s">
        <v>1542</v>
      </c>
      <c r="T825" s="8" t="s">
        <v>1585</v>
      </c>
      <c r="U825" s="8" t="s">
        <v>1586</v>
      </c>
      <c r="V825">
        <v>48500</v>
      </c>
      <c r="W825">
        <v>41200</v>
      </c>
      <c r="X825">
        <v>138225</v>
      </c>
      <c r="Y825">
        <v>14625</v>
      </c>
    </row>
    <row r="826" spans="1:25" x14ac:dyDescent="0.3">
      <c r="A826" s="8" t="s">
        <v>1160</v>
      </c>
      <c r="B826" s="14">
        <v>46097</v>
      </c>
      <c r="C826" s="8" t="s">
        <v>241</v>
      </c>
      <c r="D826" s="8" t="s">
        <v>95</v>
      </c>
      <c r="E826" s="8" t="s">
        <v>51</v>
      </c>
      <c r="F826">
        <v>1</v>
      </c>
      <c r="G826">
        <v>17575</v>
      </c>
      <c r="H826">
        <v>0</v>
      </c>
      <c r="I826" s="8" t="s">
        <v>17</v>
      </c>
      <c r="J826" s="8" t="s">
        <v>47</v>
      </c>
      <c r="K826" s="8" t="s">
        <v>55</v>
      </c>
      <c r="L826">
        <v>17575</v>
      </c>
      <c r="M826" s="8" t="s">
        <v>32</v>
      </c>
      <c r="N826">
        <v>17575</v>
      </c>
      <c r="O826" s="8" t="s">
        <v>1701</v>
      </c>
      <c r="P826" s="8" t="s">
        <v>1556</v>
      </c>
      <c r="Q826" s="8" t="s">
        <v>1554</v>
      </c>
      <c r="R826" s="8" t="s">
        <v>1557</v>
      </c>
      <c r="S826" s="8" t="s">
        <v>1542</v>
      </c>
      <c r="T826" s="8" t="s">
        <v>1581</v>
      </c>
      <c r="U826" s="8" t="s">
        <v>1580</v>
      </c>
      <c r="V826">
        <v>18500</v>
      </c>
      <c r="W826">
        <v>13900</v>
      </c>
      <c r="X826">
        <v>17575</v>
      </c>
      <c r="Y826">
        <v>3675</v>
      </c>
    </row>
    <row r="827" spans="1:25" x14ac:dyDescent="0.3">
      <c r="A827" s="8" t="s">
        <v>1161</v>
      </c>
      <c r="B827" s="14">
        <v>46063</v>
      </c>
      <c r="C827" s="8" t="s">
        <v>623</v>
      </c>
      <c r="D827" s="8" t="s">
        <v>15</v>
      </c>
      <c r="E827" s="8" t="s">
        <v>30</v>
      </c>
      <c r="F827">
        <v>2</v>
      </c>
      <c r="G827">
        <v>1890</v>
      </c>
      <c r="H827">
        <v>0.1</v>
      </c>
      <c r="I827" s="8" t="s">
        <v>17</v>
      </c>
      <c r="J827" s="8" t="s">
        <v>71</v>
      </c>
      <c r="K827" s="8" t="s">
        <v>41</v>
      </c>
      <c r="L827">
        <v>3402</v>
      </c>
      <c r="M827" s="8" t="s">
        <v>26</v>
      </c>
      <c r="N827">
        <v>3402</v>
      </c>
      <c r="O827" s="8" t="s">
        <v>1701</v>
      </c>
      <c r="P827" s="8" t="s">
        <v>1543</v>
      </c>
      <c r="Q827" s="8" t="s">
        <v>1541</v>
      </c>
      <c r="R827" s="8" t="s">
        <v>52</v>
      </c>
      <c r="S827" s="8" t="s">
        <v>1542</v>
      </c>
      <c r="T827" s="8" t="s">
        <v>1573</v>
      </c>
      <c r="U827" s="8" t="s">
        <v>1571</v>
      </c>
      <c r="V827">
        <v>1800</v>
      </c>
      <c r="W827">
        <v>1120</v>
      </c>
      <c r="X827">
        <v>3402</v>
      </c>
      <c r="Y827">
        <v>1162</v>
      </c>
    </row>
    <row r="828" spans="1:25" x14ac:dyDescent="0.3">
      <c r="A828" s="8" t="s">
        <v>1162</v>
      </c>
      <c r="B828" s="14">
        <v>46133</v>
      </c>
      <c r="C828" s="8" t="s">
        <v>724</v>
      </c>
      <c r="D828" s="8" t="s">
        <v>90</v>
      </c>
      <c r="E828" s="8" t="s">
        <v>85</v>
      </c>
      <c r="F828">
        <v>3</v>
      </c>
      <c r="G828">
        <v>48500</v>
      </c>
      <c r="H828">
        <v>0</v>
      </c>
      <c r="I828" s="8" t="s">
        <v>17</v>
      </c>
      <c r="J828" s="8" t="s">
        <v>18</v>
      </c>
      <c r="K828" s="8" t="s">
        <v>67</v>
      </c>
      <c r="L828">
        <v>145500</v>
      </c>
      <c r="M828" s="8" t="s">
        <v>52</v>
      </c>
      <c r="N828">
        <v>145500</v>
      </c>
      <c r="O828" s="8" t="s">
        <v>1701</v>
      </c>
      <c r="P828" s="8" t="s">
        <v>1562</v>
      </c>
      <c r="Q828" s="8" t="s">
        <v>1563</v>
      </c>
      <c r="R828" s="8" t="s">
        <v>48</v>
      </c>
      <c r="S828" s="8" t="s">
        <v>1542</v>
      </c>
      <c r="T828" s="8" t="s">
        <v>1585</v>
      </c>
      <c r="U828" s="8" t="s">
        <v>1586</v>
      </c>
      <c r="V828">
        <v>48500</v>
      </c>
      <c r="W828">
        <v>41200</v>
      </c>
      <c r="X828">
        <v>145500</v>
      </c>
      <c r="Y828">
        <v>21900</v>
      </c>
    </row>
    <row r="829" spans="1:25" x14ac:dyDescent="0.3">
      <c r="A829" s="8" t="s">
        <v>1163</v>
      </c>
      <c r="B829" s="14">
        <v>46024</v>
      </c>
      <c r="C829" s="8" t="s">
        <v>215</v>
      </c>
      <c r="D829" s="8" t="s">
        <v>50</v>
      </c>
      <c r="E829" s="8" t="s">
        <v>46</v>
      </c>
      <c r="F829">
        <v>1</v>
      </c>
      <c r="G829">
        <v>7800</v>
      </c>
      <c r="H829">
        <v>0.1</v>
      </c>
      <c r="I829" s="8" t="s">
        <v>17</v>
      </c>
      <c r="J829" s="8" t="s">
        <v>18</v>
      </c>
      <c r="K829" s="8" t="s">
        <v>55</v>
      </c>
      <c r="L829">
        <v>7020</v>
      </c>
      <c r="M829" s="8" t="s">
        <v>56</v>
      </c>
      <c r="N829">
        <v>7020</v>
      </c>
      <c r="O829" s="8" t="s">
        <v>1701</v>
      </c>
      <c r="P829" s="8" t="s">
        <v>1544</v>
      </c>
      <c r="Q829" s="8" t="s">
        <v>1541</v>
      </c>
      <c r="R829" s="8" t="s">
        <v>26</v>
      </c>
      <c r="S829" s="8" t="s">
        <v>1542</v>
      </c>
      <c r="T829" s="8" t="s">
        <v>1579</v>
      </c>
      <c r="U829" s="8" t="s">
        <v>1580</v>
      </c>
      <c r="V829">
        <v>7800</v>
      </c>
      <c r="W829">
        <v>5200</v>
      </c>
      <c r="X829">
        <v>7020</v>
      </c>
      <c r="Y829">
        <v>1820</v>
      </c>
    </row>
    <row r="830" spans="1:25" x14ac:dyDescent="0.3">
      <c r="A830" s="8" t="s">
        <v>1164</v>
      </c>
      <c r="B830" s="14">
        <v>46170</v>
      </c>
      <c r="C830" s="8" t="s">
        <v>367</v>
      </c>
      <c r="D830" s="8" t="s">
        <v>168</v>
      </c>
      <c r="E830" s="8" t="s">
        <v>85</v>
      </c>
      <c r="F830">
        <v>1</v>
      </c>
      <c r="G830">
        <v>50925</v>
      </c>
      <c r="H830">
        <v>0.2</v>
      </c>
      <c r="I830" s="8" t="s">
        <v>66</v>
      </c>
      <c r="J830" s="8" t="s">
        <v>47</v>
      </c>
      <c r="K830" s="8" t="s">
        <v>55</v>
      </c>
      <c r="L830">
        <v>40740</v>
      </c>
      <c r="M830" s="8" t="s">
        <v>48</v>
      </c>
      <c r="N830">
        <v>40740</v>
      </c>
      <c r="O830" s="8" t="s">
        <v>1701</v>
      </c>
      <c r="P830" s="8" t="s">
        <v>1540</v>
      </c>
      <c r="Q830" s="8" t="s">
        <v>1541</v>
      </c>
      <c r="R830" s="8" t="s">
        <v>20</v>
      </c>
      <c r="S830" s="8" t="s">
        <v>1542</v>
      </c>
      <c r="T830" s="8" t="s">
        <v>1585</v>
      </c>
      <c r="U830" s="8" t="s">
        <v>1586</v>
      </c>
      <c r="V830">
        <v>48500</v>
      </c>
      <c r="W830">
        <v>41200</v>
      </c>
      <c r="X830">
        <v>0</v>
      </c>
      <c r="Y830">
        <v>-41200</v>
      </c>
    </row>
    <row r="831" spans="1:25" x14ac:dyDescent="0.3">
      <c r="A831" s="8" t="s">
        <v>1165</v>
      </c>
      <c r="B831" s="14">
        <v>46067</v>
      </c>
      <c r="C831" s="8" t="s">
        <v>230</v>
      </c>
      <c r="D831" s="8" t="s">
        <v>70</v>
      </c>
      <c r="E831" s="8" t="s">
        <v>24</v>
      </c>
      <c r="F831">
        <v>1</v>
      </c>
      <c r="G831">
        <v>11760</v>
      </c>
      <c r="H831">
        <v>0.15</v>
      </c>
      <c r="I831" s="8" t="s">
        <v>17</v>
      </c>
      <c r="J831" s="8" t="s">
        <v>71</v>
      </c>
      <c r="K831" s="8" t="s">
        <v>25</v>
      </c>
      <c r="L831">
        <v>9996</v>
      </c>
      <c r="M831" s="8" t="s">
        <v>42</v>
      </c>
      <c r="N831">
        <v>9996</v>
      </c>
      <c r="O831" s="8" t="s">
        <v>1701</v>
      </c>
      <c r="P831" s="8" t="s">
        <v>1550</v>
      </c>
      <c r="Q831" s="8" t="s">
        <v>1549</v>
      </c>
      <c r="R831" s="8" t="s">
        <v>32</v>
      </c>
      <c r="S831" s="8" t="s">
        <v>1542</v>
      </c>
      <c r="T831" s="8" t="s">
        <v>1574</v>
      </c>
      <c r="U831" s="8" t="s">
        <v>1575</v>
      </c>
      <c r="V831">
        <v>11200</v>
      </c>
      <c r="W831">
        <v>8300</v>
      </c>
      <c r="X831">
        <v>9996</v>
      </c>
      <c r="Y831">
        <v>1696</v>
      </c>
    </row>
    <row r="832" spans="1:25" x14ac:dyDescent="0.3">
      <c r="A832" s="8" t="s">
        <v>1166</v>
      </c>
      <c r="B832" s="14">
        <v>46123</v>
      </c>
      <c r="C832" s="8" t="s">
        <v>745</v>
      </c>
      <c r="D832" s="8" t="s">
        <v>123</v>
      </c>
      <c r="E832" s="8" t="s">
        <v>16</v>
      </c>
      <c r="F832">
        <v>1</v>
      </c>
      <c r="G832">
        <v>650</v>
      </c>
      <c r="H832">
        <v>0</v>
      </c>
      <c r="I832" s="8" t="s">
        <v>17</v>
      </c>
      <c r="J832" s="8" t="s">
        <v>71</v>
      </c>
      <c r="K832" s="8" t="s">
        <v>55</v>
      </c>
      <c r="L832">
        <v>650</v>
      </c>
      <c r="M832" s="8" t="s">
        <v>32</v>
      </c>
      <c r="N832">
        <v>650</v>
      </c>
      <c r="O832" s="8" t="s">
        <v>1701</v>
      </c>
      <c r="P832" s="8" t="s">
        <v>1558</v>
      </c>
      <c r="Q832" s="8" t="s">
        <v>1559</v>
      </c>
      <c r="R832" s="8" t="s">
        <v>138</v>
      </c>
      <c r="S832" s="8" t="s">
        <v>1542</v>
      </c>
      <c r="T832" s="8" t="s">
        <v>1570</v>
      </c>
      <c r="U832" s="8" t="s">
        <v>1571</v>
      </c>
      <c r="V832">
        <v>650</v>
      </c>
      <c r="W832">
        <v>390</v>
      </c>
      <c r="X832">
        <v>650</v>
      </c>
      <c r="Y832">
        <v>260</v>
      </c>
    </row>
    <row r="833" spans="1:25" x14ac:dyDescent="0.3">
      <c r="A833" s="8" t="s">
        <v>1167</v>
      </c>
      <c r="B833" s="14">
        <v>46164</v>
      </c>
      <c r="C833" s="8" t="s">
        <v>140</v>
      </c>
      <c r="D833" s="8" t="s">
        <v>15</v>
      </c>
      <c r="E833" s="8" t="s">
        <v>36</v>
      </c>
      <c r="F833">
        <v>1</v>
      </c>
      <c r="G833">
        <v>1400</v>
      </c>
      <c r="H833">
        <v>0</v>
      </c>
      <c r="I833" s="8" t="s">
        <v>17</v>
      </c>
      <c r="J833" s="8" t="s">
        <v>18</v>
      </c>
      <c r="K833" s="8" t="s">
        <v>41</v>
      </c>
      <c r="L833">
        <v>1400</v>
      </c>
      <c r="M833" s="8" t="s">
        <v>26</v>
      </c>
      <c r="N833">
        <v>1400</v>
      </c>
      <c r="O833" s="8" t="s">
        <v>1701</v>
      </c>
      <c r="P833" s="8" t="s">
        <v>1543</v>
      </c>
      <c r="Q833" s="8" t="s">
        <v>1541</v>
      </c>
      <c r="R833" s="8" t="s">
        <v>52</v>
      </c>
      <c r="S833" s="8" t="s">
        <v>1542</v>
      </c>
      <c r="T833" s="8" t="s">
        <v>1577</v>
      </c>
      <c r="U833" s="8" t="s">
        <v>1571</v>
      </c>
      <c r="V833">
        <v>1400</v>
      </c>
      <c r="W833">
        <v>780</v>
      </c>
      <c r="X833">
        <v>1400</v>
      </c>
      <c r="Y833">
        <v>620</v>
      </c>
    </row>
    <row r="834" spans="1:25" x14ac:dyDescent="0.3">
      <c r="A834" s="8" t="s">
        <v>1168</v>
      </c>
      <c r="B834" s="14">
        <v>46076</v>
      </c>
      <c r="C834" s="8" t="s">
        <v>258</v>
      </c>
      <c r="D834" s="8" t="s">
        <v>152</v>
      </c>
      <c r="E834" s="8" t="s">
        <v>16</v>
      </c>
      <c r="F834">
        <v>2</v>
      </c>
      <c r="G834">
        <v>682.5</v>
      </c>
      <c r="H834">
        <v>0</v>
      </c>
      <c r="I834" s="8" t="s">
        <v>17</v>
      </c>
      <c r="J834" s="8" t="s">
        <v>47</v>
      </c>
      <c r="K834" s="8" t="s">
        <v>55</v>
      </c>
      <c r="L834">
        <v>1365</v>
      </c>
      <c r="M834" s="8" t="s">
        <v>52</v>
      </c>
      <c r="N834">
        <v>1365</v>
      </c>
      <c r="O834" s="8" t="s">
        <v>1701</v>
      </c>
      <c r="P834" s="8" t="s">
        <v>1553</v>
      </c>
      <c r="Q834" s="8" t="s">
        <v>1554</v>
      </c>
      <c r="R834" s="8" t="s">
        <v>59</v>
      </c>
      <c r="S834" s="8" t="s">
        <v>1542</v>
      </c>
      <c r="T834" s="8" t="s">
        <v>1570</v>
      </c>
      <c r="U834" s="8" t="s">
        <v>1571</v>
      </c>
      <c r="V834">
        <v>650</v>
      </c>
      <c r="W834">
        <v>390</v>
      </c>
      <c r="X834">
        <v>1365</v>
      </c>
      <c r="Y834">
        <v>585</v>
      </c>
    </row>
    <row r="835" spans="1:25" x14ac:dyDescent="0.3">
      <c r="A835" s="8" t="s">
        <v>1169</v>
      </c>
      <c r="B835" s="14">
        <v>46124</v>
      </c>
      <c r="C835" s="8" t="s">
        <v>442</v>
      </c>
      <c r="D835" s="8" t="s">
        <v>168</v>
      </c>
      <c r="E835" s="8" t="s">
        <v>16</v>
      </c>
      <c r="F835">
        <v>1</v>
      </c>
      <c r="G835">
        <v>650</v>
      </c>
      <c r="H835">
        <v>0.2</v>
      </c>
      <c r="I835" s="8" t="s">
        <v>80</v>
      </c>
      <c r="J835" s="8" t="s">
        <v>18</v>
      </c>
      <c r="K835" s="8" t="s">
        <v>55</v>
      </c>
      <c r="L835">
        <v>520</v>
      </c>
      <c r="M835" s="8" t="s">
        <v>42</v>
      </c>
      <c r="N835">
        <v>520</v>
      </c>
      <c r="O835" s="8" t="s">
        <v>1701</v>
      </c>
      <c r="P835" s="8" t="s">
        <v>1540</v>
      </c>
      <c r="Q835" s="8" t="s">
        <v>1541</v>
      </c>
      <c r="R835" s="8" t="s">
        <v>20</v>
      </c>
      <c r="S835" s="8" t="s">
        <v>1542</v>
      </c>
      <c r="T835" s="8" t="s">
        <v>1570</v>
      </c>
      <c r="U835" s="8" t="s">
        <v>1571</v>
      </c>
      <c r="V835">
        <v>650</v>
      </c>
      <c r="W835">
        <v>390</v>
      </c>
      <c r="X835">
        <v>0</v>
      </c>
      <c r="Y835">
        <v>-390</v>
      </c>
    </row>
    <row r="836" spans="1:25" x14ac:dyDescent="0.3">
      <c r="A836" s="8" t="s">
        <v>1170</v>
      </c>
      <c r="B836" s="14">
        <v>46044</v>
      </c>
      <c r="C836" s="8" t="s">
        <v>735</v>
      </c>
      <c r="D836" s="8" t="s">
        <v>152</v>
      </c>
      <c r="E836" s="8" t="s">
        <v>74</v>
      </c>
      <c r="F836">
        <v>1</v>
      </c>
      <c r="G836">
        <v>2400</v>
      </c>
      <c r="H836">
        <v>0.1</v>
      </c>
      <c r="I836" s="8" t="s">
        <v>17</v>
      </c>
      <c r="J836" s="8" t="s">
        <v>71</v>
      </c>
      <c r="K836" s="8" t="s">
        <v>1698</v>
      </c>
      <c r="L836">
        <v>2160</v>
      </c>
      <c r="M836" s="8" t="s">
        <v>48</v>
      </c>
      <c r="N836">
        <v>2160</v>
      </c>
      <c r="O836" s="8" t="s">
        <v>1701</v>
      </c>
      <c r="P836" s="8" t="s">
        <v>1553</v>
      </c>
      <c r="Q836" s="8" t="s">
        <v>1554</v>
      </c>
      <c r="R836" s="8" t="s">
        <v>59</v>
      </c>
      <c r="S836" s="8" t="s">
        <v>1542</v>
      </c>
      <c r="T836" s="8" t="s">
        <v>1584</v>
      </c>
      <c r="U836" s="8" t="s">
        <v>1583</v>
      </c>
      <c r="V836">
        <v>2400</v>
      </c>
      <c r="W836">
        <v>1480</v>
      </c>
      <c r="X836">
        <v>2160</v>
      </c>
      <c r="Y836">
        <v>680</v>
      </c>
    </row>
    <row r="837" spans="1:25" x14ac:dyDescent="0.3">
      <c r="A837" s="8" t="s">
        <v>1171</v>
      </c>
      <c r="B837" s="14">
        <v>46048</v>
      </c>
      <c r="C837" s="8" t="s">
        <v>186</v>
      </c>
      <c r="D837" s="8" t="s">
        <v>50</v>
      </c>
      <c r="E837" s="8" t="s">
        <v>135</v>
      </c>
      <c r="F837">
        <v>1</v>
      </c>
      <c r="G837">
        <v>15960</v>
      </c>
      <c r="H837">
        <v>0.2</v>
      </c>
      <c r="I837" s="8" t="s">
        <v>17</v>
      </c>
      <c r="J837" s="8" t="s">
        <v>47</v>
      </c>
      <c r="K837" s="8" t="s">
        <v>41</v>
      </c>
      <c r="L837">
        <v>12768</v>
      </c>
      <c r="M837" s="8" t="s">
        <v>56</v>
      </c>
      <c r="N837">
        <v>12768</v>
      </c>
      <c r="O837" s="8" t="s">
        <v>1701</v>
      </c>
      <c r="P837" s="8" t="s">
        <v>1544</v>
      </c>
      <c r="Q837" s="8" t="s">
        <v>1541</v>
      </c>
      <c r="R837" s="8" t="s">
        <v>26</v>
      </c>
      <c r="S837" s="8" t="s">
        <v>1542</v>
      </c>
      <c r="T837" s="8" t="s">
        <v>1576</v>
      </c>
      <c r="U837" s="8" t="s">
        <v>1575</v>
      </c>
      <c r="V837">
        <v>16800</v>
      </c>
      <c r="W837">
        <v>12600</v>
      </c>
      <c r="X837">
        <v>12768</v>
      </c>
      <c r="Y837">
        <v>168</v>
      </c>
    </row>
    <row r="838" spans="1:25" x14ac:dyDescent="0.3">
      <c r="A838" s="8" t="s">
        <v>1172</v>
      </c>
      <c r="B838" s="14">
        <v>46114</v>
      </c>
      <c r="C838" s="8" t="s">
        <v>452</v>
      </c>
      <c r="D838" s="8" t="s">
        <v>50</v>
      </c>
      <c r="E838" s="8" t="s">
        <v>24</v>
      </c>
      <c r="F838">
        <v>3</v>
      </c>
      <c r="G838">
        <v>11760</v>
      </c>
      <c r="H838">
        <v>0.2</v>
      </c>
      <c r="I838" s="8" t="s">
        <v>17</v>
      </c>
      <c r="J838" s="8" t="s">
        <v>31</v>
      </c>
      <c r="K838" s="8" t="s">
        <v>55</v>
      </c>
      <c r="L838">
        <v>28224</v>
      </c>
      <c r="M838" s="8" t="s">
        <v>26</v>
      </c>
      <c r="N838">
        <v>28224</v>
      </c>
      <c r="O838" s="8" t="s">
        <v>1701</v>
      </c>
      <c r="P838" s="8" t="s">
        <v>1544</v>
      </c>
      <c r="Q838" s="8" t="s">
        <v>1541</v>
      </c>
      <c r="R838" s="8" t="s">
        <v>26</v>
      </c>
      <c r="S838" s="8" t="s">
        <v>1542</v>
      </c>
      <c r="T838" s="8" t="s">
        <v>1574</v>
      </c>
      <c r="U838" s="8" t="s">
        <v>1575</v>
      </c>
      <c r="V838">
        <v>11200</v>
      </c>
      <c r="W838">
        <v>8300</v>
      </c>
      <c r="X838">
        <v>28224</v>
      </c>
      <c r="Y838">
        <v>3324</v>
      </c>
    </row>
    <row r="839" spans="1:25" x14ac:dyDescent="0.3">
      <c r="A839" s="8" t="s">
        <v>1173</v>
      </c>
      <c r="B839" s="14">
        <v>46136</v>
      </c>
      <c r="C839" s="8" t="s">
        <v>438</v>
      </c>
      <c r="D839" s="8" t="s">
        <v>168</v>
      </c>
      <c r="E839" s="8" t="s">
        <v>183</v>
      </c>
      <c r="F839">
        <v>1</v>
      </c>
      <c r="G839">
        <v>3200</v>
      </c>
      <c r="H839">
        <v>0.1</v>
      </c>
      <c r="I839" s="8" t="s">
        <v>17</v>
      </c>
      <c r="J839" s="8" t="s">
        <v>71</v>
      </c>
      <c r="K839" s="8" t="s">
        <v>41</v>
      </c>
      <c r="L839">
        <v>2880</v>
      </c>
      <c r="M839" s="8" t="s">
        <v>42</v>
      </c>
      <c r="N839">
        <v>2880</v>
      </c>
      <c r="O839" s="8" t="s">
        <v>1701</v>
      </c>
      <c r="P839" s="8" t="s">
        <v>1540</v>
      </c>
      <c r="Q839" s="8" t="s">
        <v>1541</v>
      </c>
      <c r="R839" s="8" t="s">
        <v>20</v>
      </c>
      <c r="S839" s="8" t="s">
        <v>1542</v>
      </c>
      <c r="T839" s="8" t="s">
        <v>1582</v>
      </c>
      <c r="U839" s="8" t="s">
        <v>1583</v>
      </c>
      <c r="V839">
        <v>3200</v>
      </c>
      <c r="W839">
        <v>2050</v>
      </c>
      <c r="X839">
        <v>2880</v>
      </c>
      <c r="Y839">
        <v>830</v>
      </c>
    </row>
    <row r="840" spans="1:25" x14ac:dyDescent="0.3">
      <c r="A840" s="8" t="s">
        <v>1174</v>
      </c>
      <c r="B840" s="14">
        <v>46027</v>
      </c>
      <c r="C840" s="8" t="s">
        <v>22</v>
      </c>
      <c r="D840" s="8" t="s">
        <v>70</v>
      </c>
      <c r="E840" s="8" t="s">
        <v>16</v>
      </c>
      <c r="F840">
        <v>10</v>
      </c>
      <c r="G840">
        <v>617.5</v>
      </c>
      <c r="H840">
        <v>0.05</v>
      </c>
      <c r="I840" s="8" t="s">
        <v>17</v>
      </c>
      <c r="J840" s="8" t="s">
        <v>31</v>
      </c>
      <c r="K840" s="8" t="s">
        <v>41</v>
      </c>
      <c r="L840">
        <v>5866.25</v>
      </c>
      <c r="M840" s="8" t="s">
        <v>59</v>
      </c>
      <c r="N840">
        <v>5866.25</v>
      </c>
      <c r="O840" s="8" t="s">
        <v>1701</v>
      </c>
      <c r="P840" s="8" t="s">
        <v>1550</v>
      </c>
      <c r="Q840" s="8" t="s">
        <v>1549</v>
      </c>
      <c r="R840" s="8" t="s">
        <v>32</v>
      </c>
      <c r="S840" s="8" t="s">
        <v>1542</v>
      </c>
      <c r="T840" s="8" t="s">
        <v>1570</v>
      </c>
      <c r="U840" s="8" t="s">
        <v>1571</v>
      </c>
      <c r="V840">
        <v>650</v>
      </c>
      <c r="W840">
        <v>390</v>
      </c>
      <c r="X840">
        <v>5866.25</v>
      </c>
      <c r="Y840">
        <v>1966.25</v>
      </c>
    </row>
    <row r="841" spans="1:25" x14ac:dyDescent="0.3">
      <c r="A841" s="8" t="s">
        <v>1175</v>
      </c>
      <c r="B841" s="14">
        <v>46034</v>
      </c>
      <c r="C841" s="8" t="s">
        <v>204</v>
      </c>
      <c r="D841" s="8" t="s">
        <v>70</v>
      </c>
      <c r="E841" s="8" t="s">
        <v>51</v>
      </c>
      <c r="F841">
        <v>1</v>
      </c>
      <c r="G841">
        <v>18500</v>
      </c>
      <c r="H841">
        <v>0.05</v>
      </c>
      <c r="I841" s="8" t="s">
        <v>17</v>
      </c>
      <c r="J841" s="8" t="s">
        <v>18</v>
      </c>
      <c r="K841" s="8" t="s">
        <v>55</v>
      </c>
      <c r="L841">
        <v>17575</v>
      </c>
      <c r="M841" s="8" t="s">
        <v>42</v>
      </c>
      <c r="N841">
        <v>17575</v>
      </c>
      <c r="O841" s="8" t="s">
        <v>1701</v>
      </c>
      <c r="P841" s="8" t="s">
        <v>1550</v>
      </c>
      <c r="Q841" s="8" t="s">
        <v>1549</v>
      </c>
      <c r="R841" s="8" t="s">
        <v>32</v>
      </c>
      <c r="S841" s="8" t="s">
        <v>1542</v>
      </c>
      <c r="T841" s="8" t="s">
        <v>1581</v>
      </c>
      <c r="U841" s="8" t="s">
        <v>1580</v>
      </c>
      <c r="V841">
        <v>18500</v>
      </c>
      <c r="W841">
        <v>13900</v>
      </c>
      <c r="X841">
        <v>17575</v>
      </c>
      <c r="Y841">
        <v>3675</v>
      </c>
    </row>
    <row r="842" spans="1:25" x14ac:dyDescent="0.3">
      <c r="A842" s="8" t="s">
        <v>1176</v>
      </c>
      <c r="B842" s="14">
        <v>46082</v>
      </c>
      <c r="C842" s="8" t="s">
        <v>1177</v>
      </c>
      <c r="D842" s="8" t="s">
        <v>23</v>
      </c>
      <c r="E842" s="8" t="s">
        <v>63</v>
      </c>
      <c r="F842">
        <v>2</v>
      </c>
      <c r="G842">
        <v>2200</v>
      </c>
      <c r="H842">
        <v>0</v>
      </c>
      <c r="I842" s="8" t="s">
        <v>17</v>
      </c>
      <c r="J842" s="8" t="s">
        <v>18</v>
      </c>
      <c r="K842" s="8" t="s">
        <v>41</v>
      </c>
      <c r="L842">
        <v>4400</v>
      </c>
      <c r="M842" s="8" t="s">
        <v>56</v>
      </c>
      <c r="N842">
        <v>4400</v>
      </c>
      <c r="O842" s="8" t="s">
        <v>1701</v>
      </c>
      <c r="P842" s="8" t="s">
        <v>1545</v>
      </c>
      <c r="Q842" s="8" t="s">
        <v>1541</v>
      </c>
      <c r="R842" s="8" t="s">
        <v>1546</v>
      </c>
      <c r="S842" s="8" t="s">
        <v>1542</v>
      </c>
      <c r="T842" s="8" t="s">
        <v>1572</v>
      </c>
      <c r="U842" s="8" t="s">
        <v>1571</v>
      </c>
      <c r="V842">
        <v>2200</v>
      </c>
      <c r="W842">
        <v>1450</v>
      </c>
      <c r="X842">
        <v>4400</v>
      </c>
      <c r="Y842">
        <v>1500</v>
      </c>
    </row>
    <row r="843" spans="1:25" x14ac:dyDescent="0.3">
      <c r="A843" s="8" t="s">
        <v>1178</v>
      </c>
      <c r="B843" s="14">
        <v>46079</v>
      </c>
      <c r="C843" s="8" t="s">
        <v>745</v>
      </c>
      <c r="D843" s="8" t="s">
        <v>15</v>
      </c>
      <c r="E843" s="8" t="s">
        <v>74</v>
      </c>
      <c r="F843">
        <v>4</v>
      </c>
      <c r="G843">
        <v>2280</v>
      </c>
      <c r="H843">
        <v>0.2</v>
      </c>
      <c r="I843" s="8" t="s">
        <v>17</v>
      </c>
      <c r="J843" s="8" t="s">
        <v>71</v>
      </c>
      <c r="K843" s="8" t="s">
        <v>55</v>
      </c>
      <c r="L843">
        <v>7296</v>
      </c>
      <c r="M843" s="8" t="s">
        <v>26</v>
      </c>
      <c r="N843">
        <v>7296</v>
      </c>
      <c r="O843" s="8" t="s">
        <v>1701</v>
      </c>
      <c r="P843" s="8" t="s">
        <v>1543</v>
      </c>
      <c r="Q843" s="8" t="s">
        <v>1541</v>
      </c>
      <c r="R843" s="8" t="s">
        <v>52</v>
      </c>
      <c r="S843" s="8" t="s">
        <v>1542</v>
      </c>
      <c r="T843" s="8" t="s">
        <v>1584</v>
      </c>
      <c r="U843" s="8" t="s">
        <v>1583</v>
      </c>
      <c r="V843">
        <v>2400</v>
      </c>
      <c r="W843">
        <v>1480</v>
      </c>
      <c r="X843">
        <v>7296</v>
      </c>
      <c r="Y843">
        <v>1376</v>
      </c>
    </row>
    <row r="844" spans="1:25" x14ac:dyDescent="0.3">
      <c r="A844" s="8" t="s">
        <v>1179</v>
      </c>
      <c r="B844" s="14">
        <v>46176</v>
      </c>
      <c r="C844" s="8" t="s">
        <v>405</v>
      </c>
      <c r="D844" s="8" t="s">
        <v>62</v>
      </c>
      <c r="E844" s="8" t="s">
        <v>63</v>
      </c>
      <c r="F844">
        <v>3</v>
      </c>
      <c r="G844">
        <v>2090</v>
      </c>
      <c r="H844">
        <v>0.15</v>
      </c>
      <c r="I844" s="8" t="s">
        <v>17</v>
      </c>
      <c r="J844" s="8" t="s">
        <v>18</v>
      </c>
      <c r="K844" s="8" t="s">
        <v>41</v>
      </c>
      <c r="L844">
        <v>5329.5</v>
      </c>
      <c r="M844" s="8" t="s">
        <v>138</v>
      </c>
      <c r="N844">
        <v>5329.5</v>
      </c>
      <c r="O844" s="8" t="s">
        <v>1701</v>
      </c>
      <c r="P844" s="8" t="s">
        <v>1551</v>
      </c>
      <c r="Q844" s="8" t="s">
        <v>1549</v>
      </c>
      <c r="R844" s="8" t="s">
        <v>1552</v>
      </c>
      <c r="S844" s="8" t="s">
        <v>1542</v>
      </c>
      <c r="T844" s="8" t="s">
        <v>1572</v>
      </c>
      <c r="U844" s="8" t="s">
        <v>1571</v>
      </c>
      <c r="V844">
        <v>2200</v>
      </c>
      <c r="W844">
        <v>1450</v>
      </c>
      <c r="X844">
        <v>5329.5</v>
      </c>
      <c r="Y844">
        <v>979.5</v>
      </c>
    </row>
    <row r="845" spans="1:25" x14ac:dyDescent="0.3">
      <c r="A845" s="8" t="s">
        <v>1180</v>
      </c>
      <c r="B845" s="14">
        <v>46067</v>
      </c>
      <c r="C845" s="8" t="s">
        <v>576</v>
      </c>
      <c r="D845" s="8" t="s">
        <v>95</v>
      </c>
      <c r="E845" s="8" t="s">
        <v>85</v>
      </c>
      <c r="F845">
        <v>2</v>
      </c>
      <c r="G845">
        <v>48500</v>
      </c>
      <c r="H845">
        <v>0.2</v>
      </c>
      <c r="I845" s="8" t="s">
        <v>17</v>
      </c>
      <c r="J845" s="8" t="s">
        <v>18</v>
      </c>
      <c r="K845" s="8" t="s">
        <v>55</v>
      </c>
      <c r="L845">
        <v>77600</v>
      </c>
      <c r="M845" s="8" t="s">
        <v>82</v>
      </c>
      <c r="N845">
        <v>77600</v>
      </c>
      <c r="O845" s="8" t="s">
        <v>1701</v>
      </c>
      <c r="P845" s="8" t="s">
        <v>1556</v>
      </c>
      <c r="Q845" s="8" t="s">
        <v>1554</v>
      </c>
      <c r="R845" s="8" t="s">
        <v>1557</v>
      </c>
      <c r="S845" s="8" t="s">
        <v>1542</v>
      </c>
      <c r="T845" s="8" t="s">
        <v>1585</v>
      </c>
      <c r="U845" s="8" t="s">
        <v>1586</v>
      </c>
      <c r="V845">
        <v>48500</v>
      </c>
      <c r="W845">
        <v>41200</v>
      </c>
      <c r="X845">
        <v>77600</v>
      </c>
      <c r="Y845">
        <v>-4800</v>
      </c>
    </row>
    <row r="846" spans="1:25" x14ac:dyDescent="0.3">
      <c r="A846" s="8" t="s">
        <v>1181</v>
      </c>
      <c r="B846" s="14">
        <v>46186</v>
      </c>
      <c r="C846" s="8" t="s">
        <v>613</v>
      </c>
      <c r="D846" s="8" t="s">
        <v>123</v>
      </c>
      <c r="E846" s="8" t="s">
        <v>24</v>
      </c>
      <c r="F846">
        <v>2</v>
      </c>
      <c r="G846">
        <v>11200</v>
      </c>
      <c r="H846">
        <v>0.2</v>
      </c>
      <c r="I846" s="8" t="s">
        <v>116</v>
      </c>
      <c r="J846" s="8" t="s">
        <v>31</v>
      </c>
      <c r="K846" s="8" t="s">
        <v>67</v>
      </c>
      <c r="L846">
        <v>17920</v>
      </c>
      <c r="M846" s="8" t="s">
        <v>52</v>
      </c>
      <c r="N846">
        <v>17920</v>
      </c>
      <c r="O846" s="8" t="s">
        <v>1701</v>
      </c>
      <c r="P846" s="8" t="s">
        <v>1558</v>
      </c>
      <c r="Q846" s="8" t="s">
        <v>1559</v>
      </c>
      <c r="R846" s="8" t="s">
        <v>138</v>
      </c>
      <c r="S846" s="8" t="s">
        <v>1542</v>
      </c>
      <c r="T846" s="8" t="s">
        <v>1574</v>
      </c>
      <c r="U846" s="8" t="s">
        <v>1575</v>
      </c>
      <c r="V846">
        <v>11200</v>
      </c>
      <c r="W846">
        <v>8300</v>
      </c>
      <c r="X846">
        <v>0</v>
      </c>
      <c r="Y846">
        <v>-16600</v>
      </c>
    </row>
    <row r="847" spans="1:25" x14ac:dyDescent="0.3">
      <c r="A847" s="8" t="s">
        <v>1182</v>
      </c>
      <c r="B847" s="14">
        <v>46132</v>
      </c>
      <c r="C847" s="8" t="s">
        <v>1702</v>
      </c>
      <c r="D847" s="8" t="s">
        <v>29</v>
      </c>
      <c r="E847" s="8" t="s">
        <v>24</v>
      </c>
      <c r="F847">
        <v>3</v>
      </c>
      <c r="G847">
        <v>11760</v>
      </c>
      <c r="H847">
        <v>0</v>
      </c>
      <c r="I847" s="8" t="s">
        <v>17</v>
      </c>
      <c r="J847" s="8" t="s">
        <v>71</v>
      </c>
      <c r="K847" s="8" t="s">
        <v>41</v>
      </c>
      <c r="L847">
        <v>35280</v>
      </c>
      <c r="M847" s="8" t="s">
        <v>32</v>
      </c>
      <c r="N847">
        <v>35280</v>
      </c>
      <c r="O847" s="8" t="s">
        <v>1701</v>
      </c>
      <c r="P847" s="8" t="s">
        <v>1560</v>
      </c>
      <c r="Q847" s="8" t="s">
        <v>1559</v>
      </c>
      <c r="R847" s="8" t="s">
        <v>1561</v>
      </c>
      <c r="S847" s="8" t="s">
        <v>1542</v>
      </c>
      <c r="T847" s="8" t="s">
        <v>1574</v>
      </c>
      <c r="U847" s="8" t="s">
        <v>1575</v>
      </c>
      <c r="V847">
        <v>11200</v>
      </c>
      <c r="W847">
        <v>8300</v>
      </c>
      <c r="X847">
        <v>35280</v>
      </c>
      <c r="Y847">
        <v>10380</v>
      </c>
    </row>
    <row r="848" spans="1:25" x14ac:dyDescent="0.3">
      <c r="A848" s="8" t="s">
        <v>1183</v>
      </c>
      <c r="B848" s="14">
        <v>46075</v>
      </c>
      <c r="C848" s="8" t="s">
        <v>215</v>
      </c>
      <c r="D848" s="8" t="s">
        <v>95</v>
      </c>
      <c r="E848" s="8" t="s">
        <v>16</v>
      </c>
      <c r="F848">
        <v>1</v>
      </c>
      <c r="G848">
        <v>682.5</v>
      </c>
      <c r="H848">
        <v>0.2</v>
      </c>
      <c r="I848" s="8" t="s">
        <v>17</v>
      </c>
      <c r="J848" s="8" t="s">
        <v>71</v>
      </c>
      <c r="K848" s="8" t="s">
        <v>67</v>
      </c>
      <c r="L848">
        <v>546</v>
      </c>
      <c r="M848" s="8" t="s">
        <v>138</v>
      </c>
      <c r="N848">
        <v>546</v>
      </c>
      <c r="O848" s="8" t="s">
        <v>1701</v>
      </c>
      <c r="P848" s="8" t="s">
        <v>1556</v>
      </c>
      <c r="Q848" s="8" t="s">
        <v>1554</v>
      </c>
      <c r="R848" s="8" t="s">
        <v>1557</v>
      </c>
      <c r="S848" s="8" t="s">
        <v>1542</v>
      </c>
      <c r="T848" s="8" t="s">
        <v>1570</v>
      </c>
      <c r="U848" s="8" t="s">
        <v>1571</v>
      </c>
      <c r="V848">
        <v>650</v>
      </c>
      <c r="W848">
        <v>390</v>
      </c>
      <c r="X848">
        <v>546</v>
      </c>
      <c r="Y848">
        <v>156</v>
      </c>
    </row>
    <row r="849" spans="1:25" x14ac:dyDescent="0.3">
      <c r="A849" s="8" t="s">
        <v>1184</v>
      </c>
      <c r="B849" s="14">
        <v>46187</v>
      </c>
      <c r="C849" s="8" t="s">
        <v>922</v>
      </c>
      <c r="D849" s="8" t="s">
        <v>29</v>
      </c>
      <c r="E849" s="8" t="s">
        <v>16</v>
      </c>
      <c r="F849">
        <v>2</v>
      </c>
      <c r="G849">
        <v>650</v>
      </c>
      <c r="H849">
        <v>0.1</v>
      </c>
      <c r="I849" s="8" t="s">
        <v>17</v>
      </c>
      <c r="J849" s="8" t="s">
        <v>71</v>
      </c>
      <c r="K849" s="8" t="s">
        <v>67</v>
      </c>
      <c r="L849">
        <v>1170</v>
      </c>
      <c r="M849" s="8" t="s">
        <v>138</v>
      </c>
      <c r="N849">
        <v>1170</v>
      </c>
      <c r="O849" s="8" t="s">
        <v>1701</v>
      </c>
      <c r="P849" s="8" t="s">
        <v>1560</v>
      </c>
      <c r="Q849" s="8" t="s">
        <v>1559</v>
      </c>
      <c r="R849" s="8" t="s">
        <v>1561</v>
      </c>
      <c r="S849" s="8" t="s">
        <v>1542</v>
      </c>
      <c r="T849" s="8" t="s">
        <v>1570</v>
      </c>
      <c r="U849" s="8" t="s">
        <v>1571</v>
      </c>
      <c r="V849">
        <v>650</v>
      </c>
      <c r="W849">
        <v>390</v>
      </c>
      <c r="X849">
        <v>1170</v>
      </c>
      <c r="Y849">
        <v>390</v>
      </c>
    </row>
    <row r="850" spans="1:25" x14ac:dyDescent="0.3">
      <c r="A850" s="8" t="s">
        <v>1185</v>
      </c>
      <c r="B850" s="14">
        <v>46085</v>
      </c>
      <c r="C850" s="8" t="s">
        <v>258</v>
      </c>
      <c r="D850" s="8" t="s">
        <v>23</v>
      </c>
      <c r="E850" s="8" t="s">
        <v>51</v>
      </c>
      <c r="F850">
        <v>1</v>
      </c>
      <c r="G850">
        <v>18500</v>
      </c>
      <c r="H850">
        <v>0.2</v>
      </c>
      <c r="I850" s="8" t="s">
        <v>116</v>
      </c>
      <c r="J850" s="8" t="s">
        <v>47</v>
      </c>
      <c r="K850" s="8" t="s">
        <v>41</v>
      </c>
      <c r="L850">
        <v>14800</v>
      </c>
      <c r="M850" s="8" t="s">
        <v>56</v>
      </c>
      <c r="N850">
        <v>14800</v>
      </c>
      <c r="O850" s="8" t="s">
        <v>1701</v>
      </c>
      <c r="P850" s="8" t="s">
        <v>1545</v>
      </c>
      <c r="Q850" s="8" t="s">
        <v>1541</v>
      </c>
      <c r="R850" s="8" t="s">
        <v>1546</v>
      </c>
      <c r="S850" s="8" t="s">
        <v>1542</v>
      </c>
      <c r="T850" s="8" t="s">
        <v>1581</v>
      </c>
      <c r="U850" s="8" t="s">
        <v>1580</v>
      </c>
      <c r="V850">
        <v>18500</v>
      </c>
      <c r="W850">
        <v>13900</v>
      </c>
      <c r="X850">
        <v>0</v>
      </c>
      <c r="Y850">
        <v>-13900</v>
      </c>
    </row>
    <row r="851" spans="1:25" x14ac:dyDescent="0.3">
      <c r="A851" s="8" t="s">
        <v>1186</v>
      </c>
      <c r="B851" s="14">
        <v>46184</v>
      </c>
      <c r="C851" s="8" t="s">
        <v>1187</v>
      </c>
      <c r="D851" s="8" t="s">
        <v>168</v>
      </c>
      <c r="E851" s="8" t="s">
        <v>63</v>
      </c>
      <c r="F851">
        <v>5</v>
      </c>
      <c r="G851">
        <v>2090</v>
      </c>
      <c r="H851">
        <v>0</v>
      </c>
      <c r="I851" s="8" t="s">
        <v>80</v>
      </c>
      <c r="J851" s="8" t="s">
        <v>71</v>
      </c>
      <c r="K851" s="8" t="s">
        <v>41</v>
      </c>
      <c r="L851">
        <v>10450</v>
      </c>
      <c r="M851" s="8" t="s">
        <v>42</v>
      </c>
      <c r="N851">
        <v>10450</v>
      </c>
      <c r="O851" s="8" t="s">
        <v>1701</v>
      </c>
      <c r="P851" s="8" t="s">
        <v>1540</v>
      </c>
      <c r="Q851" s="8" t="s">
        <v>1541</v>
      </c>
      <c r="R851" s="8" t="s">
        <v>20</v>
      </c>
      <c r="S851" s="8" t="s">
        <v>1542</v>
      </c>
      <c r="T851" s="8" t="s">
        <v>1572</v>
      </c>
      <c r="U851" s="8" t="s">
        <v>1571</v>
      </c>
      <c r="V851">
        <v>2200</v>
      </c>
      <c r="W851">
        <v>1450</v>
      </c>
      <c r="X851">
        <v>0</v>
      </c>
      <c r="Y851">
        <v>-7250</v>
      </c>
    </row>
    <row r="852" spans="1:25" x14ac:dyDescent="0.3">
      <c r="A852" s="8" t="s">
        <v>1188</v>
      </c>
      <c r="B852" s="14">
        <v>46067</v>
      </c>
      <c r="C852" s="8" t="s">
        <v>1147</v>
      </c>
      <c r="D852" s="8" t="s">
        <v>40</v>
      </c>
      <c r="E852" s="8" t="s">
        <v>51</v>
      </c>
      <c r="F852">
        <v>4</v>
      </c>
      <c r="G852">
        <v>17575</v>
      </c>
      <c r="H852">
        <v>0</v>
      </c>
      <c r="I852" s="8" t="s">
        <v>17</v>
      </c>
      <c r="J852" s="8" t="s">
        <v>18</v>
      </c>
      <c r="K852" s="8" t="s">
        <v>67</v>
      </c>
      <c r="L852">
        <v>70300</v>
      </c>
      <c r="M852" s="8" t="s">
        <v>59</v>
      </c>
      <c r="N852">
        <v>70300</v>
      </c>
      <c r="O852" s="8" t="s">
        <v>1701</v>
      </c>
      <c r="P852" s="8" t="s">
        <v>1555</v>
      </c>
      <c r="Q852" s="8" t="s">
        <v>1554</v>
      </c>
      <c r="R852" s="8" t="s">
        <v>82</v>
      </c>
      <c r="S852" s="8" t="s">
        <v>1542</v>
      </c>
      <c r="T852" s="8" t="s">
        <v>1581</v>
      </c>
      <c r="U852" s="8" t="s">
        <v>1580</v>
      </c>
      <c r="V852">
        <v>18500</v>
      </c>
      <c r="W852">
        <v>13900</v>
      </c>
      <c r="X852">
        <v>70300</v>
      </c>
      <c r="Y852">
        <v>14700</v>
      </c>
    </row>
    <row r="853" spans="1:25" x14ac:dyDescent="0.3">
      <c r="A853" s="8" t="s">
        <v>1189</v>
      </c>
      <c r="B853" s="14">
        <v>46073</v>
      </c>
      <c r="C853" s="8" t="s">
        <v>724</v>
      </c>
      <c r="D853" s="8" t="s">
        <v>23</v>
      </c>
      <c r="E853" s="8" t="s">
        <v>161</v>
      </c>
      <c r="F853">
        <v>1</v>
      </c>
      <c r="G853">
        <v>2730</v>
      </c>
      <c r="H853">
        <v>0</v>
      </c>
      <c r="I853" s="8" t="s">
        <v>17</v>
      </c>
      <c r="J853" s="8" t="s">
        <v>47</v>
      </c>
      <c r="K853" s="8" t="s">
        <v>55</v>
      </c>
      <c r="L853">
        <v>2730</v>
      </c>
      <c r="M853" s="8" t="s">
        <v>42</v>
      </c>
      <c r="N853">
        <v>2730</v>
      </c>
      <c r="O853" s="8" t="s">
        <v>1701</v>
      </c>
      <c r="P853" s="8" t="s">
        <v>1545</v>
      </c>
      <c r="Q853" s="8" t="s">
        <v>1541</v>
      </c>
      <c r="R853" s="8" t="s">
        <v>1546</v>
      </c>
      <c r="S853" s="8" t="s">
        <v>1542</v>
      </c>
      <c r="T853" s="8" t="s">
        <v>1578</v>
      </c>
      <c r="U853" s="8" t="s">
        <v>1571</v>
      </c>
      <c r="V853">
        <v>2600</v>
      </c>
      <c r="W853">
        <v>1750</v>
      </c>
      <c r="X853">
        <v>2730</v>
      </c>
      <c r="Y853">
        <v>980</v>
      </c>
    </row>
    <row r="854" spans="1:25" x14ac:dyDescent="0.3">
      <c r="A854" s="8" t="s">
        <v>1190</v>
      </c>
      <c r="B854" s="14">
        <v>46115</v>
      </c>
      <c r="C854" s="8" t="s">
        <v>101</v>
      </c>
      <c r="D854" s="8" t="s">
        <v>70</v>
      </c>
      <c r="E854" s="8" t="s">
        <v>161</v>
      </c>
      <c r="F854">
        <v>1</v>
      </c>
      <c r="G854">
        <v>2730</v>
      </c>
      <c r="H854">
        <v>0.1</v>
      </c>
      <c r="I854" s="8" t="s">
        <v>17</v>
      </c>
      <c r="J854" s="8" t="s">
        <v>18</v>
      </c>
      <c r="K854" s="8" t="s">
        <v>1698</v>
      </c>
      <c r="L854">
        <v>2457</v>
      </c>
      <c r="M854" s="8" t="s">
        <v>32</v>
      </c>
      <c r="N854">
        <v>2457</v>
      </c>
      <c r="O854" s="8" t="s">
        <v>1701</v>
      </c>
      <c r="P854" s="8" t="s">
        <v>1550</v>
      </c>
      <c r="Q854" s="8" t="s">
        <v>1549</v>
      </c>
      <c r="R854" s="8" t="s">
        <v>32</v>
      </c>
      <c r="S854" s="8" t="s">
        <v>1542</v>
      </c>
      <c r="T854" s="8" t="s">
        <v>1578</v>
      </c>
      <c r="U854" s="8" t="s">
        <v>1571</v>
      </c>
      <c r="V854">
        <v>2600</v>
      </c>
      <c r="W854">
        <v>1750</v>
      </c>
      <c r="X854">
        <v>2457</v>
      </c>
      <c r="Y854">
        <v>707</v>
      </c>
    </row>
    <row r="855" spans="1:25" x14ac:dyDescent="0.3">
      <c r="A855" s="8" t="s">
        <v>1191</v>
      </c>
      <c r="B855" s="14">
        <v>46132</v>
      </c>
      <c r="C855" s="8" t="s">
        <v>298</v>
      </c>
      <c r="D855" s="8" t="s">
        <v>90</v>
      </c>
      <c r="E855" s="8" t="s">
        <v>63</v>
      </c>
      <c r="F855">
        <v>4</v>
      </c>
      <c r="G855">
        <v>2200</v>
      </c>
      <c r="H855">
        <v>0.05</v>
      </c>
      <c r="I855" s="8" t="s">
        <v>17</v>
      </c>
      <c r="J855" s="8" t="s">
        <v>47</v>
      </c>
      <c r="K855" s="8" t="s">
        <v>55</v>
      </c>
      <c r="L855">
        <v>8360</v>
      </c>
      <c r="M855" s="8" t="s">
        <v>56</v>
      </c>
      <c r="N855">
        <v>8360</v>
      </c>
      <c r="O855" s="8" t="s">
        <v>1701</v>
      </c>
      <c r="P855" s="8" t="s">
        <v>1562</v>
      </c>
      <c r="Q855" s="8" t="s">
        <v>1563</v>
      </c>
      <c r="R855" s="8" t="s">
        <v>48</v>
      </c>
      <c r="S855" s="8" t="s">
        <v>1542</v>
      </c>
      <c r="T855" s="8" t="s">
        <v>1572</v>
      </c>
      <c r="U855" s="8" t="s">
        <v>1571</v>
      </c>
      <c r="V855">
        <v>2200</v>
      </c>
      <c r="W855">
        <v>1450</v>
      </c>
      <c r="X855">
        <v>8360</v>
      </c>
      <c r="Y855">
        <v>2560</v>
      </c>
    </row>
    <row r="856" spans="1:25" x14ac:dyDescent="0.3">
      <c r="A856" s="8" t="s">
        <v>1192</v>
      </c>
      <c r="B856" s="14">
        <v>46101</v>
      </c>
      <c r="C856" s="8" t="s">
        <v>167</v>
      </c>
      <c r="D856" s="8" t="s">
        <v>62</v>
      </c>
      <c r="E856" s="8" t="s">
        <v>135</v>
      </c>
      <c r="F856">
        <v>2</v>
      </c>
      <c r="G856">
        <v>16800</v>
      </c>
      <c r="H856">
        <v>0.15</v>
      </c>
      <c r="I856" s="8" t="s">
        <v>17</v>
      </c>
      <c r="J856" s="8" t="s">
        <v>18</v>
      </c>
      <c r="K856" s="8" t="s">
        <v>41</v>
      </c>
      <c r="L856">
        <v>28560</v>
      </c>
      <c r="M856" s="8" t="s">
        <v>59</v>
      </c>
      <c r="N856">
        <v>28560</v>
      </c>
      <c r="O856" s="8" t="s">
        <v>1701</v>
      </c>
      <c r="P856" s="8" t="s">
        <v>1551</v>
      </c>
      <c r="Q856" s="8" t="s">
        <v>1549</v>
      </c>
      <c r="R856" s="8" t="s">
        <v>1552</v>
      </c>
      <c r="S856" s="8" t="s">
        <v>1542</v>
      </c>
      <c r="T856" s="8" t="s">
        <v>1576</v>
      </c>
      <c r="U856" s="8" t="s">
        <v>1575</v>
      </c>
      <c r="V856">
        <v>16800</v>
      </c>
      <c r="W856">
        <v>12600</v>
      </c>
      <c r="X856">
        <v>28560</v>
      </c>
      <c r="Y856">
        <v>3360</v>
      </c>
    </row>
    <row r="857" spans="1:25" x14ac:dyDescent="0.3">
      <c r="A857" s="8" t="s">
        <v>1193</v>
      </c>
      <c r="B857" s="14">
        <v>46071</v>
      </c>
      <c r="C857" s="8" t="s">
        <v>1194</v>
      </c>
      <c r="D857" s="8" t="s">
        <v>168</v>
      </c>
      <c r="E857" s="8" t="s">
        <v>16</v>
      </c>
      <c r="F857">
        <v>5</v>
      </c>
      <c r="G857">
        <v>682.5</v>
      </c>
      <c r="H857">
        <v>0.2</v>
      </c>
      <c r="I857" s="8" t="s">
        <v>17</v>
      </c>
      <c r="J857" s="8" t="s">
        <v>18</v>
      </c>
      <c r="K857" s="8" t="s">
        <v>55</v>
      </c>
      <c r="L857">
        <v>2730</v>
      </c>
      <c r="M857" s="8" t="s">
        <v>138</v>
      </c>
      <c r="N857">
        <v>2730</v>
      </c>
      <c r="O857" s="8" t="s">
        <v>1701</v>
      </c>
      <c r="P857" s="8" t="s">
        <v>1540</v>
      </c>
      <c r="Q857" s="8" t="s">
        <v>1541</v>
      </c>
      <c r="R857" s="8" t="s">
        <v>20</v>
      </c>
      <c r="S857" s="8" t="s">
        <v>1542</v>
      </c>
      <c r="T857" s="8" t="s">
        <v>1570</v>
      </c>
      <c r="U857" s="8" t="s">
        <v>1571</v>
      </c>
      <c r="V857">
        <v>650</v>
      </c>
      <c r="W857">
        <v>390</v>
      </c>
      <c r="X857">
        <v>2730</v>
      </c>
      <c r="Y857">
        <v>780</v>
      </c>
    </row>
    <row r="858" spans="1:25" x14ac:dyDescent="0.3">
      <c r="A858" s="8" t="s">
        <v>1195</v>
      </c>
      <c r="B858" s="14">
        <v>46121</v>
      </c>
      <c r="C858" s="8" t="s">
        <v>669</v>
      </c>
      <c r="D858" s="8" t="s">
        <v>62</v>
      </c>
      <c r="E858" s="8" t="s">
        <v>135</v>
      </c>
      <c r="F858">
        <v>3</v>
      </c>
      <c r="G858">
        <v>15960</v>
      </c>
      <c r="I858" s="8" t="s">
        <v>17</v>
      </c>
      <c r="J858" s="8" t="s">
        <v>18</v>
      </c>
      <c r="K858" s="8" t="s">
        <v>25</v>
      </c>
      <c r="L858">
        <v>40698</v>
      </c>
      <c r="M858" s="8" t="s">
        <v>59</v>
      </c>
      <c r="O858" s="8" t="s">
        <v>1703</v>
      </c>
      <c r="P858" s="8" t="s">
        <v>1551</v>
      </c>
      <c r="Q858" s="8" t="s">
        <v>1549</v>
      </c>
      <c r="R858" s="8" t="s">
        <v>1552</v>
      </c>
      <c r="S858" s="8" t="s">
        <v>1542</v>
      </c>
      <c r="T858" s="8" t="s">
        <v>1576</v>
      </c>
      <c r="U858" s="8" t="s">
        <v>1575</v>
      </c>
      <c r="V858">
        <v>16800</v>
      </c>
      <c r="W858">
        <v>12600</v>
      </c>
      <c r="X858">
        <v>0</v>
      </c>
      <c r="Y858">
        <v>-37800</v>
      </c>
    </row>
    <row r="859" spans="1:25" x14ac:dyDescent="0.3">
      <c r="A859" s="8" t="s">
        <v>1196</v>
      </c>
      <c r="B859" s="14">
        <v>46072</v>
      </c>
      <c r="C859" s="8" t="s">
        <v>619</v>
      </c>
      <c r="D859" s="8" t="s">
        <v>29</v>
      </c>
      <c r="E859" s="8" t="s">
        <v>161</v>
      </c>
      <c r="F859">
        <v>8</v>
      </c>
      <c r="G859">
        <v>2730</v>
      </c>
      <c r="H859">
        <v>0.2</v>
      </c>
      <c r="I859" s="8" t="s">
        <v>17</v>
      </c>
      <c r="J859" s="8" t="s">
        <v>31</v>
      </c>
      <c r="K859" s="8" t="s">
        <v>55</v>
      </c>
      <c r="L859">
        <v>17472</v>
      </c>
      <c r="M859" s="8" t="s">
        <v>32</v>
      </c>
      <c r="N859">
        <v>17472</v>
      </c>
      <c r="O859" s="8" t="s">
        <v>1701</v>
      </c>
      <c r="P859" s="8" t="s">
        <v>1560</v>
      </c>
      <c r="Q859" s="8" t="s">
        <v>1559</v>
      </c>
      <c r="R859" s="8" t="s">
        <v>1561</v>
      </c>
      <c r="S859" s="8" t="s">
        <v>1542</v>
      </c>
      <c r="T859" s="8" t="s">
        <v>1578</v>
      </c>
      <c r="U859" s="8" t="s">
        <v>1571</v>
      </c>
      <c r="V859">
        <v>2600</v>
      </c>
      <c r="W859">
        <v>1750</v>
      </c>
      <c r="X859">
        <v>17472</v>
      </c>
      <c r="Y859">
        <v>3472</v>
      </c>
    </row>
    <row r="860" spans="1:25" x14ac:dyDescent="0.3">
      <c r="A860" s="8" t="s">
        <v>1197</v>
      </c>
      <c r="B860" s="14">
        <v>46086</v>
      </c>
      <c r="C860" s="8" t="s">
        <v>401</v>
      </c>
      <c r="D860" s="8" t="s">
        <v>23</v>
      </c>
      <c r="E860" s="8" t="s">
        <v>46</v>
      </c>
      <c r="F860">
        <v>1</v>
      </c>
      <c r="G860">
        <v>7410</v>
      </c>
      <c r="H860">
        <v>0.05</v>
      </c>
      <c r="I860" s="8" t="s">
        <v>17</v>
      </c>
      <c r="J860" s="8" t="s">
        <v>47</v>
      </c>
      <c r="K860" s="8" t="s">
        <v>25</v>
      </c>
      <c r="L860">
        <v>7039.5</v>
      </c>
      <c r="M860" s="8" t="s">
        <v>56</v>
      </c>
      <c r="N860">
        <v>7039.5</v>
      </c>
      <c r="O860" s="8" t="s">
        <v>1701</v>
      </c>
      <c r="P860" s="8" t="s">
        <v>1545</v>
      </c>
      <c r="Q860" s="8" t="s">
        <v>1541</v>
      </c>
      <c r="R860" s="8" t="s">
        <v>1546</v>
      </c>
      <c r="S860" s="8" t="s">
        <v>1542</v>
      </c>
      <c r="T860" s="8" t="s">
        <v>1579</v>
      </c>
      <c r="U860" s="8" t="s">
        <v>1580</v>
      </c>
      <c r="V860">
        <v>7800</v>
      </c>
      <c r="W860">
        <v>5200</v>
      </c>
      <c r="X860">
        <v>7039.5</v>
      </c>
      <c r="Y860">
        <v>1839.5</v>
      </c>
    </row>
    <row r="861" spans="1:25" x14ac:dyDescent="0.3">
      <c r="A861" s="8" t="s">
        <v>1198</v>
      </c>
      <c r="B861" s="14">
        <v>46197</v>
      </c>
      <c r="C861" s="8" t="s">
        <v>1177</v>
      </c>
      <c r="D861" s="8" t="s">
        <v>50</v>
      </c>
      <c r="E861" s="8" t="s">
        <v>135</v>
      </c>
      <c r="F861">
        <v>1</v>
      </c>
      <c r="G861">
        <v>16800</v>
      </c>
      <c r="H861">
        <v>0.15</v>
      </c>
      <c r="I861" s="8" t="s">
        <v>80</v>
      </c>
      <c r="J861" s="8" t="s">
        <v>31</v>
      </c>
      <c r="K861" s="8" t="s">
        <v>1698</v>
      </c>
      <c r="L861">
        <v>14280</v>
      </c>
      <c r="M861" s="8" t="s">
        <v>32</v>
      </c>
      <c r="N861">
        <v>14280</v>
      </c>
      <c r="O861" s="8" t="s">
        <v>1701</v>
      </c>
      <c r="P861" s="8" t="s">
        <v>1544</v>
      </c>
      <c r="Q861" s="8" t="s">
        <v>1541</v>
      </c>
      <c r="R861" s="8" t="s">
        <v>26</v>
      </c>
      <c r="S861" s="8" t="s">
        <v>1542</v>
      </c>
      <c r="T861" s="8" t="s">
        <v>1576</v>
      </c>
      <c r="U861" s="8" t="s">
        <v>1575</v>
      </c>
      <c r="V861">
        <v>16800</v>
      </c>
      <c r="W861">
        <v>12600</v>
      </c>
      <c r="X861">
        <v>0</v>
      </c>
      <c r="Y861">
        <v>-12600</v>
      </c>
    </row>
    <row r="862" spans="1:25" x14ac:dyDescent="0.3">
      <c r="A862" s="8" t="s">
        <v>1199</v>
      </c>
      <c r="B862" s="14">
        <v>46124</v>
      </c>
      <c r="C862" s="8" t="s">
        <v>61</v>
      </c>
      <c r="D862" s="8" t="s">
        <v>123</v>
      </c>
      <c r="E862" s="8" t="s">
        <v>183</v>
      </c>
      <c r="F862">
        <v>10</v>
      </c>
      <c r="G862">
        <v>3200</v>
      </c>
      <c r="H862">
        <v>0</v>
      </c>
      <c r="I862" s="8" t="s">
        <v>17</v>
      </c>
      <c r="J862" s="8" t="s">
        <v>71</v>
      </c>
      <c r="K862" s="8" t="s">
        <v>55</v>
      </c>
      <c r="L862">
        <v>32000</v>
      </c>
      <c r="M862" s="8" t="s">
        <v>26</v>
      </c>
      <c r="N862">
        <v>32000</v>
      </c>
      <c r="O862" s="8" t="s">
        <v>1701</v>
      </c>
      <c r="P862" s="8" t="s">
        <v>1558</v>
      </c>
      <c r="Q862" s="8" t="s">
        <v>1559</v>
      </c>
      <c r="R862" s="8" t="s">
        <v>138</v>
      </c>
      <c r="S862" s="8" t="s">
        <v>1542</v>
      </c>
      <c r="T862" s="8" t="s">
        <v>1582</v>
      </c>
      <c r="U862" s="8" t="s">
        <v>1583</v>
      </c>
      <c r="V862">
        <v>3200</v>
      </c>
      <c r="W862">
        <v>2050</v>
      </c>
      <c r="X862">
        <v>32000</v>
      </c>
      <c r="Y862">
        <v>11500</v>
      </c>
    </row>
    <row r="863" spans="1:25" x14ac:dyDescent="0.3">
      <c r="A863" s="8" t="s">
        <v>1200</v>
      </c>
      <c r="B863" s="14">
        <v>46200</v>
      </c>
      <c r="C863" s="8" t="s">
        <v>328</v>
      </c>
      <c r="D863" s="8" t="s">
        <v>45</v>
      </c>
      <c r="E863" s="8" t="s">
        <v>51</v>
      </c>
      <c r="F863">
        <v>8</v>
      </c>
      <c r="G863">
        <v>18500</v>
      </c>
      <c r="H863">
        <v>0.2</v>
      </c>
      <c r="I863" s="8" t="s">
        <v>66</v>
      </c>
      <c r="J863" s="8" t="s">
        <v>31</v>
      </c>
      <c r="K863" s="8" t="s">
        <v>1698</v>
      </c>
      <c r="L863">
        <v>118400</v>
      </c>
      <c r="M863" s="8" t="s">
        <v>48</v>
      </c>
      <c r="N863">
        <v>118400</v>
      </c>
      <c r="O863" s="8" t="s">
        <v>1701</v>
      </c>
      <c r="P863" s="8" t="s">
        <v>1547</v>
      </c>
      <c r="Q863" s="8" t="s">
        <v>1541</v>
      </c>
      <c r="R863" s="8" t="s">
        <v>56</v>
      </c>
      <c r="S863" s="8" t="s">
        <v>1542</v>
      </c>
      <c r="T863" s="8" t="s">
        <v>1581</v>
      </c>
      <c r="U863" s="8" t="s">
        <v>1580</v>
      </c>
      <c r="V863">
        <v>18500</v>
      </c>
      <c r="W863">
        <v>13900</v>
      </c>
      <c r="X863">
        <v>0</v>
      </c>
      <c r="Y863">
        <v>-111200</v>
      </c>
    </row>
    <row r="864" spans="1:25" x14ac:dyDescent="0.3">
      <c r="A864" s="8" t="s">
        <v>1201</v>
      </c>
      <c r="B864" s="14">
        <v>46111</v>
      </c>
      <c r="C864" s="8" t="s">
        <v>867</v>
      </c>
      <c r="D864" s="8" t="s">
        <v>90</v>
      </c>
      <c r="E864" s="8" t="s">
        <v>30</v>
      </c>
      <c r="F864">
        <v>1</v>
      </c>
      <c r="G864">
        <v>1890</v>
      </c>
      <c r="H864">
        <v>0</v>
      </c>
      <c r="I864" s="8" t="s">
        <v>80</v>
      </c>
      <c r="J864" s="8" t="s">
        <v>31</v>
      </c>
      <c r="K864" s="8" t="s">
        <v>41</v>
      </c>
      <c r="L864">
        <v>1890</v>
      </c>
      <c r="M864" s="8" t="s">
        <v>56</v>
      </c>
      <c r="N864">
        <v>1890</v>
      </c>
      <c r="O864" s="8" t="s">
        <v>1701</v>
      </c>
      <c r="P864" s="8" t="s">
        <v>1562</v>
      </c>
      <c r="Q864" s="8" t="s">
        <v>1563</v>
      </c>
      <c r="R864" s="8" t="s">
        <v>48</v>
      </c>
      <c r="S864" s="8" t="s">
        <v>1542</v>
      </c>
      <c r="T864" s="8" t="s">
        <v>1573</v>
      </c>
      <c r="U864" s="8" t="s">
        <v>1571</v>
      </c>
      <c r="V864">
        <v>1800</v>
      </c>
      <c r="W864">
        <v>1120</v>
      </c>
      <c r="X864">
        <v>0</v>
      </c>
      <c r="Y864">
        <v>-1120</v>
      </c>
    </row>
    <row r="865" spans="1:25" x14ac:dyDescent="0.3">
      <c r="A865" s="8" t="s">
        <v>1202</v>
      </c>
      <c r="B865" s="14">
        <v>46023</v>
      </c>
      <c r="C865" s="8" t="s">
        <v>279</v>
      </c>
      <c r="D865" s="8" t="s">
        <v>15</v>
      </c>
      <c r="E865" s="8" t="s">
        <v>63</v>
      </c>
      <c r="F865">
        <v>4</v>
      </c>
      <c r="G865">
        <v>2200</v>
      </c>
      <c r="H865">
        <v>0.1</v>
      </c>
      <c r="I865" s="8" t="s">
        <v>17</v>
      </c>
      <c r="J865" s="8" t="s">
        <v>71</v>
      </c>
      <c r="K865" s="8" t="s">
        <v>41</v>
      </c>
      <c r="L865">
        <v>7920</v>
      </c>
      <c r="M865" s="8" t="s">
        <v>138</v>
      </c>
      <c r="N865">
        <v>7920</v>
      </c>
      <c r="O865" s="8" t="s">
        <v>1701</v>
      </c>
      <c r="P865" s="8" t="s">
        <v>1543</v>
      </c>
      <c r="Q865" s="8" t="s">
        <v>1541</v>
      </c>
      <c r="R865" s="8" t="s">
        <v>52</v>
      </c>
      <c r="S865" s="8" t="s">
        <v>1542</v>
      </c>
      <c r="T865" s="8" t="s">
        <v>1572</v>
      </c>
      <c r="U865" s="8" t="s">
        <v>1571</v>
      </c>
      <c r="V865">
        <v>2200</v>
      </c>
      <c r="W865">
        <v>1450</v>
      </c>
      <c r="X865">
        <v>7920</v>
      </c>
      <c r="Y865">
        <v>2120</v>
      </c>
    </row>
    <row r="866" spans="1:25" x14ac:dyDescent="0.3">
      <c r="A866" s="8" t="s">
        <v>1203</v>
      </c>
      <c r="B866" s="14">
        <v>46070</v>
      </c>
      <c r="C866" s="8" t="s">
        <v>336</v>
      </c>
      <c r="D866" s="8" t="s">
        <v>123</v>
      </c>
      <c r="E866" s="8" t="s">
        <v>30</v>
      </c>
      <c r="F866">
        <v>1</v>
      </c>
      <c r="G866">
        <v>1710</v>
      </c>
      <c r="H866">
        <v>0</v>
      </c>
      <c r="I866" s="8" t="s">
        <v>17</v>
      </c>
      <c r="J866" s="8" t="s">
        <v>71</v>
      </c>
      <c r="K866" s="8" t="s">
        <v>41</v>
      </c>
      <c r="L866">
        <v>1710</v>
      </c>
      <c r="M866" s="8" t="s">
        <v>52</v>
      </c>
      <c r="N866">
        <v>1710</v>
      </c>
      <c r="O866" s="8" t="s">
        <v>1701</v>
      </c>
      <c r="P866" s="8" t="s">
        <v>1558</v>
      </c>
      <c r="Q866" s="8" t="s">
        <v>1559</v>
      </c>
      <c r="R866" s="8" t="s">
        <v>138</v>
      </c>
      <c r="S866" s="8" t="s">
        <v>1542</v>
      </c>
      <c r="T866" s="8" t="s">
        <v>1573</v>
      </c>
      <c r="U866" s="8" t="s">
        <v>1571</v>
      </c>
      <c r="V866">
        <v>1800</v>
      </c>
      <c r="W866">
        <v>1120</v>
      </c>
      <c r="X866">
        <v>1710</v>
      </c>
      <c r="Y866">
        <v>590</v>
      </c>
    </row>
    <row r="867" spans="1:25" x14ac:dyDescent="0.3">
      <c r="A867" s="8" t="s">
        <v>1204</v>
      </c>
      <c r="B867" s="14">
        <v>46038</v>
      </c>
      <c r="C867" s="8" t="s">
        <v>491</v>
      </c>
      <c r="D867" s="8" t="s">
        <v>123</v>
      </c>
      <c r="E867" s="8" t="s">
        <v>30</v>
      </c>
      <c r="F867">
        <v>4</v>
      </c>
      <c r="G867">
        <v>1890</v>
      </c>
      <c r="H867">
        <v>0</v>
      </c>
      <c r="I867" s="8" t="s">
        <v>17</v>
      </c>
      <c r="J867" s="8" t="s">
        <v>31</v>
      </c>
      <c r="K867" s="8" t="s">
        <v>41</v>
      </c>
      <c r="L867">
        <v>7560</v>
      </c>
      <c r="M867" s="8" t="s">
        <v>42</v>
      </c>
      <c r="N867">
        <v>7560</v>
      </c>
      <c r="O867" s="8" t="s">
        <v>1701</v>
      </c>
      <c r="P867" s="8" t="s">
        <v>1558</v>
      </c>
      <c r="Q867" s="8" t="s">
        <v>1559</v>
      </c>
      <c r="R867" s="8" t="s">
        <v>138</v>
      </c>
      <c r="S867" s="8" t="s">
        <v>1542</v>
      </c>
      <c r="T867" s="8" t="s">
        <v>1573</v>
      </c>
      <c r="U867" s="8" t="s">
        <v>1571</v>
      </c>
      <c r="V867">
        <v>1800</v>
      </c>
      <c r="W867">
        <v>1120</v>
      </c>
      <c r="X867">
        <v>7560</v>
      </c>
      <c r="Y867">
        <v>3080</v>
      </c>
    </row>
    <row r="868" spans="1:25" x14ac:dyDescent="0.3">
      <c r="A868" s="8" t="s">
        <v>1205</v>
      </c>
      <c r="B868" s="14">
        <v>46098</v>
      </c>
      <c r="C868" s="8" t="s">
        <v>103</v>
      </c>
      <c r="D868" s="8" t="s">
        <v>15</v>
      </c>
      <c r="E868" s="8" t="s">
        <v>161</v>
      </c>
      <c r="F868">
        <v>1</v>
      </c>
      <c r="G868">
        <v>2600</v>
      </c>
      <c r="H868">
        <v>0</v>
      </c>
      <c r="I868" s="8" t="s">
        <v>17</v>
      </c>
      <c r="J868" s="8" t="s">
        <v>18</v>
      </c>
      <c r="K868" s="8" t="s">
        <v>1698</v>
      </c>
      <c r="L868">
        <v>2600</v>
      </c>
      <c r="M868" s="8" t="s">
        <v>20</v>
      </c>
      <c r="N868">
        <v>2600</v>
      </c>
      <c r="O868" s="8" t="s">
        <v>1701</v>
      </c>
      <c r="P868" s="8" t="s">
        <v>1543</v>
      </c>
      <c r="Q868" s="8" t="s">
        <v>1541</v>
      </c>
      <c r="R868" s="8" t="s">
        <v>52</v>
      </c>
      <c r="S868" s="8" t="s">
        <v>1542</v>
      </c>
      <c r="T868" s="8" t="s">
        <v>1578</v>
      </c>
      <c r="U868" s="8" t="s">
        <v>1571</v>
      </c>
      <c r="V868">
        <v>2600</v>
      </c>
      <c r="W868">
        <v>1750</v>
      </c>
      <c r="X868">
        <v>2600</v>
      </c>
      <c r="Y868">
        <v>850</v>
      </c>
    </row>
    <row r="869" spans="1:25" x14ac:dyDescent="0.3">
      <c r="A869" s="8" t="s">
        <v>1206</v>
      </c>
      <c r="B869" s="14">
        <v>46038</v>
      </c>
      <c r="C869" s="8" t="s">
        <v>596</v>
      </c>
      <c r="D869" s="8" t="s">
        <v>45</v>
      </c>
      <c r="E869" s="8" t="s">
        <v>16</v>
      </c>
      <c r="F869">
        <v>3</v>
      </c>
      <c r="G869">
        <v>617.5</v>
      </c>
      <c r="H869">
        <v>0</v>
      </c>
      <c r="I869" s="8" t="s">
        <v>17</v>
      </c>
      <c r="J869" s="8" t="s">
        <v>47</v>
      </c>
      <c r="K869" s="8" t="s">
        <v>55</v>
      </c>
      <c r="L869">
        <v>1852.5</v>
      </c>
      <c r="M869" s="8" t="s">
        <v>56</v>
      </c>
      <c r="N869">
        <v>1852.5</v>
      </c>
      <c r="O869" s="8" t="s">
        <v>1701</v>
      </c>
      <c r="P869" s="8" t="s">
        <v>1547</v>
      </c>
      <c r="Q869" s="8" t="s">
        <v>1541</v>
      </c>
      <c r="R869" s="8" t="s">
        <v>56</v>
      </c>
      <c r="S869" s="8" t="s">
        <v>1542</v>
      </c>
      <c r="T869" s="8" t="s">
        <v>1570</v>
      </c>
      <c r="U869" s="8" t="s">
        <v>1571</v>
      </c>
      <c r="V869">
        <v>650</v>
      </c>
      <c r="W869">
        <v>390</v>
      </c>
      <c r="X869">
        <v>1852.5</v>
      </c>
      <c r="Y869">
        <v>682.5</v>
      </c>
    </row>
    <row r="870" spans="1:25" x14ac:dyDescent="0.3">
      <c r="A870" s="8" t="s">
        <v>1207</v>
      </c>
      <c r="B870" s="14">
        <v>46109</v>
      </c>
      <c r="C870" s="8" t="s">
        <v>156</v>
      </c>
      <c r="D870" s="8" t="s">
        <v>40</v>
      </c>
      <c r="E870" s="8" t="s">
        <v>161</v>
      </c>
      <c r="F870">
        <v>2</v>
      </c>
      <c r="G870">
        <v>2600</v>
      </c>
      <c r="H870">
        <v>0.2</v>
      </c>
      <c r="I870" s="8" t="s">
        <v>66</v>
      </c>
      <c r="J870" s="8" t="s">
        <v>47</v>
      </c>
      <c r="K870" s="8" t="s">
        <v>55</v>
      </c>
      <c r="L870">
        <v>4160</v>
      </c>
      <c r="M870" s="8" t="s">
        <v>32</v>
      </c>
      <c r="N870">
        <v>4160</v>
      </c>
      <c r="O870" s="8" t="s">
        <v>1701</v>
      </c>
      <c r="P870" s="8" t="s">
        <v>1555</v>
      </c>
      <c r="Q870" s="8" t="s">
        <v>1554</v>
      </c>
      <c r="R870" s="8" t="s">
        <v>82</v>
      </c>
      <c r="S870" s="8" t="s">
        <v>1542</v>
      </c>
      <c r="T870" s="8" t="s">
        <v>1578</v>
      </c>
      <c r="U870" s="8" t="s">
        <v>1571</v>
      </c>
      <c r="V870">
        <v>2600</v>
      </c>
      <c r="W870">
        <v>1750</v>
      </c>
      <c r="X870">
        <v>0</v>
      </c>
      <c r="Y870">
        <v>-3500</v>
      </c>
    </row>
    <row r="871" spans="1:25" x14ac:dyDescent="0.3">
      <c r="A871" s="8" t="s">
        <v>1208</v>
      </c>
      <c r="B871" s="14">
        <v>46179</v>
      </c>
      <c r="C871" s="8" t="s">
        <v>340</v>
      </c>
      <c r="D871" s="8" t="s">
        <v>168</v>
      </c>
      <c r="E871" s="8" t="s">
        <v>36</v>
      </c>
      <c r="F871">
        <v>5</v>
      </c>
      <c r="G871">
        <v>1470</v>
      </c>
      <c r="H871">
        <v>0</v>
      </c>
      <c r="I871" s="8" t="s">
        <v>17</v>
      </c>
      <c r="J871" s="8" t="s">
        <v>31</v>
      </c>
      <c r="K871" s="8" t="s">
        <v>25</v>
      </c>
      <c r="L871">
        <v>7350</v>
      </c>
      <c r="M871" s="8" t="s">
        <v>42</v>
      </c>
      <c r="N871">
        <v>7350</v>
      </c>
      <c r="O871" s="8" t="s">
        <v>1701</v>
      </c>
      <c r="P871" s="8" t="s">
        <v>1540</v>
      </c>
      <c r="Q871" s="8" t="s">
        <v>1541</v>
      </c>
      <c r="R871" s="8" t="s">
        <v>20</v>
      </c>
      <c r="S871" s="8" t="s">
        <v>1542</v>
      </c>
      <c r="T871" s="8" t="s">
        <v>1577</v>
      </c>
      <c r="U871" s="8" t="s">
        <v>1571</v>
      </c>
      <c r="V871">
        <v>1400</v>
      </c>
      <c r="W871">
        <v>780</v>
      </c>
      <c r="X871">
        <v>7350</v>
      </c>
      <c r="Y871">
        <v>3450</v>
      </c>
    </row>
    <row r="872" spans="1:25" x14ac:dyDescent="0.3">
      <c r="A872" s="8" t="s">
        <v>1209</v>
      </c>
      <c r="B872" s="14">
        <v>46158</v>
      </c>
      <c r="C872" s="8" t="s">
        <v>450</v>
      </c>
      <c r="D872" s="8" t="s">
        <v>45</v>
      </c>
      <c r="E872" s="8" t="s">
        <v>85</v>
      </c>
      <c r="F872">
        <v>4</v>
      </c>
      <c r="G872">
        <v>50925</v>
      </c>
      <c r="H872">
        <v>0</v>
      </c>
      <c r="I872" s="8" t="s">
        <v>17</v>
      </c>
      <c r="J872" s="8" t="s">
        <v>71</v>
      </c>
      <c r="K872" s="8" t="s">
        <v>1698</v>
      </c>
      <c r="L872">
        <v>203700</v>
      </c>
      <c r="M872" s="8" t="s">
        <v>138</v>
      </c>
      <c r="N872">
        <v>203700</v>
      </c>
      <c r="O872" s="8" t="s">
        <v>1701</v>
      </c>
      <c r="P872" s="8" t="s">
        <v>1547</v>
      </c>
      <c r="Q872" s="8" t="s">
        <v>1541</v>
      </c>
      <c r="R872" s="8" t="s">
        <v>56</v>
      </c>
      <c r="S872" s="8" t="s">
        <v>1542</v>
      </c>
      <c r="T872" s="8" t="s">
        <v>1585</v>
      </c>
      <c r="U872" s="8" t="s">
        <v>1586</v>
      </c>
      <c r="V872">
        <v>48500</v>
      </c>
      <c r="W872">
        <v>41200</v>
      </c>
      <c r="X872">
        <v>203700</v>
      </c>
      <c r="Y872">
        <v>38900</v>
      </c>
    </row>
    <row r="873" spans="1:25" x14ac:dyDescent="0.3">
      <c r="A873" s="8" t="s">
        <v>1210</v>
      </c>
      <c r="B873" s="14">
        <v>46027</v>
      </c>
      <c r="C873" s="8" t="s">
        <v>448</v>
      </c>
      <c r="D873" s="8" t="s">
        <v>95</v>
      </c>
      <c r="E873" s="8" t="s">
        <v>36</v>
      </c>
      <c r="F873">
        <v>5</v>
      </c>
      <c r="G873">
        <v>1470</v>
      </c>
      <c r="H873">
        <v>0.2</v>
      </c>
      <c r="I873" s="8" t="s">
        <v>17</v>
      </c>
      <c r="J873" s="8" t="s">
        <v>18</v>
      </c>
      <c r="K873" s="8" t="s">
        <v>55</v>
      </c>
      <c r="L873">
        <v>5880</v>
      </c>
      <c r="M873" s="8" t="s">
        <v>48</v>
      </c>
      <c r="N873">
        <v>5880</v>
      </c>
      <c r="O873" s="8" t="s">
        <v>1701</v>
      </c>
      <c r="P873" s="8" t="s">
        <v>1556</v>
      </c>
      <c r="Q873" s="8" t="s">
        <v>1554</v>
      </c>
      <c r="R873" s="8" t="s">
        <v>1557</v>
      </c>
      <c r="S873" s="8" t="s">
        <v>1542</v>
      </c>
      <c r="T873" s="8" t="s">
        <v>1577</v>
      </c>
      <c r="U873" s="8" t="s">
        <v>1571</v>
      </c>
      <c r="V873">
        <v>1400</v>
      </c>
      <c r="W873">
        <v>780</v>
      </c>
      <c r="X873">
        <v>5880</v>
      </c>
      <c r="Y873">
        <v>1980</v>
      </c>
    </row>
    <row r="874" spans="1:25" x14ac:dyDescent="0.3">
      <c r="A874" s="8" t="s">
        <v>1211</v>
      </c>
      <c r="B874" s="14">
        <v>46043</v>
      </c>
      <c r="C874" s="8" t="s">
        <v>592</v>
      </c>
      <c r="D874" s="8" t="s">
        <v>35</v>
      </c>
      <c r="E874" s="8" t="s">
        <v>161</v>
      </c>
      <c r="F874">
        <v>8</v>
      </c>
      <c r="G874">
        <v>2470</v>
      </c>
      <c r="H874">
        <v>0.1</v>
      </c>
      <c r="I874" s="8" t="s">
        <v>116</v>
      </c>
      <c r="J874" s="8" t="s">
        <v>47</v>
      </c>
      <c r="K874" s="8" t="s">
        <v>25</v>
      </c>
      <c r="L874">
        <v>17784</v>
      </c>
      <c r="M874" s="8" t="s">
        <v>52</v>
      </c>
      <c r="N874">
        <v>17784</v>
      </c>
      <c r="O874" s="8" t="s">
        <v>1701</v>
      </c>
      <c r="P874" s="8" t="s">
        <v>1548</v>
      </c>
      <c r="Q874" s="8" t="s">
        <v>1549</v>
      </c>
      <c r="R874" s="8" t="s">
        <v>42</v>
      </c>
      <c r="S874" s="8" t="s">
        <v>1542</v>
      </c>
      <c r="T874" s="8" t="s">
        <v>1578</v>
      </c>
      <c r="U874" s="8" t="s">
        <v>1571</v>
      </c>
      <c r="V874">
        <v>2600</v>
      </c>
      <c r="W874">
        <v>1750</v>
      </c>
      <c r="X874">
        <v>0</v>
      </c>
      <c r="Y874">
        <v>-14000</v>
      </c>
    </row>
    <row r="875" spans="1:25" x14ac:dyDescent="0.3">
      <c r="A875" s="8" t="s">
        <v>1212</v>
      </c>
      <c r="B875" s="14">
        <v>46059</v>
      </c>
      <c r="C875" s="8" t="s">
        <v>353</v>
      </c>
      <c r="D875" s="8" t="s">
        <v>90</v>
      </c>
      <c r="E875" s="8" t="s">
        <v>51</v>
      </c>
      <c r="G875">
        <v>18500</v>
      </c>
      <c r="H875">
        <v>0.2</v>
      </c>
      <c r="I875" s="8" t="s">
        <v>17</v>
      </c>
      <c r="J875" s="8" t="s">
        <v>31</v>
      </c>
      <c r="K875" s="8" t="s">
        <v>67</v>
      </c>
      <c r="L875">
        <v>74000</v>
      </c>
      <c r="M875" s="8" t="s">
        <v>82</v>
      </c>
      <c r="O875" s="8" t="s">
        <v>1703</v>
      </c>
      <c r="P875" s="8" t="s">
        <v>1562</v>
      </c>
      <c r="Q875" s="8" t="s">
        <v>1563</v>
      </c>
      <c r="R875" s="8" t="s">
        <v>48</v>
      </c>
      <c r="S875" s="8" t="s">
        <v>1542</v>
      </c>
      <c r="T875" s="8" t="s">
        <v>1581</v>
      </c>
      <c r="U875" s="8" t="s">
        <v>1580</v>
      </c>
      <c r="V875">
        <v>18500</v>
      </c>
      <c r="W875">
        <v>13900</v>
      </c>
      <c r="X875">
        <v>0</v>
      </c>
      <c r="Y875">
        <v>0</v>
      </c>
    </row>
    <row r="876" spans="1:25" x14ac:dyDescent="0.3">
      <c r="A876" s="8" t="s">
        <v>1213</v>
      </c>
      <c r="B876" s="14">
        <v>46142</v>
      </c>
      <c r="C876" s="8" t="s">
        <v>414</v>
      </c>
      <c r="D876" s="8" t="s">
        <v>50</v>
      </c>
      <c r="E876" s="8" t="s">
        <v>46</v>
      </c>
      <c r="F876">
        <v>8</v>
      </c>
      <c r="G876">
        <v>7800</v>
      </c>
      <c r="H876">
        <v>0.1</v>
      </c>
      <c r="I876" s="8" t="s">
        <v>17</v>
      </c>
      <c r="J876" s="8" t="s">
        <v>71</v>
      </c>
      <c r="K876" s="8" t="s">
        <v>41</v>
      </c>
      <c r="L876">
        <v>56160</v>
      </c>
      <c r="M876" s="8" t="s">
        <v>42</v>
      </c>
      <c r="N876">
        <v>56160</v>
      </c>
      <c r="O876" s="8" t="s">
        <v>1701</v>
      </c>
      <c r="P876" s="8" t="s">
        <v>1544</v>
      </c>
      <c r="Q876" s="8" t="s">
        <v>1541</v>
      </c>
      <c r="R876" s="8" t="s">
        <v>26</v>
      </c>
      <c r="S876" s="8" t="s">
        <v>1542</v>
      </c>
      <c r="T876" s="8" t="s">
        <v>1579</v>
      </c>
      <c r="U876" s="8" t="s">
        <v>1580</v>
      </c>
      <c r="V876">
        <v>7800</v>
      </c>
      <c r="W876">
        <v>5200</v>
      </c>
      <c r="X876">
        <v>56160</v>
      </c>
      <c r="Y876">
        <v>14560</v>
      </c>
    </row>
    <row r="877" spans="1:25" x14ac:dyDescent="0.3">
      <c r="A877" s="8" t="s">
        <v>1214</v>
      </c>
      <c r="B877" s="14">
        <v>46050</v>
      </c>
      <c r="C877" s="8" t="s">
        <v>22</v>
      </c>
      <c r="D877" s="8" t="s">
        <v>70</v>
      </c>
      <c r="E877" s="8" t="s">
        <v>85</v>
      </c>
      <c r="F877">
        <v>1</v>
      </c>
      <c r="G877">
        <v>48500</v>
      </c>
      <c r="H877">
        <v>0.05</v>
      </c>
      <c r="I877" s="8" t="s">
        <v>80</v>
      </c>
      <c r="J877" s="8" t="s">
        <v>47</v>
      </c>
      <c r="K877" s="8" t="s">
        <v>55</v>
      </c>
      <c r="L877">
        <v>46075</v>
      </c>
      <c r="M877" s="8" t="s">
        <v>42</v>
      </c>
      <c r="N877">
        <v>46075</v>
      </c>
      <c r="O877" s="8" t="s">
        <v>1701</v>
      </c>
      <c r="P877" s="8" t="s">
        <v>1550</v>
      </c>
      <c r="Q877" s="8" t="s">
        <v>1549</v>
      </c>
      <c r="R877" s="8" t="s">
        <v>32</v>
      </c>
      <c r="S877" s="8" t="s">
        <v>1542</v>
      </c>
      <c r="T877" s="8" t="s">
        <v>1585</v>
      </c>
      <c r="U877" s="8" t="s">
        <v>1586</v>
      </c>
      <c r="V877">
        <v>48500</v>
      </c>
      <c r="W877">
        <v>41200</v>
      </c>
      <c r="X877">
        <v>0</v>
      </c>
      <c r="Y877">
        <v>-41200</v>
      </c>
    </row>
    <row r="878" spans="1:25" x14ac:dyDescent="0.3">
      <c r="A878" s="8" t="s">
        <v>1215</v>
      </c>
      <c r="B878" s="14">
        <v>46193</v>
      </c>
      <c r="C878" s="8" t="s">
        <v>338</v>
      </c>
      <c r="D878" s="8" t="s">
        <v>50</v>
      </c>
      <c r="E878" s="8" t="s">
        <v>51</v>
      </c>
      <c r="F878">
        <v>3</v>
      </c>
      <c r="G878">
        <v>18500</v>
      </c>
      <c r="H878">
        <v>0.1</v>
      </c>
      <c r="I878" s="8" t="s">
        <v>17</v>
      </c>
      <c r="J878" s="8" t="s">
        <v>31</v>
      </c>
      <c r="K878" s="8" t="s">
        <v>67</v>
      </c>
      <c r="L878">
        <v>49950</v>
      </c>
      <c r="M878" s="8" t="s">
        <v>32</v>
      </c>
      <c r="N878">
        <v>49950</v>
      </c>
      <c r="O878" s="8" t="s">
        <v>1701</v>
      </c>
      <c r="P878" s="8" t="s">
        <v>1544</v>
      </c>
      <c r="Q878" s="8" t="s">
        <v>1541</v>
      </c>
      <c r="R878" s="8" t="s">
        <v>26</v>
      </c>
      <c r="S878" s="8" t="s">
        <v>1542</v>
      </c>
      <c r="T878" s="8" t="s">
        <v>1581</v>
      </c>
      <c r="U878" s="8" t="s">
        <v>1580</v>
      </c>
      <c r="V878">
        <v>18500</v>
      </c>
      <c r="W878">
        <v>13900</v>
      </c>
      <c r="X878">
        <v>49950</v>
      </c>
      <c r="Y878">
        <v>8250</v>
      </c>
    </row>
    <row r="879" spans="1:25" x14ac:dyDescent="0.3">
      <c r="A879" s="8" t="s">
        <v>1216</v>
      </c>
      <c r="B879" s="14">
        <v>46120</v>
      </c>
      <c r="C879" s="8" t="s">
        <v>693</v>
      </c>
      <c r="D879" s="8" t="s">
        <v>95</v>
      </c>
      <c r="E879" s="8" t="s">
        <v>74</v>
      </c>
      <c r="F879">
        <v>4</v>
      </c>
      <c r="G879">
        <v>2400</v>
      </c>
      <c r="H879">
        <v>0.1</v>
      </c>
      <c r="I879" s="8" t="s">
        <v>17</v>
      </c>
      <c r="J879" s="8" t="s">
        <v>31</v>
      </c>
      <c r="K879" s="8" t="s">
        <v>67</v>
      </c>
      <c r="L879">
        <v>8640</v>
      </c>
      <c r="M879" s="8" t="s">
        <v>42</v>
      </c>
      <c r="N879">
        <v>8640</v>
      </c>
      <c r="O879" s="8" t="s">
        <v>1701</v>
      </c>
      <c r="P879" s="8" t="s">
        <v>1556</v>
      </c>
      <c r="Q879" s="8" t="s">
        <v>1554</v>
      </c>
      <c r="R879" s="8" t="s">
        <v>1557</v>
      </c>
      <c r="S879" s="8" t="s">
        <v>1542</v>
      </c>
      <c r="T879" s="8" t="s">
        <v>1584</v>
      </c>
      <c r="U879" s="8" t="s">
        <v>1583</v>
      </c>
      <c r="V879">
        <v>2400</v>
      </c>
      <c r="W879">
        <v>1480</v>
      </c>
      <c r="X879">
        <v>8640</v>
      </c>
      <c r="Y879">
        <v>2720</v>
      </c>
    </row>
    <row r="880" spans="1:25" x14ac:dyDescent="0.3">
      <c r="A880" s="8" t="s">
        <v>1217</v>
      </c>
      <c r="B880" s="14"/>
      <c r="C880" s="8" t="s">
        <v>619</v>
      </c>
      <c r="D880" s="8" t="s">
        <v>15</v>
      </c>
      <c r="E880" s="8" t="s">
        <v>36</v>
      </c>
      <c r="F880">
        <v>4</v>
      </c>
      <c r="G880">
        <v>1330</v>
      </c>
      <c r="H880">
        <v>0</v>
      </c>
      <c r="I880" s="8" t="s">
        <v>17</v>
      </c>
      <c r="J880" s="8" t="s">
        <v>71</v>
      </c>
      <c r="K880" s="8" t="s">
        <v>67</v>
      </c>
      <c r="L880">
        <v>5320</v>
      </c>
      <c r="M880" s="8" t="s">
        <v>32</v>
      </c>
      <c r="N880">
        <v>5320</v>
      </c>
      <c r="O880" s="8" t="s">
        <v>1701</v>
      </c>
      <c r="P880" s="8" t="s">
        <v>1543</v>
      </c>
      <c r="Q880" s="8" t="s">
        <v>1541</v>
      </c>
      <c r="R880" s="8" t="s">
        <v>52</v>
      </c>
      <c r="S880" s="8" t="s">
        <v>1542</v>
      </c>
      <c r="T880" s="8" t="s">
        <v>1577</v>
      </c>
      <c r="U880" s="8" t="s">
        <v>1571</v>
      </c>
      <c r="V880">
        <v>1400</v>
      </c>
      <c r="W880">
        <v>780</v>
      </c>
      <c r="X880">
        <v>5320</v>
      </c>
      <c r="Y880">
        <v>2200</v>
      </c>
    </row>
    <row r="881" spans="1:25" x14ac:dyDescent="0.3">
      <c r="A881" s="8" t="s">
        <v>1218</v>
      </c>
      <c r="B881" s="14">
        <v>46170</v>
      </c>
      <c r="C881" s="8" t="s">
        <v>61</v>
      </c>
      <c r="D881" s="8" t="s">
        <v>123</v>
      </c>
      <c r="E881" s="8" t="s">
        <v>16</v>
      </c>
      <c r="F881">
        <v>2</v>
      </c>
      <c r="G881">
        <v>682.5</v>
      </c>
      <c r="H881">
        <v>0.15</v>
      </c>
      <c r="I881" s="8" t="s">
        <v>17</v>
      </c>
      <c r="J881" s="8" t="s">
        <v>47</v>
      </c>
      <c r="K881" s="8" t="s">
        <v>67</v>
      </c>
      <c r="L881">
        <v>1160.25</v>
      </c>
      <c r="M881" s="8" t="s">
        <v>59</v>
      </c>
      <c r="N881">
        <v>1160.25</v>
      </c>
      <c r="O881" s="8" t="s">
        <v>1701</v>
      </c>
      <c r="P881" s="8" t="s">
        <v>1558</v>
      </c>
      <c r="Q881" s="8" t="s">
        <v>1559</v>
      </c>
      <c r="R881" s="8" t="s">
        <v>138</v>
      </c>
      <c r="S881" s="8" t="s">
        <v>1542</v>
      </c>
      <c r="T881" s="8" t="s">
        <v>1570</v>
      </c>
      <c r="U881" s="8" t="s">
        <v>1571</v>
      </c>
      <c r="V881">
        <v>650</v>
      </c>
      <c r="W881">
        <v>390</v>
      </c>
      <c r="X881">
        <v>1160.25</v>
      </c>
      <c r="Y881">
        <v>380.25</v>
      </c>
    </row>
    <row r="882" spans="1:25" x14ac:dyDescent="0.3">
      <c r="A882" s="8" t="s">
        <v>1219</v>
      </c>
      <c r="B882" s="14">
        <v>46156</v>
      </c>
      <c r="C882" s="8" t="s">
        <v>192</v>
      </c>
      <c r="D882" s="8" t="s">
        <v>95</v>
      </c>
      <c r="E882" s="8" t="s">
        <v>183</v>
      </c>
      <c r="F882">
        <v>3</v>
      </c>
      <c r="G882">
        <v>3360</v>
      </c>
      <c r="H882">
        <v>0</v>
      </c>
      <c r="I882" s="8" t="s">
        <v>17</v>
      </c>
      <c r="J882" s="8" t="s">
        <v>71</v>
      </c>
      <c r="K882" s="8" t="s">
        <v>67</v>
      </c>
      <c r="L882">
        <v>10080</v>
      </c>
      <c r="M882" s="8" t="s">
        <v>52</v>
      </c>
      <c r="N882">
        <v>10080</v>
      </c>
      <c r="O882" s="8" t="s">
        <v>1701</v>
      </c>
      <c r="P882" s="8" t="s">
        <v>1556</v>
      </c>
      <c r="Q882" s="8" t="s">
        <v>1554</v>
      </c>
      <c r="R882" s="8" t="s">
        <v>1557</v>
      </c>
      <c r="S882" s="8" t="s">
        <v>1542</v>
      </c>
      <c r="T882" s="8" t="s">
        <v>1582</v>
      </c>
      <c r="U882" s="8" t="s">
        <v>1583</v>
      </c>
      <c r="V882">
        <v>3200</v>
      </c>
      <c r="W882">
        <v>2050</v>
      </c>
      <c r="X882">
        <v>10080</v>
      </c>
      <c r="Y882">
        <v>3930</v>
      </c>
    </row>
    <row r="883" spans="1:25" x14ac:dyDescent="0.3">
      <c r="A883" s="8" t="s">
        <v>1220</v>
      </c>
      <c r="B883" s="14">
        <v>46150</v>
      </c>
      <c r="C883" s="8" t="s">
        <v>1028</v>
      </c>
      <c r="D883" s="8" t="s">
        <v>95</v>
      </c>
      <c r="E883" s="8" t="s">
        <v>46</v>
      </c>
      <c r="F883">
        <v>1</v>
      </c>
      <c r="G883">
        <v>7410</v>
      </c>
      <c r="H883">
        <v>0.05</v>
      </c>
      <c r="I883" s="8" t="s">
        <v>17</v>
      </c>
      <c r="J883" s="8" t="s">
        <v>47</v>
      </c>
      <c r="K883" s="8" t="s">
        <v>41</v>
      </c>
      <c r="L883">
        <v>7039.5</v>
      </c>
      <c r="M883" s="8" t="s">
        <v>42</v>
      </c>
      <c r="N883">
        <v>7039.5</v>
      </c>
      <c r="O883" s="8" t="s">
        <v>1701</v>
      </c>
      <c r="P883" s="8" t="s">
        <v>1556</v>
      </c>
      <c r="Q883" s="8" t="s">
        <v>1554</v>
      </c>
      <c r="R883" s="8" t="s">
        <v>1557</v>
      </c>
      <c r="S883" s="8" t="s">
        <v>1542</v>
      </c>
      <c r="T883" s="8" t="s">
        <v>1579</v>
      </c>
      <c r="U883" s="8" t="s">
        <v>1580</v>
      </c>
      <c r="V883">
        <v>7800</v>
      </c>
      <c r="W883">
        <v>5200</v>
      </c>
      <c r="X883">
        <v>7039.5</v>
      </c>
      <c r="Y883">
        <v>1839.5</v>
      </c>
    </row>
    <row r="884" spans="1:25" x14ac:dyDescent="0.3">
      <c r="A884" s="8" t="s">
        <v>1221</v>
      </c>
      <c r="B884" s="14">
        <v>46093</v>
      </c>
      <c r="C884" s="8" t="s">
        <v>601</v>
      </c>
      <c r="D884" s="8" t="s">
        <v>90</v>
      </c>
      <c r="E884" s="8" t="s">
        <v>85</v>
      </c>
      <c r="F884">
        <v>3</v>
      </c>
      <c r="G884">
        <v>50925</v>
      </c>
      <c r="H884">
        <v>0.2</v>
      </c>
      <c r="I884" s="8" t="s">
        <v>17</v>
      </c>
      <c r="J884" s="8" t="s">
        <v>18</v>
      </c>
      <c r="K884" s="8" t="s">
        <v>1698</v>
      </c>
      <c r="L884">
        <v>122220</v>
      </c>
      <c r="M884" s="8" t="s">
        <v>138</v>
      </c>
      <c r="N884">
        <v>122220</v>
      </c>
      <c r="O884" s="8" t="s">
        <v>1701</v>
      </c>
      <c r="P884" s="8" t="s">
        <v>1562</v>
      </c>
      <c r="Q884" s="8" t="s">
        <v>1563</v>
      </c>
      <c r="R884" s="8" t="s">
        <v>48</v>
      </c>
      <c r="S884" s="8" t="s">
        <v>1542</v>
      </c>
      <c r="T884" s="8" t="s">
        <v>1585</v>
      </c>
      <c r="U884" s="8" t="s">
        <v>1586</v>
      </c>
      <c r="V884">
        <v>48500</v>
      </c>
      <c r="W884">
        <v>41200</v>
      </c>
      <c r="X884">
        <v>122220</v>
      </c>
      <c r="Y884">
        <v>-1380</v>
      </c>
    </row>
    <row r="885" spans="1:25" x14ac:dyDescent="0.3">
      <c r="A885" s="8" t="s">
        <v>1222</v>
      </c>
      <c r="B885" s="14">
        <v>46062</v>
      </c>
      <c r="C885" s="8" t="s">
        <v>285</v>
      </c>
      <c r="D885" s="8" t="s">
        <v>90</v>
      </c>
      <c r="E885" s="8" t="s">
        <v>85</v>
      </c>
      <c r="F885">
        <v>1</v>
      </c>
      <c r="G885">
        <v>48500</v>
      </c>
      <c r="H885">
        <v>0.2</v>
      </c>
      <c r="I885" s="8" t="s">
        <v>80</v>
      </c>
      <c r="J885" s="8" t="s">
        <v>71</v>
      </c>
      <c r="K885" s="8" t="s">
        <v>55</v>
      </c>
      <c r="L885">
        <v>38800</v>
      </c>
      <c r="M885" s="8" t="s">
        <v>32</v>
      </c>
      <c r="N885">
        <v>38800</v>
      </c>
      <c r="O885" s="8" t="s">
        <v>1701</v>
      </c>
      <c r="P885" s="8" t="s">
        <v>1562</v>
      </c>
      <c r="Q885" s="8" t="s">
        <v>1563</v>
      </c>
      <c r="R885" s="8" t="s">
        <v>48</v>
      </c>
      <c r="S885" s="8" t="s">
        <v>1542</v>
      </c>
      <c r="T885" s="8" t="s">
        <v>1585</v>
      </c>
      <c r="U885" s="8" t="s">
        <v>1586</v>
      </c>
      <c r="V885">
        <v>48500</v>
      </c>
      <c r="W885">
        <v>41200</v>
      </c>
      <c r="X885">
        <v>0</v>
      </c>
      <c r="Y885">
        <v>-41200</v>
      </c>
    </row>
    <row r="886" spans="1:25" x14ac:dyDescent="0.3">
      <c r="A886" s="8" t="s">
        <v>1223</v>
      </c>
      <c r="B886" s="14">
        <v>46099</v>
      </c>
      <c r="C886" s="8" t="s">
        <v>28</v>
      </c>
      <c r="D886" s="8" t="s">
        <v>90</v>
      </c>
      <c r="E886" s="8" t="s">
        <v>74</v>
      </c>
      <c r="F886">
        <v>5</v>
      </c>
      <c r="G886">
        <v>2520</v>
      </c>
      <c r="H886">
        <v>0</v>
      </c>
      <c r="I886" s="8" t="s">
        <v>116</v>
      </c>
      <c r="J886" s="8" t="s">
        <v>18</v>
      </c>
      <c r="K886" s="8" t="s">
        <v>55</v>
      </c>
      <c r="L886">
        <v>12600</v>
      </c>
      <c r="M886" s="8" t="s">
        <v>138</v>
      </c>
      <c r="N886">
        <v>12600</v>
      </c>
      <c r="O886" s="8" t="s">
        <v>1701</v>
      </c>
      <c r="P886" s="8" t="s">
        <v>1562</v>
      </c>
      <c r="Q886" s="8" t="s">
        <v>1563</v>
      </c>
      <c r="R886" s="8" t="s">
        <v>48</v>
      </c>
      <c r="S886" s="8" t="s">
        <v>1542</v>
      </c>
      <c r="T886" s="8" t="s">
        <v>1584</v>
      </c>
      <c r="U886" s="8" t="s">
        <v>1583</v>
      </c>
      <c r="V886">
        <v>2400</v>
      </c>
      <c r="W886">
        <v>1480</v>
      </c>
      <c r="X886">
        <v>0</v>
      </c>
      <c r="Y886">
        <v>-7400</v>
      </c>
    </row>
    <row r="887" spans="1:25" x14ac:dyDescent="0.3">
      <c r="A887" s="8" t="s">
        <v>1224</v>
      </c>
      <c r="B887" s="14">
        <v>46123</v>
      </c>
      <c r="C887" s="8" t="s">
        <v>494</v>
      </c>
      <c r="D887" s="8" t="s">
        <v>70</v>
      </c>
      <c r="E887" s="8" t="s">
        <v>63</v>
      </c>
      <c r="F887">
        <v>2</v>
      </c>
      <c r="G887">
        <v>2200</v>
      </c>
      <c r="H887">
        <v>0.05</v>
      </c>
      <c r="I887" s="8" t="s">
        <v>17</v>
      </c>
      <c r="J887" s="8" t="s">
        <v>31</v>
      </c>
      <c r="K887" s="8" t="s">
        <v>41</v>
      </c>
      <c r="L887">
        <v>4180</v>
      </c>
      <c r="M887" s="8" t="s">
        <v>138</v>
      </c>
      <c r="N887">
        <v>4180</v>
      </c>
      <c r="O887" s="8" t="s">
        <v>1701</v>
      </c>
      <c r="P887" s="8" t="s">
        <v>1550</v>
      </c>
      <c r="Q887" s="8" t="s">
        <v>1549</v>
      </c>
      <c r="R887" s="8" t="s">
        <v>32</v>
      </c>
      <c r="S887" s="8" t="s">
        <v>1542</v>
      </c>
      <c r="T887" s="8" t="s">
        <v>1572</v>
      </c>
      <c r="U887" s="8" t="s">
        <v>1571</v>
      </c>
      <c r="V887">
        <v>2200</v>
      </c>
      <c r="W887">
        <v>1450</v>
      </c>
      <c r="X887">
        <v>4180</v>
      </c>
      <c r="Y887">
        <v>1280</v>
      </c>
    </row>
    <row r="888" spans="1:25" x14ac:dyDescent="0.3">
      <c r="A888" s="8" t="s">
        <v>1225</v>
      </c>
      <c r="B888" s="14">
        <v>46171</v>
      </c>
      <c r="C888" s="8" t="s">
        <v>363</v>
      </c>
      <c r="D888" s="8" t="s">
        <v>90</v>
      </c>
      <c r="E888" s="8" t="s">
        <v>16</v>
      </c>
      <c r="F888">
        <v>4</v>
      </c>
      <c r="G888">
        <v>650</v>
      </c>
      <c r="H888">
        <v>0.2</v>
      </c>
      <c r="I888" s="8" t="s">
        <v>17</v>
      </c>
      <c r="J888" s="8" t="s">
        <v>18</v>
      </c>
      <c r="K888" s="8" t="s">
        <v>55</v>
      </c>
      <c r="L888">
        <v>2080</v>
      </c>
      <c r="M888" s="8" t="s">
        <v>26</v>
      </c>
      <c r="N888">
        <v>2080</v>
      </c>
      <c r="O888" s="8" t="s">
        <v>1701</v>
      </c>
      <c r="P888" s="8" t="s">
        <v>1562</v>
      </c>
      <c r="Q888" s="8" t="s">
        <v>1563</v>
      </c>
      <c r="R888" s="8" t="s">
        <v>48</v>
      </c>
      <c r="S888" s="8" t="s">
        <v>1542</v>
      </c>
      <c r="T888" s="8" t="s">
        <v>1570</v>
      </c>
      <c r="U888" s="8" t="s">
        <v>1571</v>
      </c>
      <c r="V888">
        <v>650</v>
      </c>
      <c r="W888">
        <v>390</v>
      </c>
      <c r="X888">
        <v>2080</v>
      </c>
      <c r="Y888">
        <v>520</v>
      </c>
    </row>
    <row r="889" spans="1:25" x14ac:dyDescent="0.3">
      <c r="A889" s="8" t="s">
        <v>1226</v>
      </c>
      <c r="B889" s="14">
        <v>46060</v>
      </c>
      <c r="C889" s="8" t="s">
        <v>361</v>
      </c>
      <c r="D889" s="8" t="s">
        <v>23</v>
      </c>
      <c r="E889" s="8" t="s">
        <v>24</v>
      </c>
      <c r="F889">
        <v>4</v>
      </c>
      <c r="G889">
        <v>10640</v>
      </c>
      <c r="H889">
        <v>0</v>
      </c>
      <c r="I889" s="8" t="s">
        <v>17</v>
      </c>
      <c r="J889" s="8" t="s">
        <v>31</v>
      </c>
      <c r="K889" s="8" t="s">
        <v>41</v>
      </c>
      <c r="L889">
        <v>42560</v>
      </c>
      <c r="M889" s="8" t="s">
        <v>32</v>
      </c>
      <c r="N889">
        <v>42560</v>
      </c>
      <c r="O889" s="8" t="s">
        <v>1701</v>
      </c>
      <c r="P889" s="8" t="s">
        <v>1545</v>
      </c>
      <c r="Q889" s="8" t="s">
        <v>1541</v>
      </c>
      <c r="R889" s="8" t="s">
        <v>1546</v>
      </c>
      <c r="S889" s="8" t="s">
        <v>1542</v>
      </c>
      <c r="T889" s="8" t="s">
        <v>1574</v>
      </c>
      <c r="U889" s="8" t="s">
        <v>1575</v>
      </c>
      <c r="V889">
        <v>11200</v>
      </c>
      <c r="W889">
        <v>8300</v>
      </c>
      <c r="X889">
        <v>42560</v>
      </c>
      <c r="Y889">
        <v>9360</v>
      </c>
    </row>
    <row r="890" spans="1:25" x14ac:dyDescent="0.3">
      <c r="A890" s="8" t="s">
        <v>1227</v>
      </c>
      <c r="B890" s="14">
        <v>46132</v>
      </c>
      <c r="C890" s="8" t="s">
        <v>551</v>
      </c>
      <c r="D890" s="8" t="s">
        <v>95</v>
      </c>
      <c r="E890" s="8" t="s">
        <v>30</v>
      </c>
      <c r="F890">
        <v>8</v>
      </c>
      <c r="G890">
        <v>1890</v>
      </c>
      <c r="H890">
        <v>0</v>
      </c>
      <c r="I890" s="8" t="s">
        <v>17</v>
      </c>
      <c r="J890" s="8" t="s">
        <v>31</v>
      </c>
      <c r="K890" s="8" t="s">
        <v>1698</v>
      </c>
      <c r="L890">
        <v>15120</v>
      </c>
      <c r="M890" s="8" t="s">
        <v>82</v>
      </c>
      <c r="N890">
        <v>15120</v>
      </c>
      <c r="O890" s="8" t="s">
        <v>1701</v>
      </c>
      <c r="P890" s="8" t="s">
        <v>1556</v>
      </c>
      <c r="Q890" s="8" t="s">
        <v>1554</v>
      </c>
      <c r="R890" s="8" t="s">
        <v>1557</v>
      </c>
      <c r="S890" s="8" t="s">
        <v>1542</v>
      </c>
      <c r="T890" s="8" t="s">
        <v>1573</v>
      </c>
      <c r="U890" s="8" t="s">
        <v>1571</v>
      </c>
      <c r="V890">
        <v>1800</v>
      </c>
      <c r="W890">
        <v>1120</v>
      </c>
      <c r="X890">
        <v>15120</v>
      </c>
      <c r="Y890">
        <v>6160</v>
      </c>
    </row>
    <row r="891" spans="1:25" x14ac:dyDescent="0.3">
      <c r="A891" s="8" t="s">
        <v>1228</v>
      </c>
      <c r="B891" s="14">
        <v>46189</v>
      </c>
      <c r="C891" s="8" t="s">
        <v>446</v>
      </c>
      <c r="D891" s="8" t="s">
        <v>35</v>
      </c>
      <c r="E891" s="8" t="s">
        <v>183</v>
      </c>
      <c r="F891">
        <v>2</v>
      </c>
      <c r="G891">
        <v>3360</v>
      </c>
      <c r="H891">
        <v>0</v>
      </c>
      <c r="I891" s="8" t="s">
        <v>17</v>
      </c>
      <c r="J891" s="8" t="s">
        <v>31</v>
      </c>
      <c r="K891" s="8" t="s">
        <v>1698</v>
      </c>
      <c r="L891">
        <v>6720</v>
      </c>
      <c r="M891" s="8" t="s">
        <v>52</v>
      </c>
      <c r="N891">
        <v>6720</v>
      </c>
      <c r="O891" s="8" t="s">
        <v>1701</v>
      </c>
      <c r="P891" s="8" t="s">
        <v>1548</v>
      </c>
      <c r="Q891" s="8" t="s">
        <v>1549</v>
      </c>
      <c r="R891" s="8" t="s">
        <v>42</v>
      </c>
      <c r="S891" s="8" t="s">
        <v>1542</v>
      </c>
      <c r="T891" s="8" t="s">
        <v>1582</v>
      </c>
      <c r="U891" s="8" t="s">
        <v>1583</v>
      </c>
      <c r="V891">
        <v>3200</v>
      </c>
      <c r="W891">
        <v>2050</v>
      </c>
      <c r="X891">
        <v>6720</v>
      </c>
      <c r="Y891">
        <v>2620</v>
      </c>
    </row>
    <row r="892" spans="1:25" x14ac:dyDescent="0.3">
      <c r="A892" s="8" t="s">
        <v>1229</v>
      </c>
      <c r="B892" s="14">
        <v>46124</v>
      </c>
      <c r="C892" s="8" t="s">
        <v>304</v>
      </c>
      <c r="D892" s="8" t="s">
        <v>62</v>
      </c>
      <c r="E892" s="8" t="s">
        <v>135</v>
      </c>
      <c r="F892">
        <v>3</v>
      </c>
      <c r="G892">
        <v>17640</v>
      </c>
      <c r="H892">
        <v>0</v>
      </c>
      <c r="I892" s="8" t="s">
        <v>17</v>
      </c>
      <c r="J892" s="8" t="s">
        <v>18</v>
      </c>
      <c r="K892" s="8" t="s">
        <v>55</v>
      </c>
      <c r="L892">
        <v>52920</v>
      </c>
      <c r="M892" s="8" t="s">
        <v>26</v>
      </c>
      <c r="N892">
        <v>52920</v>
      </c>
      <c r="O892" s="8" t="s">
        <v>1701</v>
      </c>
      <c r="P892" s="8" t="s">
        <v>1551</v>
      </c>
      <c r="Q892" s="8" t="s">
        <v>1549</v>
      </c>
      <c r="R892" s="8" t="s">
        <v>1552</v>
      </c>
      <c r="S892" s="8" t="s">
        <v>1542</v>
      </c>
      <c r="T892" s="8" t="s">
        <v>1576</v>
      </c>
      <c r="U892" s="8" t="s">
        <v>1575</v>
      </c>
      <c r="V892">
        <v>16800</v>
      </c>
      <c r="W892">
        <v>12600</v>
      </c>
      <c r="X892">
        <v>52920</v>
      </c>
      <c r="Y892">
        <v>15120</v>
      </c>
    </row>
    <row r="893" spans="1:25" x14ac:dyDescent="0.3">
      <c r="A893" s="8" t="s">
        <v>1230</v>
      </c>
      <c r="B893" s="14">
        <v>46184</v>
      </c>
      <c r="C893" s="8" t="s">
        <v>409</v>
      </c>
      <c r="D893" s="8" t="s">
        <v>95</v>
      </c>
      <c r="E893" s="8" t="s">
        <v>46</v>
      </c>
      <c r="F893">
        <v>2</v>
      </c>
      <c r="G893">
        <v>7410</v>
      </c>
      <c r="H893">
        <v>0</v>
      </c>
      <c r="I893" s="8" t="s">
        <v>17</v>
      </c>
      <c r="J893" s="8" t="s">
        <v>71</v>
      </c>
      <c r="K893" s="8" t="s">
        <v>1698</v>
      </c>
      <c r="L893">
        <v>14820</v>
      </c>
      <c r="M893" s="8" t="s">
        <v>48</v>
      </c>
      <c r="N893">
        <v>14820</v>
      </c>
      <c r="O893" s="8" t="s">
        <v>1701</v>
      </c>
      <c r="P893" s="8" t="s">
        <v>1556</v>
      </c>
      <c r="Q893" s="8" t="s">
        <v>1554</v>
      </c>
      <c r="R893" s="8" t="s">
        <v>1557</v>
      </c>
      <c r="S893" s="8" t="s">
        <v>1542</v>
      </c>
      <c r="T893" s="8" t="s">
        <v>1579</v>
      </c>
      <c r="U893" s="8" t="s">
        <v>1580</v>
      </c>
      <c r="V893">
        <v>7800</v>
      </c>
      <c r="W893">
        <v>5200</v>
      </c>
      <c r="X893">
        <v>14820</v>
      </c>
      <c r="Y893">
        <v>4420</v>
      </c>
    </row>
    <row r="894" spans="1:25" x14ac:dyDescent="0.3">
      <c r="A894" s="8" t="s">
        <v>1231</v>
      </c>
      <c r="B894" s="14">
        <v>46169</v>
      </c>
      <c r="C894" s="8" t="s">
        <v>230</v>
      </c>
      <c r="D894" s="8" t="s">
        <v>40</v>
      </c>
      <c r="E894" s="8" t="s">
        <v>46</v>
      </c>
      <c r="F894">
        <v>1</v>
      </c>
      <c r="G894">
        <v>7800</v>
      </c>
      <c r="H894">
        <v>0.2</v>
      </c>
      <c r="I894" s="8" t="s">
        <v>17</v>
      </c>
      <c r="J894" s="8" t="s">
        <v>18</v>
      </c>
      <c r="K894" s="8" t="s">
        <v>55</v>
      </c>
      <c r="L894">
        <v>6240</v>
      </c>
      <c r="M894" s="8" t="s">
        <v>26</v>
      </c>
      <c r="N894">
        <v>6240</v>
      </c>
      <c r="O894" s="8" t="s">
        <v>1701</v>
      </c>
      <c r="P894" s="8" t="s">
        <v>1555</v>
      </c>
      <c r="Q894" s="8" t="s">
        <v>1554</v>
      </c>
      <c r="R894" s="8" t="s">
        <v>82</v>
      </c>
      <c r="S894" s="8" t="s">
        <v>1542</v>
      </c>
      <c r="T894" s="8" t="s">
        <v>1579</v>
      </c>
      <c r="U894" s="8" t="s">
        <v>1580</v>
      </c>
      <c r="V894">
        <v>7800</v>
      </c>
      <c r="W894">
        <v>5200</v>
      </c>
      <c r="X894">
        <v>6240</v>
      </c>
      <c r="Y894">
        <v>1040</v>
      </c>
    </row>
    <row r="895" spans="1:25" x14ac:dyDescent="0.3">
      <c r="A895" s="8" t="s">
        <v>1232</v>
      </c>
      <c r="B895" s="14">
        <v>46169</v>
      </c>
      <c r="C895" s="8" t="s">
        <v>1194</v>
      </c>
      <c r="D895" s="8" t="s">
        <v>50</v>
      </c>
      <c r="E895" s="8" t="s">
        <v>63</v>
      </c>
      <c r="F895">
        <v>2</v>
      </c>
      <c r="G895">
        <v>2200</v>
      </c>
      <c r="H895">
        <v>0.2</v>
      </c>
      <c r="I895" s="8" t="s">
        <v>80</v>
      </c>
      <c r="J895" s="8" t="s">
        <v>31</v>
      </c>
      <c r="K895" s="8" t="s">
        <v>55</v>
      </c>
      <c r="L895">
        <v>3520</v>
      </c>
      <c r="M895" s="8" t="s">
        <v>82</v>
      </c>
      <c r="N895">
        <v>3520</v>
      </c>
      <c r="O895" s="8" t="s">
        <v>1701</v>
      </c>
      <c r="P895" s="8" t="s">
        <v>1544</v>
      </c>
      <c r="Q895" s="8" t="s">
        <v>1541</v>
      </c>
      <c r="R895" s="8" t="s">
        <v>26</v>
      </c>
      <c r="S895" s="8" t="s">
        <v>1542</v>
      </c>
      <c r="T895" s="8" t="s">
        <v>1572</v>
      </c>
      <c r="U895" s="8" t="s">
        <v>1571</v>
      </c>
      <c r="V895">
        <v>2200</v>
      </c>
      <c r="W895">
        <v>1450</v>
      </c>
      <c r="X895">
        <v>0</v>
      </c>
      <c r="Y895">
        <v>-2900</v>
      </c>
    </row>
    <row r="896" spans="1:25" x14ac:dyDescent="0.3">
      <c r="A896" s="8" t="s">
        <v>1233</v>
      </c>
      <c r="B896" s="14">
        <v>46160</v>
      </c>
      <c r="C896" s="8" t="s">
        <v>204</v>
      </c>
      <c r="D896" s="8" t="s">
        <v>29</v>
      </c>
      <c r="E896" s="8" t="s">
        <v>51</v>
      </c>
      <c r="F896">
        <v>2</v>
      </c>
      <c r="G896">
        <v>17575</v>
      </c>
      <c r="H896">
        <v>0.15</v>
      </c>
      <c r="I896" s="8" t="s">
        <v>66</v>
      </c>
      <c r="J896" s="8" t="s">
        <v>31</v>
      </c>
      <c r="K896" s="8" t="s">
        <v>41</v>
      </c>
      <c r="L896">
        <v>29877.5</v>
      </c>
      <c r="M896" s="8" t="s">
        <v>48</v>
      </c>
      <c r="N896">
        <v>29877.5</v>
      </c>
      <c r="O896" s="8" t="s">
        <v>1701</v>
      </c>
      <c r="P896" s="8" t="s">
        <v>1560</v>
      </c>
      <c r="Q896" s="8" t="s">
        <v>1559</v>
      </c>
      <c r="R896" s="8" t="s">
        <v>1561</v>
      </c>
      <c r="S896" s="8" t="s">
        <v>1542</v>
      </c>
      <c r="T896" s="8" t="s">
        <v>1581</v>
      </c>
      <c r="U896" s="8" t="s">
        <v>1580</v>
      </c>
      <c r="V896">
        <v>18500</v>
      </c>
      <c r="W896">
        <v>13900</v>
      </c>
      <c r="X896">
        <v>0</v>
      </c>
      <c r="Y896">
        <v>-27800</v>
      </c>
    </row>
    <row r="897" spans="1:25" x14ac:dyDescent="0.3">
      <c r="A897" s="8" t="s">
        <v>1234</v>
      </c>
      <c r="B897" s="14">
        <v>46200</v>
      </c>
      <c r="C897" s="8" t="s">
        <v>623</v>
      </c>
      <c r="D897" s="8" t="s">
        <v>50</v>
      </c>
      <c r="E897" s="8" t="s">
        <v>16</v>
      </c>
      <c r="F897">
        <v>3</v>
      </c>
      <c r="G897">
        <v>650</v>
      </c>
      <c r="H897">
        <v>0.05</v>
      </c>
      <c r="I897" s="8" t="s">
        <v>17</v>
      </c>
      <c r="J897" s="8" t="s">
        <v>71</v>
      </c>
      <c r="K897" s="8" t="s">
        <v>1698</v>
      </c>
      <c r="L897">
        <v>1852.5</v>
      </c>
      <c r="M897" s="8" t="s">
        <v>82</v>
      </c>
      <c r="N897">
        <v>1852.5</v>
      </c>
      <c r="O897" s="8" t="s">
        <v>1701</v>
      </c>
      <c r="P897" s="8" t="s">
        <v>1544</v>
      </c>
      <c r="Q897" s="8" t="s">
        <v>1541</v>
      </c>
      <c r="R897" s="8" t="s">
        <v>26</v>
      </c>
      <c r="S897" s="8" t="s">
        <v>1542</v>
      </c>
      <c r="T897" s="8" t="s">
        <v>1570</v>
      </c>
      <c r="U897" s="8" t="s">
        <v>1571</v>
      </c>
      <c r="V897">
        <v>650</v>
      </c>
      <c r="W897">
        <v>390</v>
      </c>
      <c r="X897">
        <v>1852.5</v>
      </c>
      <c r="Y897">
        <v>682.5</v>
      </c>
    </row>
    <row r="898" spans="1:25" x14ac:dyDescent="0.3">
      <c r="A898" s="8" t="s">
        <v>1235</v>
      </c>
      <c r="B898" s="14">
        <v>46088</v>
      </c>
      <c r="C898" s="8" t="s">
        <v>241</v>
      </c>
      <c r="D898" s="8" t="s">
        <v>90</v>
      </c>
      <c r="E898" s="8" t="s">
        <v>16</v>
      </c>
      <c r="F898">
        <v>1</v>
      </c>
      <c r="G898">
        <v>650</v>
      </c>
      <c r="H898">
        <v>0</v>
      </c>
      <c r="I898" s="8" t="s">
        <v>17</v>
      </c>
      <c r="J898" s="8" t="s">
        <v>18</v>
      </c>
      <c r="K898" s="8" t="s">
        <v>1698</v>
      </c>
      <c r="L898">
        <v>650</v>
      </c>
      <c r="M898" s="8" t="s">
        <v>52</v>
      </c>
      <c r="N898">
        <v>650</v>
      </c>
      <c r="O898" s="8" t="s">
        <v>1701</v>
      </c>
      <c r="P898" s="8" t="s">
        <v>1562</v>
      </c>
      <c r="Q898" s="8" t="s">
        <v>1563</v>
      </c>
      <c r="R898" s="8" t="s">
        <v>48</v>
      </c>
      <c r="S898" s="8" t="s">
        <v>1542</v>
      </c>
      <c r="T898" s="8" t="s">
        <v>1570</v>
      </c>
      <c r="U898" s="8" t="s">
        <v>1571</v>
      </c>
      <c r="V898">
        <v>650</v>
      </c>
      <c r="W898">
        <v>390</v>
      </c>
      <c r="X898">
        <v>650</v>
      </c>
      <c r="Y898">
        <v>260</v>
      </c>
    </row>
    <row r="899" spans="1:25" x14ac:dyDescent="0.3">
      <c r="A899" s="8" t="s">
        <v>1236</v>
      </c>
      <c r="B899" s="14">
        <v>46099</v>
      </c>
      <c r="C899" s="8" t="s">
        <v>340</v>
      </c>
      <c r="D899" s="8" t="s">
        <v>168</v>
      </c>
      <c r="E899" s="8" t="s">
        <v>51</v>
      </c>
      <c r="F899">
        <v>5</v>
      </c>
      <c r="G899">
        <v>19425</v>
      </c>
      <c r="H899">
        <v>0.05</v>
      </c>
      <c r="I899" s="8" t="s">
        <v>17</v>
      </c>
      <c r="J899" s="8" t="s">
        <v>18</v>
      </c>
      <c r="K899" s="8" t="s">
        <v>67</v>
      </c>
      <c r="L899">
        <v>92268.75</v>
      </c>
      <c r="M899" s="8" t="s">
        <v>82</v>
      </c>
      <c r="N899">
        <v>92268.75</v>
      </c>
      <c r="O899" s="8" t="s">
        <v>1701</v>
      </c>
      <c r="P899" s="8" t="s">
        <v>1540</v>
      </c>
      <c r="Q899" s="8" t="s">
        <v>1541</v>
      </c>
      <c r="R899" s="8" t="s">
        <v>20</v>
      </c>
      <c r="S899" s="8" t="s">
        <v>1542</v>
      </c>
      <c r="T899" s="8" t="s">
        <v>1581</v>
      </c>
      <c r="U899" s="8" t="s">
        <v>1580</v>
      </c>
      <c r="V899">
        <v>18500</v>
      </c>
      <c r="W899">
        <v>13900</v>
      </c>
      <c r="X899">
        <v>92268.75</v>
      </c>
      <c r="Y899">
        <v>22768.75</v>
      </c>
    </row>
    <row r="900" spans="1:25" x14ac:dyDescent="0.3">
      <c r="A900" s="8" t="s">
        <v>1237</v>
      </c>
      <c r="B900" s="14">
        <v>46113</v>
      </c>
      <c r="C900" s="8" t="s">
        <v>127</v>
      </c>
      <c r="D900" s="8" t="s">
        <v>40</v>
      </c>
      <c r="E900" s="8" t="s">
        <v>51</v>
      </c>
      <c r="F900">
        <v>2</v>
      </c>
      <c r="G900">
        <v>17575</v>
      </c>
      <c r="H900">
        <v>0.2</v>
      </c>
      <c r="I900" s="8" t="s">
        <v>17</v>
      </c>
      <c r="J900" s="8" t="s">
        <v>31</v>
      </c>
      <c r="K900" s="8" t="s">
        <v>41</v>
      </c>
      <c r="L900">
        <v>28120</v>
      </c>
      <c r="M900" s="8" t="s">
        <v>59</v>
      </c>
      <c r="N900">
        <v>28120</v>
      </c>
      <c r="O900" s="8" t="s">
        <v>1701</v>
      </c>
      <c r="P900" s="8" t="s">
        <v>1555</v>
      </c>
      <c r="Q900" s="8" t="s">
        <v>1554</v>
      </c>
      <c r="R900" s="8" t="s">
        <v>82</v>
      </c>
      <c r="S900" s="8" t="s">
        <v>1542</v>
      </c>
      <c r="T900" s="8" t="s">
        <v>1581</v>
      </c>
      <c r="U900" s="8" t="s">
        <v>1580</v>
      </c>
      <c r="V900">
        <v>18500</v>
      </c>
      <c r="W900">
        <v>13900</v>
      </c>
      <c r="X900">
        <v>28120</v>
      </c>
      <c r="Y900">
        <v>320</v>
      </c>
    </row>
    <row r="901" spans="1:25" x14ac:dyDescent="0.3">
      <c r="A901" s="8" t="s">
        <v>1238</v>
      </c>
      <c r="B901" s="14">
        <v>46099</v>
      </c>
      <c r="C901" s="8" t="s">
        <v>170</v>
      </c>
      <c r="D901" s="8" t="s">
        <v>90</v>
      </c>
      <c r="E901" s="8" t="s">
        <v>24</v>
      </c>
      <c r="F901">
        <v>8</v>
      </c>
      <c r="G901">
        <v>11200</v>
      </c>
      <c r="H901">
        <v>0.15</v>
      </c>
      <c r="I901" s="8" t="s">
        <v>17</v>
      </c>
      <c r="J901" s="8" t="s">
        <v>71</v>
      </c>
      <c r="K901" s="8" t="s">
        <v>25</v>
      </c>
      <c r="L901">
        <v>76160</v>
      </c>
      <c r="M901" s="8" t="s">
        <v>32</v>
      </c>
      <c r="N901">
        <v>76160</v>
      </c>
      <c r="O901" s="8" t="s">
        <v>1701</v>
      </c>
      <c r="P901" s="8" t="s">
        <v>1562</v>
      </c>
      <c r="Q901" s="8" t="s">
        <v>1563</v>
      </c>
      <c r="R901" s="8" t="s">
        <v>48</v>
      </c>
      <c r="S901" s="8" t="s">
        <v>1542</v>
      </c>
      <c r="T901" s="8" t="s">
        <v>1574</v>
      </c>
      <c r="U901" s="8" t="s">
        <v>1575</v>
      </c>
      <c r="V901">
        <v>11200</v>
      </c>
      <c r="W901">
        <v>8300</v>
      </c>
      <c r="X901">
        <v>76160</v>
      </c>
      <c r="Y901">
        <v>9760</v>
      </c>
    </row>
    <row r="902" spans="1:25" x14ac:dyDescent="0.3">
      <c r="A902" s="8" t="s">
        <v>1239</v>
      </c>
      <c r="B902" s="14">
        <v>46042</v>
      </c>
      <c r="C902" s="8" t="s">
        <v>148</v>
      </c>
      <c r="D902" s="8" t="s">
        <v>152</v>
      </c>
      <c r="E902" s="8" t="s">
        <v>135</v>
      </c>
      <c r="F902">
        <v>1</v>
      </c>
      <c r="G902">
        <v>17640</v>
      </c>
      <c r="H902">
        <v>0.2</v>
      </c>
      <c r="I902" s="8" t="s">
        <v>80</v>
      </c>
      <c r="J902" s="8" t="s">
        <v>31</v>
      </c>
      <c r="K902" s="8" t="s">
        <v>67</v>
      </c>
      <c r="L902">
        <v>14112</v>
      </c>
      <c r="M902" s="8" t="s">
        <v>32</v>
      </c>
      <c r="N902">
        <v>14112</v>
      </c>
      <c r="O902" s="8" t="s">
        <v>1701</v>
      </c>
      <c r="P902" s="8" t="s">
        <v>1553</v>
      </c>
      <c r="Q902" s="8" t="s">
        <v>1554</v>
      </c>
      <c r="R902" s="8" t="s">
        <v>59</v>
      </c>
      <c r="S902" s="8" t="s">
        <v>1542</v>
      </c>
      <c r="T902" s="8" t="s">
        <v>1576</v>
      </c>
      <c r="U902" s="8" t="s">
        <v>1575</v>
      </c>
      <c r="V902">
        <v>16800</v>
      </c>
      <c r="W902">
        <v>12600</v>
      </c>
      <c r="X902">
        <v>0</v>
      </c>
      <c r="Y902">
        <v>-12600</v>
      </c>
    </row>
    <row r="903" spans="1:25" x14ac:dyDescent="0.3">
      <c r="A903" s="8" t="s">
        <v>1240</v>
      </c>
      <c r="B903" s="14">
        <v>46200</v>
      </c>
      <c r="C903" s="8" t="s">
        <v>283</v>
      </c>
      <c r="D903" s="8" t="s">
        <v>50</v>
      </c>
      <c r="E903" s="8" t="s">
        <v>51</v>
      </c>
      <c r="F903">
        <v>1</v>
      </c>
      <c r="G903">
        <v>18500</v>
      </c>
      <c r="H903">
        <v>0.2</v>
      </c>
      <c r="I903" s="8" t="s">
        <v>17</v>
      </c>
      <c r="J903" s="8" t="s">
        <v>71</v>
      </c>
      <c r="K903" s="8" t="s">
        <v>55</v>
      </c>
      <c r="L903">
        <v>14800</v>
      </c>
      <c r="M903" s="8" t="s">
        <v>59</v>
      </c>
      <c r="N903">
        <v>14800</v>
      </c>
      <c r="O903" s="8" t="s">
        <v>1701</v>
      </c>
      <c r="P903" s="8" t="s">
        <v>1544</v>
      </c>
      <c r="Q903" s="8" t="s">
        <v>1541</v>
      </c>
      <c r="R903" s="8" t="s">
        <v>26</v>
      </c>
      <c r="S903" s="8" t="s">
        <v>1542</v>
      </c>
      <c r="T903" s="8" t="s">
        <v>1581</v>
      </c>
      <c r="U903" s="8" t="s">
        <v>1580</v>
      </c>
      <c r="V903">
        <v>18500</v>
      </c>
      <c r="W903">
        <v>13900</v>
      </c>
      <c r="X903">
        <v>14800</v>
      </c>
      <c r="Y903">
        <v>900</v>
      </c>
    </row>
    <row r="904" spans="1:25" x14ac:dyDescent="0.3">
      <c r="A904" s="8" t="s">
        <v>1241</v>
      </c>
      <c r="B904" s="14">
        <v>46103</v>
      </c>
      <c r="C904" s="8" t="s">
        <v>669</v>
      </c>
      <c r="D904" s="8" t="s">
        <v>29</v>
      </c>
      <c r="E904" s="8" t="s">
        <v>161</v>
      </c>
      <c r="F904">
        <v>2</v>
      </c>
      <c r="G904">
        <v>2600</v>
      </c>
      <c r="H904">
        <v>0.15</v>
      </c>
      <c r="I904" s="8" t="s">
        <v>17</v>
      </c>
      <c r="J904" s="8" t="s">
        <v>31</v>
      </c>
      <c r="K904" s="8" t="s">
        <v>25</v>
      </c>
      <c r="L904">
        <v>4420</v>
      </c>
      <c r="M904" s="8" t="s">
        <v>32</v>
      </c>
      <c r="N904">
        <v>4420</v>
      </c>
      <c r="O904" s="8" t="s">
        <v>1701</v>
      </c>
      <c r="P904" s="8" t="s">
        <v>1560</v>
      </c>
      <c r="Q904" s="8" t="s">
        <v>1559</v>
      </c>
      <c r="R904" s="8" t="s">
        <v>1561</v>
      </c>
      <c r="S904" s="8" t="s">
        <v>1542</v>
      </c>
      <c r="T904" s="8" t="s">
        <v>1578</v>
      </c>
      <c r="U904" s="8" t="s">
        <v>1571</v>
      </c>
      <c r="V904">
        <v>2600</v>
      </c>
      <c r="W904">
        <v>1750</v>
      </c>
      <c r="X904">
        <v>4420</v>
      </c>
      <c r="Y904">
        <v>920</v>
      </c>
    </row>
    <row r="905" spans="1:25" x14ac:dyDescent="0.3">
      <c r="A905" s="8" t="s">
        <v>1242</v>
      </c>
      <c r="B905" s="14">
        <v>46039</v>
      </c>
      <c r="C905" s="8" t="s">
        <v>594</v>
      </c>
      <c r="D905" s="8" t="s">
        <v>35</v>
      </c>
      <c r="E905" s="8" t="s">
        <v>74</v>
      </c>
      <c r="F905">
        <v>1</v>
      </c>
      <c r="G905">
        <v>2400</v>
      </c>
      <c r="H905">
        <v>0.05</v>
      </c>
      <c r="I905" s="8" t="s">
        <v>17</v>
      </c>
      <c r="J905" s="8" t="s">
        <v>47</v>
      </c>
      <c r="K905" s="8" t="s">
        <v>1698</v>
      </c>
      <c r="L905">
        <v>2280</v>
      </c>
      <c r="M905" s="8" t="s">
        <v>42</v>
      </c>
      <c r="N905">
        <v>2280</v>
      </c>
      <c r="O905" s="8" t="s">
        <v>1701</v>
      </c>
      <c r="P905" s="8" t="s">
        <v>1548</v>
      </c>
      <c r="Q905" s="8" t="s">
        <v>1549</v>
      </c>
      <c r="R905" s="8" t="s">
        <v>42</v>
      </c>
      <c r="S905" s="8" t="s">
        <v>1542</v>
      </c>
      <c r="T905" s="8" t="s">
        <v>1584</v>
      </c>
      <c r="U905" s="8" t="s">
        <v>1583</v>
      </c>
      <c r="V905">
        <v>2400</v>
      </c>
      <c r="W905">
        <v>1480</v>
      </c>
      <c r="X905">
        <v>2280</v>
      </c>
      <c r="Y905">
        <v>800</v>
      </c>
    </row>
    <row r="906" spans="1:25" x14ac:dyDescent="0.3">
      <c r="A906" s="8" t="s">
        <v>1243</v>
      </c>
      <c r="B906" s="14">
        <v>46119</v>
      </c>
      <c r="C906" s="8" t="s">
        <v>409</v>
      </c>
      <c r="D906" s="8" t="s">
        <v>23</v>
      </c>
      <c r="E906" s="8" t="s">
        <v>161</v>
      </c>
      <c r="F906">
        <v>8</v>
      </c>
      <c r="G906">
        <v>2600</v>
      </c>
      <c r="H906">
        <v>0</v>
      </c>
      <c r="I906" s="8" t="s">
        <v>17</v>
      </c>
      <c r="J906" s="8" t="s">
        <v>31</v>
      </c>
      <c r="K906" s="8" t="s">
        <v>25</v>
      </c>
      <c r="L906">
        <v>20800</v>
      </c>
      <c r="M906" s="8" t="s">
        <v>138</v>
      </c>
      <c r="N906">
        <v>20800</v>
      </c>
      <c r="O906" s="8" t="s">
        <v>1701</v>
      </c>
      <c r="P906" s="8" t="s">
        <v>1545</v>
      </c>
      <c r="Q906" s="8" t="s">
        <v>1541</v>
      </c>
      <c r="R906" s="8" t="s">
        <v>1546</v>
      </c>
      <c r="S906" s="8" t="s">
        <v>1542</v>
      </c>
      <c r="T906" s="8" t="s">
        <v>1578</v>
      </c>
      <c r="U906" s="8" t="s">
        <v>1571</v>
      </c>
      <c r="V906">
        <v>2600</v>
      </c>
      <c r="W906">
        <v>1750</v>
      </c>
      <c r="X906">
        <v>20800</v>
      </c>
      <c r="Y906">
        <v>6800</v>
      </c>
    </row>
    <row r="907" spans="1:25" x14ac:dyDescent="0.3">
      <c r="A907" s="8" t="s">
        <v>1244</v>
      </c>
      <c r="B907" s="14">
        <v>46202</v>
      </c>
      <c r="C907" s="8" t="s">
        <v>1702</v>
      </c>
      <c r="D907" s="8" t="s">
        <v>40</v>
      </c>
      <c r="E907" s="8" t="s">
        <v>135</v>
      </c>
      <c r="F907">
        <v>3</v>
      </c>
      <c r="G907">
        <v>15960</v>
      </c>
      <c r="H907">
        <v>0.15</v>
      </c>
      <c r="I907" s="8" t="s">
        <v>17</v>
      </c>
      <c r="J907" s="8" t="s">
        <v>47</v>
      </c>
      <c r="K907" s="8" t="s">
        <v>55</v>
      </c>
      <c r="L907">
        <v>40698</v>
      </c>
      <c r="M907" s="8" t="s">
        <v>59</v>
      </c>
      <c r="N907">
        <v>40698</v>
      </c>
      <c r="O907" s="8" t="s">
        <v>1701</v>
      </c>
      <c r="P907" s="8" t="s">
        <v>1555</v>
      </c>
      <c r="Q907" s="8" t="s">
        <v>1554</v>
      </c>
      <c r="R907" s="8" t="s">
        <v>82</v>
      </c>
      <c r="S907" s="8" t="s">
        <v>1542</v>
      </c>
      <c r="T907" s="8" t="s">
        <v>1576</v>
      </c>
      <c r="U907" s="8" t="s">
        <v>1575</v>
      </c>
      <c r="V907">
        <v>16800</v>
      </c>
      <c r="W907">
        <v>12600</v>
      </c>
      <c r="X907">
        <v>40698</v>
      </c>
      <c r="Y907">
        <v>2898</v>
      </c>
    </row>
    <row r="908" spans="1:25" x14ac:dyDescent="0.3">
      <c r="A908" s="8" t="s">
        <v>1245</v>
      </c>
      <c r="B908" s="14">
        <v>46111</v>
      </c>
      <c r="C908" s="8" t="s">
        <v>103</v>
      </c>
      <c r="D908" s="8" t="s">
        <v>29</v>
      </c>
      <c r="E908" s="8" t="s">
        <v>85</v>
      </c>
      <c r="F908">
        <v>3</v>
      </c>
      <c r="G908">
        <v>50925</v>
      </c>
      <c r="H908">
        <v>0.15</v>
      </c>
      <c r="I908" s="8" t="s">
        <v>17</v>
      </c>
      <c r="J908" s="8" t="s">
        <v>71</v>
      </c>
      <c r="K908" s="8" t="s">
        <v>67</v>
      </c>
      <c r="L908">
        <v>129858.75</v>
      </c>
      <c r="M908" s="8" t="s">
        <v>20</v>
      </c>
      <c r="N908">
        <v>129858.75</v>
      </c>
      <c r="O908" s="8" t="s">
        <v>1701</v>
      </c>
      <c r="P908" s="8" t="s">
        <v>1560</v>
      </c>
      <c r="Q908" s="8" t="s">
        <v>1559</v>
      </c>
      <c r="R908" s="8" t="s">
        <v>1561</v>
      </c>
      <c r="S908" s="8" t="s">
        <v>1542</v>
      </c>
      <c r="T908" s="8" t="s">
        <v>1585</v>
      </c>
      <c r="U908" s="8" t="s">
        <v>1586</v>
      </c>
      <c r="V908">
        <v>48500</v>
      </c>
      <c r="W908">
        <v>41200</v>
      </c>
      <c r="X908">
        <v>129858.75</v>
      </c>
      <c r="Y908">
        <v>6258.75</v>
      </c>
    </row>
    <row r="909" spans="1:25" x14ac:dyDescent="0.3">
      <c r="A909" s="8" t="s">
        <v>1246</v>
      </c>
      <c r="B909" s="14">
        <v>46198</v>
      </c>
      <c r="C909" s="8" t="s">
        <v>196</v>
      </c>
      <c r="D909" s="8" t="s">
        <v>152</v>
      </c>
      <c r="E909" s="8" t="s">
        <v>85</v>
      </c>
      <c r="F909">
        <v>1</v>
      </c>
      <c r="G909">
        <v>48500</v>
      </c>
      <c r="H909">
        <v>0</v>
      </c>
      <c r="I909" s="8" t="s">
        <v>17</v>
      </c>
      <c r="J909" s="8" t="s">
        <v>47</v>
      </c>
      <c r="K909" s="8" t="s">
        <v>41</v>
      </c>
      <c r="L909">
        <v>48500</v>
      </c>
      <c r="M909" s="8" t="s">
        <v>48</v>
      </c>
      <c r="N909">
        <v>48500</v>
      </c>
      <c r="O909" s="8" t="s">
        <v>1701</v>
      </c>
      <c r="P909" s="8" t="s">
        <v>1553</v>
      </c>
      <c r="Q909" s="8" t="s">
        <v>1554</v>
      </c>
      <c r="R909" s="8" t="s">
        <v>59</v>
      </c>
      <c r="S909" s="8" t="s">
        <v>1542</v>
      </c>
      <c r="T909" s="8" t="s">
        <v>1585</v>
      </c>
      <c r="U909" s="8" t="s">
        <v>1586</v>
      </c>
      <c r="V909">
        <v>48500</v>
      </c>
      <c r="W909">
        <v>41200</v>
      </c>
      <c r="X909">
        <v>48500</v>
      </c>
      <c r="Y909">
        <v>7300</v>
      </c>
    </row>
    <row r="910" spans="1:25" x14ac:dyDescent="0.3">
      <c r="A910" s="8" t="s">
        <v>1247</v>
      </c>
      <c r="B910" s="14">
        <v>46130</v>
      </c>
      <c r="C910" s="8" t="s">
        <v>705</v>
      </c>
      <c r="D910" s="8" t="s">
        <v>123</v>
      </c>
      <c r="E910" s="8" t="s">
        <v>46</v>
      </c>
      <c r="F910">
        <v>1</v>
      </c>
      <c r="G910">
        <v>7800</v>
      </c>
      <c r="H910">
        <v>0.05</v>
      </c>
      <c r="I910" s="8" t="s">
        <v>17</v>
      </c>
      <c r="J910" s="8" t="s">
        <v>18</v>
      </c>
      <c r="K910" s="8" t="s">
        <v>25</v>
      </c>
      <c r="L910">
        <v>7410</v>
      </c>
      <c r="M910" s="8" t="s">
        <v>52</v>
      </c>
      <c r="N910">
        <v>7410</v>
      </c>
      <c r="O910" s="8" t="s">
        <v>1701</v>
      </c>
      <c r="P910" s="8" t="s">
        <v>1558</v>
      </c>
      <c r="Q910" s="8" t="s">
        <v>1559</v>
      </c>
      <c r="R910" s="8" t="s">
        <v>138</v>
      </c>
      <c r="S910" s="8" t="s">
        <v>1542</v>
      </c>
      <c r="T910" s="8" t="s">
        <v>1579</v>
      </c>
      <c r="U910" s="8" t="s">
        <v>1580</v>
      </c>
      <c r="V910">
        <v>7800</v>
      </c>
      <c r="W910">
        <v>5200</v>
      </c>
      <c r="X910">
        <v>7410</v>
      </c>
      <c r="Y910">
        <v>2210</v>
      </c>
    </row>
    <row r="911" spans="1:25" x14ac:dyDescent="0.3">
      <c r="A911" s="8" t="s">
        <v>1248</v>
      </c>
      <c r="B911" s="14">
        <v>46101</v>
      </c>
      <c r="C911" s="8" t="s">
        <v>76</v>
      </c>
      <c r="D911" s="8" t="s">
        <v>95</v>
      </c>
      <c r="E911" s="8" t="s">
        <v>63</v>
      </c>
      <c r="F911">
        <v>8</v>
      </c>
      <c r="G911">
        <v>2090</v>
      </c>
      <c r="H911">
        <v>0.1</v>
      </c>
      <c r="I911" s="8" t="s">
        <v>17</v>
      </c>
      <c r="J911" s="8" t="s">
        <v>31</v>
      </c>
      <c r="K911" s="8" t="s">
        <v>41</v>
      </c>
      <c r="L911">
        <v>15048</v>
      </c>
      <c r="M911" s="8" t="s">
        <v>42</v>
      </c>
      <c r="N911">
        <v>15048</v>
      </c>
      <c r="O911" s="8" t="s">
        <v>1701</v>
      </c>
      <c r="P911" s="8" t="s">
        <v>1556</v>
      </c>
      <c r="Q911" s="8" t="s">
        <v>1554</v>
      </c>
      <c r="R911" s="8" t="s">
        <v>1557</v>
      </c>
      <c r="S911" s="8" t="s">
        <v>1542</v>
      </c>
      <c r="T911" s="8" t="s">
        <v>1572</v>
      </c>
      <c r="U911" s="8" t="s">
        <v>1571</v>
      </c>
      <c r="V911">
        <v>2200</v>
      </c>
      <c r="W911">
        <v>1450</v>
      </c>
      <c r="X911">
        <v>15048</v>
      </c>
      <c r="Y911">
        <v>3448</v>
      </c>
    </row>
    <row r="912" spans="1:25" x14ac:dyDescent="0.3">
      <c r="A912" s="8" t="s">
        <v>1249</v>
      </c>
      <c r="B912" s="14">
        <v>46065</v>
      </c>
      <c r="C912" s="8" t="s">
        <v>186</v>
      </c>
      <c r="D912" s="8" t="s">
        <v>40</v>
      </c>
      <c r="E912" s="8" t="s">
        <v>16</v>
      </c>
      <c r="F912">
        <v>1</v>
      </c>
      <c r="G912">
        <v>682.5</v>
      </c>
      <c r="H912">
        <v>0.05</v>
      </c>
      <c r="I912" s="8" t="s">
        <v>17</v>
      </c>
      <c r="J912" s="8" t="s">
        <v>18</v>
      </c>
      <c r="K912" s="8" t="s">
        <v>25</v>
      </c>
      <c r="L912">
        <v>648.38</v>
      </c>
      <c r="M912" s="8" t="s">
        <v>59</v>
      </c>
      <c r="N912">
        <v>648.375</v>
      </c>
      <c r="O912" s="8" t="s">
        <v>1701</v>
      </c>
      <c r="P912" s="8" t="s">
        <v>1555</v>
      </c>
      <c r="Q912" s="8" t="s">
        <v>1554</v>
      </c>
      <c r="R912" s="8" t="s">
        <v>82</v>
      </c>
      <c r="S912" s="8" t="s">
        <v>1542</v>
      </c>
      <c r="T912" s="8" t="s">
        <v>1570</v>
      </c>
      <c r="U912" s="8" t="s">
        <v>1571</v>
      </c>
      <c r="V912">
        <v>650</v>
      </c>
      <c r="W912">
        <v>390</v>
      </c>
      <c r="X912">
        <v>648.375</v>
      </c>
      <c r="Y912">
        <v>258.375</v>
      </c>
    </row>
    <row r="913" spans="1:25" x14ac:dyDescent="0.3">
      <c r="A913" s="8" t="s">
        <v>1250</v>
      </c>
      <c r="B913" s="14">
        <v>46145</v>
      </c>
      <c r="C913" s="8" t="s">
        <v>1194</v>
      </c>
      <c r="D913" s="8" t="s">
        <v>62</v>
      </c>
      <c r="E913" s="8" t="s">
        <v>51</v>
      </c>
      <c r="F913">
        <v>3</v>
      </c>
      <c r="G913">
        <v>17575</v>
      </c>
      <c r="H913">
        <v>0.2</v>
      </c>
      <c r="I913" s="8" t="s">
        <v>66</v>
      </c>
      <c r="J913" s="8" t="s">
        <v>31</v>
      </c>
      <c r="K913" s="8" t="s">
        <v>25</v>
      </c>
      <c r="L913">
        <v>42180</v>
      </c>
      <c r="M913" s="8" t="s">
        <v>52</v>
      </c>
      <c r="N913">
        <v>42180</v>
      </c>
      <c r="O913" s="8" t="s">
        <v>1701</v>
      </c>
      <c r="P913" s="8" t="s">
        <v>1551</v>
      </c>
      <c r="Q913" s="8" t="s">
        <v>1549</v>
      </c>
      <c r="R913" s="8" t="s">
        <v>1552</v>
      </c>
      <c r="S913" s="8" t="s">
        <v>1542</v>
      </c>
      <c r="T913" s="8" t="s">
        <v>1581</v>
      </c>
      <c r="U913" s="8" t="s">
        <v>1580</v>
      </c>
      <c r="V913">
        <v>18500</v>
      </c>
      <c r="W913">
        <v>13900</v>
      </c>
      <c r="X913">
        <v>0</v>
      </c>
      <c r="Y913">
        <v>-41700</v>
      </c>
    </row>
    <row r="914" spans="1:25" x14ac:dyDescent="0.3">
      <c r="A914" s="8" t="s">
        <v>1251</v>
      </c>
      <c r="B914" s="14">
        <v>46024</v>
      </c>
      <c r="C914" s="8" t="s">
        <v>188</v>
      </c>
      <c r="D914" s="8" t="s">
        <v>123</v>
      </c>
      <c r="E914" s="8" t="s">
        <v>161</v>
      </c>
      <c r="F914">
        <v>3</v>
      </c>
      <c r="G914">
        <v>2470</v>
      </c>
      <c r="H914">
        <v>0.2</v>
      </c>
      <c r="I914" s="8" t="s">
        <v>17</v>
      </c>
      <c r="J914" s="8" t="s">
        <v>71</v>
      </c>
      <c r="K914" s="8" t="s">
        <v>25</v>
      </c>
      <c r="L914">
        <v>5928</v>
      </c>
      <c r="M914" s="8" t="s">
        <v>52</v>
      </c>
      <c r="N914">
        <v>5928</v>
      </c>
      <c r="O914" s="8" t="s">
        <v>1701</v>
      </c>
      <c r="P914" s="8" t="s">
        <v>1558</v>
      </c>
      <c r="Q914" s="8" t="s">
        <v>1559</v>
      </c>
      <c r="R914" s="8" t="s">
        <v>138</v>
      </c>
      <c r="S914" s="8" t="s">
        <v>1542</v>
      </c>
      <c r="T914" s="8" t="s">
        <v>1578</v>
      </c>
      <c r="U914" s="8" t="s">
        <v>1571</v>
      </c>
      <c r="V914">
        <v>2600</v>
      </c>
      <c r="W914">
        <v>1750</v>
      </c>
      <c r="X914">
        <v>5928</v>
      </c>
      <c r="Y914">
        <v>678</v>
      </c>
    </row>
    <row r="915" spans="1:25" x14ac:dyDescent="0.3">
      <c r="A915" s="8" t="s">
        <v>1252</v>
      </c>
      <c r="B915" s="14">
        <v>46067</v>
      </c>
      <c r="C915" s="8" t="s">
        <v>61</v>
      </c>
      <c r="D915" s="8" t="s">
        <v>15</v>
      </c>
      <c r="E915" s="8" t="s">
        <v>36</v>
      </c>
      <c r="F915">
        <v>4</v>
      </c>
      <c r="G915">
        <v>1330</v>
      </c>
      <c r="H915">
        <v>0.15</v>
      </c>
      <c r="I915" s="8" t="s">
        <v>17</v>
      </c>
      <c r="J915" s="8" t="s">
        <v>18</v>
      </c>
      <c r="K915" s="8" t="s">
        <v>55</v>
      </c>
      <c r="L915">
        <v>4522</v>
      </c>
      <c r="M915" s="8" t="s">
        <v>59</v>
      </c>
      <c r="N915">
        <v>4522</v>
      </c>
      <c r="O915" s="8" t="s">
        <v>1701</v>
      </c>
      <c r="P915" s="8" t="s">
        <v>1543</v>
      </c>
      <c r="Q915" s="8" t="s">
        <v>1541</v>
      </c>
      <c r="R915" s="8" t="s">
        <v>52</v>
      </c>
      <c r="S915" s="8" t="s">
        <v>1542</v>
      </c>
      <c r="T915" s="8" t="s">
        <v>1577</v>
      </c>
      <c r="U915" s="8" t="s">
        <v>1571</v>
      </c>
      <c r="V915">
        <v>1400</v>
      </c>
      <c r="W915">
        <v>780</v>
      </c>
      <c r="X915">
        <v>4522</v>
      </c>
      <c r="Y915">
        <v>1402</v>
      </c>
    </row>
    <row r="916" spans="1:25" x14ac:dyDescent="0.3">
      <c r="A916" s="8" t="s">
        <v>1253</v>
      </c>
      <c r="B916" s="14">
        <v>46118</v>
      </c>
      <c r="C916" s="8" t="s">
        <v>39</v>
      </c>
      <c r="D916" s="8" t="s">
        <v>15</v>
      </c>
      <c r="E916" s="8" t="s">
        <v>36</v>
      </c>
      <c r="F916">
        <v>5</v>
      </c>
      <c r="G916">
        <v>1330</v>
      </c>
      <c r="H916">
        <v>0</v>
      </c>
      <c r="I916" s="8" t="s">
        <v>66</v>
      </c>
      <c r="J916" s="8" t="s">
        <v>47</v>
      </c>
      <c r="K916" s="8" t="s">
        <v>55</v>
      </c>
      <c r="L916">
        <v>6650</v>
      </c>
      <c r="M916" s="8" t="s">
        <v>26</v>
      </c>
      <c r="N916">
        <v>6650</v>
      </c>
      <c r="O916" s="8" t="s">
        <v>1701</v>
      </c>
      <c r="P916" s="8" t="s">
        <v>1543</v>
      </c>
      <c r="Q916" s="8" t="s">
        <v>1541</v>
      </c>
      <c r="R916" s="8" t="s">
        <v>52</v>
      </c>
      <c r="S916" s="8" t="s">
        <v>1542</v>
      </c>
      <c r="T916" s="8" t="s">
        <v>1577</v>
      </c>
      <c r="U916" s="8" t="s">
        <v>1571</v>
      </c>
      <c r="V916">
        <v>1400</v>
      </c>
      <c r="W916">
        <v>780</v>
      </c>
      <c r="X916">
        <v>0</v>
      </c>
      <c r="Y916">
        <v>-3900</v>
      </c>
    </row>
    <row r="917" spans="1:25" x14ac:dyDescent="0.3">
      <c r="A917" s="8" t="s">
        <v>1254</v>
      </c>
      <c r="B917" s="14">
        <v>46090</v>
      </c>
      <c r="C917" s="8" t="s">
        <v>499</v>
      </c>
      <c r="D917" s="8" t="s">
        <v>23</v>
      </c>
      <c r="E917" s="8" t="s">
        <v>16</v>
      </c>
      <c r="F917">
        <v>4</v>
      </c>
      <c r="G917">
        <v>650</v>
      </c>
      <c r="H917">
        <v>0.15</v>
      </c>
      <c r="I917" s="8" t="s">
        <v>17</v>
      </c>
      <c r="J917" s="8" t="s">
        <v>18</v>
      </c>
      <c r="K917" s="8" t="s">
        <v>25</v>
      </c>
      <c r="L917">
        <v>2210</v>
      </c>
      <c r="M917" s="8" t="s">
        <v>56</v>
      </c>
      <c r="N917">
        <v>2210</v>
      </c>
      <c r="O917" s="8" t="s">
        <v>1701</v>
      </c>
      <c r="P917" s="8" t="s">
        <v>1545</v>
      </c>
      <c r="Q917" s="8" t="s">
        <v>1541</v>
      </c>
      <c r="R917" s="8" t="s">
        <v>1546</v>
      </c>
      <c r="S917" s="8" t="s">
        <v>1542</v>
      </c>
      <c r="T917" s="8" t="s">
        <v>1570</v>
      </c>
      <c r="U917" s="8" t="s">
        <v>1571</v>
      </c>
      <c r="V917">
        <v>650</v>
      </c>
      <c r="W917">
        <v>390</v>
      </c>
      <c r="X917">
        <v>2210</v>
      </c>
      <c r="Y917">
        <v>650</v>
      </c>
    </row>
    <row r="918" spans="1:25" x14ac:dyDescent="0.3">
      <c r="A918" s="8" t="s">
        <v>1255</v>
      </c>
      <c r="B918" s="14">
        <v>46037</v>
      </c>
      <c r="C918" s="8" t="s">
        <v>682</v>
      </c>
      <c r="D918" s="8" t="s">
        <v>35</v>
      </c>
      <c r="E918" s="8" t="s">
        <v>16</v>
      </c>
      <c r="F918">
        <v>3</v>
      </c>
      <c r="G918">
        <v>617.5</v>
      </c>
      <c r="H918">
        <v>0.05</v>
      </c>
      <c r="I918" s="8" t="s">
        <v>17</v>
      </c>
      <c r="J918" s="8" t="s">
        <v>47</v>
      </c>
      <c r="K918" s="8" t="s">
        <v>41</v>
      </c>
      <c r="L918">
        <v>1759.88</v>
      </c>
      <c r="M918" s="8" t="s">
        <v>32</v>
      </c>
      <c r="N918">
        <v>1759.875</v>
      </c>
      <c r="O918" s="8" t="s">
        <v>1701</v>
      </c>
      <c r="P918" s="8" t="s">
        <v>1548</v>
      </c>
      <c r="Q918" s="8" t="s">
        <v>1549</v>
      </c>
      <c r="R918" s="8" t="s">
        <v>42</v>
      </c>
      <c r="S918" s="8" t="s">
        <v>1542</v>
      </c>
      <c r="T918" s="8" t="s">
        <v>1570</v>
      </c>
      <c r="U918" s="8" t="s">
        <v>1571</v>
      </c>
      <c r="V918">
        <v>650</v>
      </c>
      <c r="W918">
        <v>390</v>
      </c>
      <c r="X918">
        <v>1759.875</v>
      </c>
      <c r="Y918">
        <v>589.875</v>
      </c>
    </row>
    <row r="919" spans="1:25" x14ac:dyDescent="0.3">
      <c r="A919" s="8" t="s">
        <v>1256</v>
      </c>
      <c r="B919" s="14">
        <v>46113</v>
      </c>
      <c r="C919" s="8" t="s">
        <v>328</v>
      </c>
      <c r="D919" s="8" t="s">
        <v>168</v>
      </c>
      <c r="E919" s="8" t="s">
        <v>63</v>
      </c>
      <c r="F919">
        <v>2</v>
      </c>
      <c r="G919">
        <v>2200</v>
      </c>
      <c r="H919">
        <v>0</v>
      </c>
      <c r="I919" s="8" t="s">
        <v>17</v>
      </c>
      <c r="J919" s="8" t="s">
        <v>31</v>
      </c>
      <c r="K919" s="8" t="s">
        <v>55</v>
      </c>
      <c r="L919">
        <v>4400</v>
      </c>
      <c r="M919" s="8" t="s">
        <v>20</v>
      </c>
      <c r="N919">
        <v>4400</v>
      </c>
      <c r="O919" s="8" t="s">
        <v>1701</v>
      </c>
      <c r="P919" s="8" t="s">
        <v>1540</v>
      </c>
      <c r="Q919" s="8" t="s">
        <v>1541</v>
      </c>
      <c r="R919" s="8" t="s">
        <v>20</v>
      </c>
      <c r="S919" s="8" t="s">
        <v>1542</v>
      </c>
      <c r="T919" s="8" t="s">
        <v>1572</v>
      </c>
      <c r="U919" s="8" t="s">
        <v>1571</v>
      </c>
      <c r="V919">
        <v>2200</v>
      </c>
      <c r="W919">
        <v>1450</v>
      </c>
      <c r="X919">
        <v>4400</v>
      </c>
      <c r="Y919">
        <v>1500</v>
      </c>
    </row>
    <row r="920" spans="1:25" x14ac:dyDescent="0.3">
      <c r="A920" s="8" t="s">
        <v>1257</v>
      </c>
      <c r="B920" s="14">
        <v>46062</v>
      </c>
      <c r="C920" s="8" t="s">
        <v>137</v>
      </c>
      <c r="D920" s="8" t="s">
        <v>29</v>
      </c>
      <c r="E920" s="8" t="s">
        <v>74</v>
      </c>
      <c r="F920">
        <v>1</v>
      </c>
      <c r="G920">
        <v>2400</v>
      </c>
      <c r="H920">
        <v>0.1</v>
      </c>
      <c r="I920" s="8" t="s">
        <v>17</v>
      </c>
      <c r="J920" s="8" t="s">
        <v>18</v>
      </c>
      <c r="K920" s="8" t="s">
        <v>41</v>
      </c>
      <c r="L920">
        <v>2160</v>
      </c>
      <c r="M920" s="8" t="s">
        <v>82</v>
      </c>
      <c r="N920">
        <v>2160</v>
      </c>
      <c r="O920" s="8" t="s">
        <v>1701</v>
      </c>
      <c r="P920" s="8" t="s">
        <v>1560</v>
      </c>
      <c r="Q920" s="8" t="s">
        <v>1559</v>
      </c>
      <c r="R920" s="8" t="s">
        <v>1561</v>
      </c>
      <c r="S920" s="8" t="s">
        <v>1542</v>
      </c>
      <c r="T920" s="8" t="s">
        <v>1584</v>
      </c>
      <c r="U920" s="8" t="s">
        <v>1583</v>
      </c>
      <c r="V920">
        <v>2400</v>
      </c>
      <c r="W920">
        <v>1480</v>
      </c>
      <c r="X920">
        <v>2160</v>
      </c>
      <c r="Y920">
        <v>680</v>
      </c>
    </row>
    <row r="921" spans="1:25" x14ac:dyDescent="0.3">
      <c r="A921" s="8" t="s">
        <v>1258</v>
      </c>
      <c r="B921" s="14">
        <v>46091</v>
      </c>
      <c r="C921" s="8" t="s">
        <v>607</v>
      </c>
      <c r="D921" s="8" t="s">
        <v>15</v>
      </c>
      <c r="E921" s="8" t="s">
        <v>46</v>
      </c>
      <c r="F921">
        <v>3</v>
      </c>
      <c r="G921">
        <v>7800</v>
      </c>
      <c r="H921">
        <v>0.1</v>
      </c>
      <c r="I921" s="8" t="s">
        <v>17</v>
      </c>
      <c r="J921" s="8" t="s">
        <v>31</v>
      </c>
      <c r="K921" s="8" t="s">
        <v>67</v>
      </c>
      <c r="L921">
        <v>21060</v>
      </c>
      <c r="M921" s="8" t="s">
        <v>52</v>
      </c>
      <c r="N921">
        <v>21060</v>
      </c>
      <c r="O921" s="8" t="s">
        <v>1701</v>
      </c>
      <c r="P921" s="8" t="s">
        <v>1543</v>
      </c>
      <c r="Q921" s="8" t="s">
        <v>1541</v>
      </c>
      <c r="R921" s="8" t="s">
        <v>52</v>
      </c>
      <c r="S921" s="8" t="s">
        <v>1542</v>
      </c>
      <c r="T921" s="8" t="s">
        <v>1579</v>
      </c>
      <c r="U921" s="8" t="s">
        <v>1580</v>
      </c>
      <c r="V921">
        <v>7800</v>
      </c>
      <c r="W921">
        <v>5200</v>
      </c>
      <c r="X921">
        <v>21060</v>
      </c>
      <c r="Y921">
        <v>5460</v>
      </c>
    </row>
    <row r="922" spans="1:25" x14ac:dyDescent="0.3">
      <c r="A922" s="8" t="s">
        <v>1259</v>
      </c>
      <c r="B922" s="14">
        <v>46051</v>
      </c>
      <c r="C922" s="8" t="s">
        <v>444</v>
      </c>
      <c r="D922" s="8" t="s">
        <v>23</v>
      </c>
      <c r="E922" s="8" t="s">
        <v>135</v>
      </c>
      <c r="F922">
        <v>1</v>
      </c>
      <c r="G922">
        <v>16800</v>
      </c>
      <c r="H922">
        <v>0.1</v>
      </c>
      <c r="I922" s="8" t="s">
        <v>17</v>
      </c>
      <c r="J922" s="8" t="s">
        <v>71</v>
      </c>
      <c r="K922" s="8" t="s">
        <v>41</v>
      </c>
      <c r="L922">
        <v>15120</v>
      </c>
      <c r="M922" s="8" t="s">
        <v>56</v>
      </c>
      <c r="N922">
        <v>15120</v>
      </c>
      <c r="O922" s="8" t="s">
        <v>1701</v>
      </c>
      <c r="P922" s="8" t="s">
        <v>1545</v>
      </c>
      <c r="Q922" s="8" t="s">
        <v>1541</v>
      </c>
      <c r="R922" s="8" t="s">
        <v>1546</v>
      </c>
      <c r="S922" s="8" t="s">
        <v>1542</v>
      </c>
      <c r="T922" s="8" t="s">
        <v>1576</v>
      </c>
      <c r="U922" s="8" t="s">
        <v>1575</v>
      </c>
      <c r="V922">
        <v>16800</v>
      </c>
      <c r="W922">
        <v>12600</v>
      </c>
      <c r="X922">
        <v>15120</v>
      </c>
      <c r="Y922">
        <v>2520</v>
      </c>
    </row>
    <row r="923" spans="1:25" x14ac:dyDescent="0.3">
      <c r="A923" s="8" t="s">
        <v>1260</v>
      </c>
      <c r="B923" s="14">
        <v>46193</v>
      </c>
      <c r="C923" s="8" t="s">
        <v>405</v>
      </c>
      <c r="D923" s="8" t="s">
        <v>45</v>
      </c>
      <c r="E923" s="8" t="s">
        <v>63</v>
      </c>
      <c r="F923">
        <v>2</v>
      </c>
      <c r="G923">
        <v>2200</v>
      </c>
      <c r="H923">
        <v>0.15</v>
      </c>
      <c r="I923" s="8" t="s">
        <v>17</v>
      </c>
      <c r="J923" s="8" t="s">
        <v>18</v>
      </c>
      <c r="K923" s="8" t="s">
        <v>25</v>
      </c>
      <c r="L923">
        <v>3740</v>
      </c>
      <c r="M923" s="8" t="s">
        <v>32</v>
      </c>
      <c r="N923">
        <v>3740</v>
      </c>
      <c r="O923" s="8" t="s">
        <v>1701</v>
      </c>
      <c r="P923" s="8" t="s">
        <v>1547</v>
      </c>
      <c r="Q923" s="8" t="s">
        <v>1541</v>
      </c>
      <c r="R923" s="8" t="s">
        <v>56</v>
      </c>
      <c r="S923" s="8" t="s">
        <v>1542</v>
      </c>
      <c r="T923" s="8" t="s">
        <v>1572</v>
      </c>
      <c r="U923" s="8" t="s">
        <v>1571</v>
      </c>
      <c r="V923">
        <v>2200</v>
      </c>
      <c r="W923">
        <v>1450</v>
      </c>
      <c r="X923">
        <v>3740</v>
      </c>
      <c r="Y923">
        <v>840</v>
      </c>
    </row>
    <row r="924" spans="1:25" x14ac:dyDescent="0.3">
      <c r="A924" s="8" t="s">
        <v>1261</v>
      </c>
      <c r="B924" s="14">
        <v>46056</v>
      </c>
      <c r="C924" s="8" t="s">
        <v>127</v>
      </c>
      <c r="D924" s="8" t="s">
        <v>15</v>
      </c>
      <c r="E924" s="8" t="s">
        <v>63</v>
      </c>
      <c r="F924">
        <v>4</v>
      </c>
      <c r="G924">
        <v>2090</v>
      </c>
      <c r="H924">
        <v>0</v>
      </c>
      <c r="I924" s="8" t="s">
        <v>17</v>
      </c>
      <c r="J924" s="8" t="s">
        <v>31</v>
      </c>
      <c r="K924" s="8" t="s">
        <v>41</v>
      </c>
      <c r="L924">
        <v>8360</v>
      </c>
      <c r="M924" s="8" t="s">
        <v>32</v>
      </c>
      <c r="N924">
        <v>8360</v>
      </c>
      <c r="O924" s="8" t="s">
        <v>1701</v>
      </c>
      <c r="P924" s="8" t="s">
        <v>1543</v>
      </c>
      <c r="Q924" s="8" t="s">
        <v>1541</v>
      </c>
      <c r="R924" s="8" t="s">
        <v>52</v>
      </c>
      <c r="S924" s="8" t="s">
        <v>1542</v>
      </c>
      <c r="T924" s="8" t="s">
        <v>1572</v>
      </c>
      <c r="U924" s="8" t="s">
        <v>1571</v>
      </c>
      <c r="V924">
        <v>2200</v>
      </c>
      <c r="W924">
        <v>1450</v>
      </c>
      <c r="X924">
        <v>8360</v>
      </c>
      <c r="Y924">
        <v>2560</v>
      </c>
    </row>
    <row r="925" spans="1:25" x14ac:dyDescent="0.3">
      <c r="A925" s="8" t="s">
        <v>1262</v>
      </c>
      <c r="B925" s="14">
        <v>46175</v>
      </c>
      <c r="C925" s="8" t="s">
        <v>522</v>
      </c>
      <c r="D925" s="8" t="s">
        <v>123</v>
      </c>
      <c r="E925" s="8" t="s">
        <v>16</v>
      </c>
      <c r="F925">
        <v>2</v>
      </c>
      <c r="G925">
        <v>617.5</v>
      </c>
      <c r="H925">
        <v>0.05</v>
      </c>
      <c r="I925" s="8" t="s">
        <v>17</v>
      </c>
      <c r="J925" s="8" t="s">
        <v>71</v>
      </c>
      <c r="K925" s="8" t="s">
        <v>25</v>
      </c>
      <c r="L925">
        <v>1173.25</v>
      </c>
      <c r="M925" s="8" t="s">
        <v>59</v>
      </c>
      <c r="N925">
        <v>1173.25</v>
      </c>
      <c r="O925" s="8" t="s">
        <v>1701</v>
      </c>
      <c r="P925" s="8" t="s">
        <v>1558</v>
      </c>
      <c r="Q925" s="8" t="s">
        <v>1559</v>
      </c>
      <c r="R925" s="8" t="s">
        <v>138</v>
      </c>
      <c r="S925" s="8" t="s">
        <v>1542</v>
      </c>
      <c r="T925" s="8" t="s">
        <v>1570</v>
      </c>
      <c r="U925" s="8" t="s">
        <v>1571</v>
      </c>
      <c r="V925">
        <v>650</v>
      </c>
      <c r="W925">
        <v>390</v>
      </c>
      <c r="X925">
        <v>1173.25</v>
      </c>
      <c r="Y925">
        <v>393.25</v>
      </c>
    </row>
    <row r="926" spans="1:25" x14ac:dyDescent="0.3">
      <c r="A926" s="8" t="s">
        <v>1263</v>
      </c>
      <c r="B926" s="14">
        <v>46153</v>
      </c>
      <c r="C926" s="8" t="s">
        <v>522</v>
      </c>
      <c r="D926" s="8" t="s">
        <v>50</v>
      </c>
      <c r="E926" s="8" t="s">
        <v>24</v>
      </c>
      <c r="F926">
        <v>1</v>
      </c>
      <c r="G926">
        <v>11200</v>
      </c>
      <c r="H926">
        <v>0</v>
      </c>
      <c r="I926" s="8" t="s">
        <v>66</v>
      </c>
      <c r="J926" s="8" t="s">
        <v>71</v>
      </c>
      <c r="K926" s="8" t="s">
        <v>55</v>
      </c>
      <c r="L926">
        <v>11200</v>
      </c>
      <c r="M926" s="8" t="s">
        <v>42</v>
      </c>
      <c r="N926">
        <v>11200</v>
      </c>
      <c r="O926" s="8" t="s">
        <v>1701</v>
      </c>
      <c r="P926" s="8" t="s">
        <v>1544</v>
      </c>
      <c r="Q926" s="8" t="s">
        <v>1541</v>
      </c>
      <c r="R926" s="8" t="s">
        <v>26</v>
      </c>
      <c r="S926" s="8" t="s">
        <v>1542</v>
      </c>
      <c r="T926" s="8" t="s">
        <v>1574</v>
      </c>
      <c r="U926" s="8" t="s">
        <v>1575</v>
      </c>
      <c r="V926">
        <v>11200</v>
      </c>
      <c r="W926">
        <v>8300</v>
      </c>
      <c r="X926">
        <v>0</v>
      </c>
      <c r="Y926">
        <v>-8300</v>
      </c>
    </row>
    <row r="927" spans="1:25" x14ac:dyDescent="0.3">
      <c r="A927" s="8" t="s">
        <v>1264</v>
      </c>
      <c r="B927" s="14">
        <v>46202</v>
      </c>
      <c r="C927" s="8" t="s">
        <v>211</v>
      </c>
      <c r="D927" s="8" t="s">
        <v>123</v>
      </c>
      <c r="E927" s="8" t="s">
        <v>51</v>
      </c>
      <c r="F927">
        <v>3</v>
      </c>
      <c r="G927">
        <v>18500</v>
      </c>
      <c r="H927">
        <v>0</v>
      </c>
      <c r="I927" s="8" t="s">
        <v>116</v>
      </c>
      <c r="J927" s="8" t="s">
        <v>31</v>
      </c>
      <c r="K927" s="8" t="s">
        <v>41</v>
      </c>
      <c r="L927">
        <v>55500</v>
      </c>
      <c r="M927" s="8" t="s">
        <v>32</v>
      </c>
      <c r="N927">
        <v>55500</v>
      </c>
      <c r="O927" s="8" t="s">
        <v>1701</v>
      </c>
      <c r="P927" s="8" t="s">
        <v>1558</v>
      </c>
      <c r="Q927" s="8" t="s">
        <v>1559</v>
      </c>
      <c r="R927" s="8" t="s">
        <v>138</v>
      </c>
      <c r="S927" s="8" t="s">
        <v>1542</v>
      </c>
      <c r="T927" s="8" t="s">
        <v>1581</v>
      </c>
      <c r="U927" s="8" t="s">
        <v>1580</v>
      </c>
      <c r="V927">
        <v>18500</v>
      </c>
      <c r="W927">
        <v>13900</v>
      </c>
      <c r="X927">
        <v>0</v>
      </c>
      <c r="Y927">
        <v>-41700</v>
      </c>
    </row>
    <row r="928" spans="1:25" x14ac:dyDescent="0.3">
      <c r="A928" s="8" t="s">
        <v>1265</v>
      </c>
      <c r="B928" s="14">
        <v>46032</v>
      </c>
      <c r="C928" s="8" t="s">
        <v>843</v>
      </c>
      <c r="D928" s="8" t="s">
        <v>45</v>
      </c>
      <c r="E928" s="8" t="s">
        <v>24</v>
      </c>
      <c r="F928">
        <v>8</v>
      </c>
      <c r="G928">
        <v>11200</v>
      </c>
      <c r="H928">
        <v>0.1</v>
      </c>
      <c r="I928" s="8" t="s">
        <v>17</v>
      </c>
      <c r="J928" s="8" t="s">
        <v>31</v>
      </c>
      <c r="K928" s="8" t="s">
        <v>55</v>
      </c>
      <c r="L928">
        <v>80640</v>
      </c>
      <c r="M928" s="8" t="s">
        <v>32</v>
      </c>
      <c r="N928">
        <v>80640</v>
      </c>
      <c r="O928" s="8" t="s">
        <v>1701</v>
      </c>
      <c r="P928" s="8" t="s">
        <v>1547</v>
      </c>
      <c r="Q928" s="8" t="s">
        <v>1541</v>
      </c>
      <c r="R928" s="8" t="s">
        <v>56</v>
      </c>
      <c r="S928" s="8" t="s">
        <v>1542</v>
      </c>
      <c r="T928" s="8" t="s">
        <v>1574</v>
      </c>
      <c r="U928" s="8" t="s">
        <v>1575</v>
      </c>
      <c r="V928">
        <v>11200</v>
      </c>
      <c r="W928">
        <v>8300</v>
      </c>
      <c r="X928">
        <v>80640</v>
      </c>
      <c r="Y928">
        <v>14240</v>
      </c>
    </row>
    <row r="929" spans="1:25" x14ac:dyDescent="0.3">
      <c r="A929" s="8" t="s">
        <v>1266</v>
      </c>
      <c r="B929" s="14">
        <v>46157</v>
      </c>
      <c r="C929" s="8" t="s">
        <v>457</v>
      </c>
      <c r="D929" s="8" t="s">
        <v>45</v>
      </c>
      <c r="E929" s="8" t="s">
        <v>85</v>
      </c>
      <c r="F929">
        <v>3</v>
      </c>
      <c r="G929">
        <v>50925</v>
      </c>
      <c r="H929">
        <v>0</v>
      </c>
      <c r="I929" s="8" t="s">
        <v>17</v>
      </c>
      <c r="J929" s="8" t="s">
        <v>31</v>
      </c>
      <c r="K929" s="8" t="s">
        <v>25</v>
      </c>
      <c r="L929">
        <v>152775</v>
      </c>
      <c r="M929" s="8" t="s">
        <v>32</v>
      </c>
      <c r="N929">
        <v>152775</v>
      </c>
      <c r="O929" s="8" t="s">
        <v>1701</v>
      </c>
      <c r="P929" s="8" t="s">
        <v>1547</v>
      </c>
      <c r="Q929" s="8" t="s">
        <v>1541</v>
      </c>
      <c r="R929" s="8" t="s">
        <v>56</v>
      </c>
      <c r="S929" s="8" t="s">
        <v>1542</v>
      </c>
      <c r="T929" s="8" t="s">
        <v>1585</v>
      </c>
      <c r="U929" s="8" t="s">
        <v>1586</v>
      </c>
      <c r="V929">
        <v>48500</v>
      </c>
      <c r="W929">
        <v>41200</v>
      </c>
      <c r="X929">
        <v>152775</v>
      </c>
      <c r="Y929">
        <v>29175</v>
      </c>
    </row>
    <row r="930" spans="1:25" x14ac:dyDescent="0.3">
      <c r="A930" s="8" t="s">
        <v>1267</v>
      </c>
      <c r="B930" s="14">
        <v>46187</v>
      </c>
      <c r="C930" s="8" t="s">
        <v>163</v>
      </c>
      <c r="D930" s="8" t="s">
        <v>168</v>
      </c>
      <c r="E930" s="8" t="s">
        <v>135</v>
      </c>
      <c r="F930">
        <v>1</v>
      </c>
      <c r="G930">
        <v>16800</v>
      </c>
      <c r="H930">
        <v>0.05</v>
      </c>
      <c r="I930" s="8" t="s">
        <v>17</v>
      </c>
      <c r="J930" s="8" t="s">
        <v>71</v>
      </c>
      <c r="K930" s="8" t="s">
        <v>67</v>
      </c>
      <c r="L930">
        <v>15960</v>
      </c>
      <c r="M930" s="8" t="s">
        <v>20</v>
      </c>
      <c r="N930">
        <v>15960</v>
      </c>
      <c r="O930" s="8" t="s">
        <v>1701</v>
      </c>
      <c r="P930" s="8" t="s">
        <v>1540</v>
      </c>
      <c r="Q930" s="8" t="s">
        <v>1541</v>
      </c>
      <c r="R930" s="8" t="s">
        <v>20</v>
      </c>
      <c r="S930" s="8" t="s">
        <v>1542</v>
      </c>
      <c r="T930" s="8" t="s">
        <v>1576</v>
      </c>
      <c r="U930" s="8" t="s">
        <v>1575</v>
      </c>
      <c r="V930">
        <v>16800</v>
      </c>
      <c r="W930">
        <v>12600</v>
      </c>
      <c r="X930">
        <v>15960</v>
      </c>
      <c r="Y930">
        <v>3360</v>
      </c>
    </row>
    <row r="931" spans="1:25" x14ac:dyDescent="0.3">
      <c r="A931" s="8" t="s">
        <v>1268</v>
      </c>
      <c r="B931" s="14">
        <v>46069</v>
      </c>
      <c r="C931" s="8" t="s">
        <v>436</v>
      </c>
      <c r="D931" s="8" t="s">
        <v>168</v>
      </c>
      <c r="E931" s="8" t="s">
        <v>16</v>
      </c>
      <c r="F931">
        <v>1</v>
      </c>
      <c r="G931">
        <v>650</v>
      </c>
      <c r="H931">
        <v>0.2</v>
      </c>
      <c r="I931" s="8" t="s">
        <v>17</v>
      </c>
      <c r="J931" s="8" t="s">
        <v>47</v>
      </c>
      <c r="K931" s="8" t="s">
        <v>25</v>
      </c>
      <c r="L931">
        <v>520</v>
      </c>
      <c r="M931" s="8" t="s">
        <v>1702</v>
      </c>
      <c r="N931">
        <v>520</v>
      </c>
      <c r="O931" s="8" t="s">
        <v>1701</v>
      </c>
      <c r="P931" s="8" t="s">
        <v>1540</v>
      </c>
      <c r="Q931" s="8" t="s">
        <v>1541</v>
      </c>
      <c r="R931" s="8" t="s">
        <v>20</v>
      </c>
      <c r="S931" s="8" t="s">
        <v>1542</v>
      </c>
      <c r="T931" s="8" t="s">
        <v>1570</v>
      </c>
      <c r="U931" s="8" t="s">
        <v>1571</v>
      </c>
      <c r="V931">
        <v>650</v>
      </c>
      <c r="W931">
        <v>390</v>
      </c>
      <c r="X931">
        <v>520</v>
      </c>
      <c r="Y931">
        <v>130</v>
      </c>
    </row>
    <row r="932" spans="1:25" x14ac:dyDescent="0.3">
      <c r="A932" s="8" t="s">
        <v>1269</v>
      </c>
      <c r="B932" s="14">
        <v>46133</v>
      </c>
      <c r="C932" s="8" t="s">
        <v>250</v>
      </c>
      <c r="D932" s="8" t="s">
        <v>50</v>
      </c>
      <c r="E932" s="8" t="s">
        <v>135</v>
      </c>
      <c r="F932">
        <v>8</v>
      </c>
      <c r="G932">
        <v>15960</v>
      </c>
      <c r="H932">
        <v>0.05</v>
      </c>
      <c r="I932" s="8" t="s">
        <v>17</v>
      </c>
      <c r="J932" s="8" t="s">
        <v>31</v>
      </c>
      <c r="K932" s="8" t="s">
        <v>25</v>
      </c>
      <c r="L932">
        <v>121296</v>
      </c>
      <c r="M932" s="8" t="s">
        <v>59</v>
      </c>
      <c r="N932">
        <v>121296</v>
      </c>
      <c r="O932" s="8" t="s">
        <v>1701</v>
      </c>
      <c r="P932" s="8" t="s">
        <v>1544</v>
      </c>
      <c r="Q932" s="8" t="s">
        <v>1541</v>
      </c>
      <c r="R932" s="8" t="s">
        <v>26</v>
      </c>
      <c r="S932" s="8" t="s">
        <v>1542</v>
      </c>
      <c r="T932" s="8" t="s">
        <v>1576</v>
      </c>
      <c r="U932" s="8" t="s">
        <v>1575</v>
      </c>
      <c r="V932">
        <v>16800</v>
      </c>
      <c r="W932">
        <v>12600</v>
      </c>
      <c r="X932">
        <v>121296</v>
      </c>
      <c r="Y932">
        <v>20496</v>
      </c>
    </row>
    <row r="933" spans="1:25" x14ac:dyDescent="0.3">
      <c r="A933" s="8" t="s">
        <v>1270</v>
      </c>
      <c r="B933" s="14">
        <v>46107</v>
      </c>
      <c r="C933" s="8" t="s">
        <v>127</v>
      </c>
      <c r="D933" s="8" t="s">
        <v>35</v>
      </c>
      <c r="E933" s="8" t="s">
        <v>85</v>
      </c>
      <c r="F933">
        <v>4</v>
      </c>
      <c r="G933">
        <v>48500</v>
      </c>
      <c r="H933">
        <v>0.2</v>
      </c>
      <c r="I933" s="8" t="s">
        <v>17</v>
      </c>
      <c r="J933" s="8" t="s">
        <v>47</v>
      </c>
      <c r="K933" s="8" t="s">
        <v>41</v>
      </c>
      <c r="L933">
        <v>155200</v>
      </c>
      <c r="M933" s="8" t="s">
        <v>48</v>
      </c>
      <c r="N933">
        <v>155200</v>
      </c>
      <c r="O933" s="8" t="s">
        <v>1701</v>
      </c>
      <c r="P933" s="8" t="s">
        <v>1548</v>
      </c>
      <c r="Q933" s="8" t="s">
        <v>1549</v>
      </c>
      <c r="R933" s="8" t="s">
        <v>42</v>
      </c>
      <c r="S933" s="8" t="s">
        <v>1542</v>
      </c>
      <c r="T933" s="8" t="s">
        <v>1585</v>
      </c>
      <c r="U933" s="8" t="s">
        <v>1586</v>
      </c>
      <c r="V933">
        <v>48500</v>
      </c>
      <c r="W933">
        <v>41200</v>
      </c>
      <c r="X933">
        <v>155200</v>
      </c>
      <c r="Y933">
        <v>-9600</v>
      </c>
    </row>
    <row r="934" spans="1:25" x14ac:dyDescent="0.3">
      <c r="A934" s="8" t="s">
        <v>1271</v>
      </c>
      <c r="B934" s="14">
        <v>46121</v>
      </c>
      <c r="C934" s="8" t="s">
        <v>386</v>
      </c>
      <c r="D934" s="8" t="s">
        <v>15</v>
      </c>
      <c r="E934" s="8" t="s">
        <v>63</v>
      </c>
      <c r="F934">
        <v>1</v>
      </c>
      <c r="G934">
        <v>2090</v>
      </c>
      <c r="H934">
        <v>0.2</v>
      </c>
      <c r="I934" s="8" t="s">
        <v>17</v>
      </c>
      <c r="J934" s="8" t="s">
        <v>71</v>
      </c>
      <c r="K934" s="8" t="s">
        <v>55</v>
      </c>
      <c r="L934">
        <v>1672</v>
      </c>
      <c r="M934" s="8" t="s">
        <v>42</v>
      </c>
      <c r="N934">
        <v>1672</v>
      </c>
      <c r="O934" s="8" t="s">
        <v>1701</v>
      </c>
      <c r="P934" s="8" t="s">
        <v>1543</v>
      </c>
      <c r="Q934" s="8" t="s">
        <v>1541</v>
      </c>
      <c r="R934" s="8" t="s">
        <v>52</v>
      </c>
      <c r="S934" s="8" t="s">
        <v>1542</v>
      </c>
      <c r="T934" s="8" t="s">
        <v>1572</v>
      </c>
      <c r="U934" s="8" t="s">
        <v>1571</v>
      </c>
      <c r="V934">
        <v>2200</v>
      </c>
      <c r="W934">
        <v>1450</v>
      </c>
      <c r="X934">
        <v>1672</v>
      </c>
      <c r="Y934">
        <v>222</v>
      </c>
    </row>
    <row r="935" spans="1:25" x14ac:dyDescent="0.3">
      <c r="A935" s="8" t="s">
        <v>1272</v>
      </c>
      <c r="B935" s="14">
        <v>46042</v>
      </c>
      <c r="C935" s="8" t="s">
        <v>181</v>
      </c>
      <c r="D935" s="8" t="s">
        <v>152</v>
      </c>
      <c r="E935" s="8" t="s">
        <v>183</v>
      </c>
      <c r="F935">
        <v>2</v>
      </c>
      <c r="G935">
        <v>3200</v>
      </c>
      <c r="H935">
        <v>0.2</v>
      </c>
      <c r="I935" s="8" t="s">
        <v>17</v>
      </c>
      <c r="J935" s="8" t="s">
        <v>31</v>
      </c>
      <c r="K935" s="8" t="s">
        <v>41</v>
      </c>
      <c r="L935">
        <v>5120</v>
      </c>
      <c r="M935" s="8" t="s">
        <v>52</v>
      </c>
      <c r="N935">
        <v>5120</v>
      </c>
      <c r="O935" s="8" t="s">
        <v>1701</v>
      </c>
      <c r="P935" s="8" t="s">
        <v>1553</v>
      </c>
      <c r="Q935" s="8" t="s">
        <v>1554</v>
      </c>
      <c r="R935" s="8" t="s">
        <v>59</v>
      </c>
      <c r="S935" s="8" t="s">
        <v>1542</v>
      </c>
      <c r="T935" s="8" t="s">
        <v>1582</v>
      </c>
      <c r="U935" s="8" t="s">
        <v>1583</v>
      </c>
      <c r="V935">
        <v>3200</v>
      </c>
      <c r="W935">
        <v>2050</v>
      </c>
      <c r="X935">
        <v>5120</v>
      </c>
      <c r="Y935">
        <v>1020</v>
      </c>
    </row>
    <row r="936" spans="1:25" x14ac:dyDescent="0.3">
      <c r="A936" s="8" t="s">
        <v>1273</v>
      </c>
      <c r="B936" s="14">
        <v>46130</v>
      </c>
      <c r="C936" s="8" t="s">
        <v>188</v>
      </c>
      <c r="D936" s="8" t="s">
        <v>152</v>
      </c>
      <c r="E936" s="8" t="s">
        <v>85</v>
      </c>
      <c r="F936">
        <v>1</v>
      </c>
      <c r="G936">
        <v>48500</v>
      </c>
      <c r="H936">
        <v>0.15</v>
      </c>
      <c r="I936" s="8" t="s">
        <v>116</v>
      </c>
      <c r="J936" s="8" t="s">
        <v>31</v>
      </c>
      <c r="K936" s="8" t="s">
        <v>55</v>
      </c>
      <c r="L936">
        <v>41225</v>
      </c>
      <c r="M936" s="8" t="s">
        <v>42</v>
      </c>
      <c r="N936">
        <v>41225</v>
      </c>
      <c r="O936" s="8" t="s">
        <v>1701</v>
      </c>
      <c r="P936" s="8" t="s">
        <v>1553</v>
      </c>
      <c r="Q936" s="8" t="s">
        <v>1554</v>
      </c>
      <c r="R936" s="8" t="s">
        <v>59</v>
      </c>
      <c r="S936" s="8" t="s">
        <v>1542</v>
      </c>
      <c r="T936" s="8" t="s">
        <v>1585</v>
      </c>
      <c r="U936" s="8" t="s">
        <v>1586</v>
      </c>
      <c r="V936">
        <v>48500</v>
      </c>
      <c r="W936">
        <v>41200</v>
      </c>
      <c r="X936">
        <v>0</v>
      </c>
      <c r="Y936">
        <v>-41200</v>
      </c>
    </row>
    <row r="937" spans="1:25" x14ac:dyDescent="0.3">
      <c r="A937" s="8" t="s">
        <v>1274</v>
      </c>
      <c r="B937" s="14">
        <v>46146</v>
      </c>
      <c r="C937" s="8" t="s">
        <v>1275</v>
      </c>
      <c r="D937" s="8" t="s">
        <v>70</v>
      </c>
      <c r="E937" s="8" t="s">
        <v>51</v>
      </c>
      <c r="F937">
        <v>8</v>
      </c>
      <c r="G937">
        <v>18500</v>
      </c>
      <c r="H937">
        <v>0.15</v>
      </c>
      <c r="I937" s="8" t="s">
        <v>17</v>
      </c>
      <c r="J937" s="8" t="s">
        <v>71</v>
      </c>
      <c r="K937" s="8" t="s">
        <v>67</v>
      </c>
      <c r="L937">
        <v>125800</v>
      </c>
      <c r="M937" s="8" t="s">
        <v>20</v>
      </c>
      <c r="N937">
        <v>125800</v>
      </c>
      <c r="O937" s="8" t="s">
        <v>1701</v>
      </c>
      <c r="P937" s="8" t="s">
        <v>1550</v>
      </c>
      <c r="Q937" s="8" t="s">
        <v>1549</v>
      </c>
      <c r="R937" s="8" t="s">
        <v>32</v>
      </c>
      <c r="S937" s="8" t="s">
        <v>1542</v>
      </c>
      <c r="T937" s="8" t="s">
        <v>1581</v>
      </c>
      <c r="U937" s="8" t="s">
        <v>1580</v>
      </c>
      <c r="V937">
        <v>18500</v>
      </c>
      <c r="W937">
        <v>13900</v>
      </c>
      <c r="X937">
        <v>125800</v>
      </c>
      <c r="Y937">
        <v>14600</v>
      </c>
    </row>
    <row r="938" spans="1:25" x14ac:dyDescent="0.3">
      <c r="A938" s="8" t="s">
        <v>1276</v>
      </c>
      <c r="B938" s="14">
        <v>46167</v>
      </c>
      <c r="C938" s="8" t="s">
        <v>165</v>
      </c>
      <c r="D938" s="8" t="s">
        <v>168</v>
      </c>
      <c r="E938" s="8" t="s">
        <v>85</v>
      </c>
      <c r="F938">
        <v>1</v>
      </c>
      <c r="G938">
        <v>46075</v>
      </c>
      <c r="H938">
        <v>0.1</v>
      </c>
      <c r="I938" s="8" t="s">
        <v>17</v>
      </c>
      <c r="J938" s="8" t="s">
        <v>18</v>
      </c>
      <c r="K938" s="8" t="s">
        <v>25</v>
      </c>
      <c r="L938">
        <v>41467.5</v>
      </c>
      <c r="M938" s="8" t="s">
        <v>32</v>
      </c>
      <c r="N938">
        <v>41467.5</v>
      </c>
      <c r="O938" s="8" t="s">
        <v>1701</v>
      </c>
      <c r="P938" s="8" t="s">
        <v>1540</v>
      </c>
      <c r="Q938" s="8" t="s">
        <v>1541</v>
      </c>
      <c r="R938" s="8" t="s">
        <v>20</v>
      </c>
      <c r="S938" s="8" t="s">
        <v>1542</v>
      </c>
      <c r="T938" s="8" t="s">
        <v>1585</v>
      </c>
      <c r="U938" s="8" t="s">
        <v>1586</v>
      </c>
      <c r="V938">
        <v>48500</v>
      </c>
      <c r="W938">
        <v>41200</v>
      </c>
      <c r="X938">
        <v>41467.5</v>
      </c>
      <c r="Y938">
        <v>267.5</v>
      </c>
    </row>
    <row r="939" spans="1:25" x14ac:dyDescent="0.3">
      <c r="A939" s="8" t="s">
        <v>1277</v>
      </c>
      <c r="B939" s="14">
        <v>46166</v>
      </c>
      <c r="C939" s="8" t="s">
        <v>845</v>
      </c>
      <c r="D939" s="8" t="s">
        <v>29</v>
      </c>
      <c r="E939" s="8" t="s">
        <v>161</v>
      </c>
      <c r="F939">
        <v>2</v>
      </c>
      <c r="G939">
        <v>2470</v>
      </c>
      <c r="H939">
        <v>0.05</v>
      </c>
      <c r="I939" s="8" t="s">
        <v>17</v>
      </c>
      <c r="J939" s="8" t="s">
        <v>71</v>
      </c>
      <c r="K939" s="8" t="s">
        <v>25</v>
      </c>
      <c r="L939">
        <v>4693</v>
      </c>
      <c r="M939" s="8" t="s">
        <v>20</v>
      </c>
      <c r="N939">
        <v>4693</v>
      </c>
      <c r="O939" s="8" t="s">
        <v>1701</v>
      </c>
      <c r="P939" s="8" t="s">
        <v>1560</v>
      </c>
      <c r="Q939" s="8" t="s">
        <v>1559</v>
      </c>
      <c r="R939" s="8" t="s">
        <v>1561</v>
      </c>
      <c r="S939" s="8" t="s">
        <v>1542</v>
      </c>
      <c r="T939" s="8" t="s">
        <v>1578</v>
      </c>
      <c r="U939" s="8" t="s">
        <v>1571</v>
      </c>
      <c r="V939">
        <v>2600</v>
      </c>
      <c r="W939">
        <v>1750</v>
      </c>
      <c r="X939">
        <v>4693</v>
      </c>
      <c r="Y939">
        <v>1193</v>
      </c>
    </row>
    <row r="940" spans="1:25" x14ac:dyDescent="0.3">
      <c r="A940" s="8" t="s">
        <v>1278</v>
      </c>
      <c r="B940" s="14">
        <v>46154</v>
      </c>
      <c r="C940" s="8" t="s">
        <v>246</v>
      </c>
      <c r="D940" s="8" t="s">
        <v>62</v>
      </c>
      <c r="E940" s="8" t="s">
        <v>51</v>
      </c>
      <c r="F940">
        <v>3</v>
      </c>
      <c r="G940">
        <v>18500</v>
      </c>
      <c r="H940">
        <v>0.15</v>
      </c>
      <c r="I940" s="8" t="s">
        <v>17</v>
      </c>
      <c r="J940" s="8" t="s">
        <v>47</v>
      </c>
      <c r="K940" s="8" t="s">
        <v>25</v>
      </c>
      <c r="L940">
        <v>47175</v>
      </c>
      <c r="M940" s="8" t="s">
        <v>42</v>
      </c>
      <c r="N940">
        <v>47175</v>
      </c>
      <c r="O940" s="8" t="s">
        <v>1701</v>
      </c>
      <c r="P940" s="8" t="s">
        <v>1551</v>
      </c>
      <c r="Q940" s="8" t="s">
        <v>1549</v>
      </c>
      <c r="R940" s="8" t="s">
        <v>1552</v>
      </c>
      <c r="S940" s="8" t="s">
        <v>1542</v>
      </c>
      <c r="T940" s="8" t="s">
        <v>1581</v>
      </c>
      <c r="U940" s="8" t="s">
        <v>1580</v>
      </c>
      <c r="V940">
        <v>18500</v>
      </c>
      <c r="W940">
        <v>13900</v>
      </c>
      <c r="X940">
        <v>47175</v>
      </c>
      <c r="Y940">
        <v>5475</v>
      </c>
    </row>
    <row r="941" spans="1:25" x14ac:dyDescent="0.3">
      <c r="A941" s="8" t="s">
        <v>1279</v>
      </c>
      <c r="B941" s="14">
        <v>46066</v>
      </c>
      <c r="C941" s="8" t="s">
        <v>170</v>
      </c>
      <c r="D941" s="8" t="s">
        <v>23</v>
      </c>
      <c r="E941" s="8" t="s">
        <v>16</v>
      </c>
      <c r="F941">
        <v>2</v>
      </c>
      <c r="G941">
        <v>650</v>
      </c>
      <c r="H941">
        <v>0.05</v>
      </c>
      <c r="I941" s="8" t="s">
        <v>17</v>
      </c>
      <c r="J941" s="8" t="s">
        <v>71</v>
      </c>
      <c r="K941" s="8" t="s">
        <v>67</v>
      </c>
      <c r="L941">
        <v>1235</v>
      </c>
      <c r="M941" s="8" t="s">
        <v>20</v>
      </c>
      <c r="N941">
        <v>1235</v>
      </c>
      <c r="O941" s="8" t="s">
        <v>1701</v>
      </c>
      <c r="P941" s="8" t="s">
        <v>1545</v>
      </c>
      <c r="Q941" s="8" t="s">
        <v>1541</v>
      </c>
      <c r="R941" s="8" t="s">
        <v>1546</v>
      </c>
      <c r="S941" s="8" t="s">
        <v>1542</v>
      </c>
      <c r="T941" s="8" t="s">
        <v>1570</v>
      </c>
      <c r="U941" s="8" t="s">
        <v>1571</v>
      </c>
      <c r="V941">
        <v>650</v>
      </c>
      <c r="W941">
        <v>390</v>
      </c>
      <c r="X941">
        <v>1235</v>
      </c>
      <c r="Y941">
        <v>455</v>
      </c>
    </row>
    <row r="942" spans="1:25" x14ac:dyDescent="0.3">
      <c r="A942" s="8" t="s">
        <v>1280</v>
      </c>
      <c r="B942" s="14">
        <v>46187</v>
      </c>
      <c r="C942" s="8" t="s">
        <v>405</v>
      </c>
      <c r="D942" s="8" t="s">
        <v>23</v>
      </c>
      <c r="E942" s="8" t="s">
        <v>24</v>
      </c>
      <c r="F942">
        <v>2</v>
      </c>
      <c r="G942">
        <v>11200</v>
      </c>
      <c r="H942">
        <v>0</v>
      </c>
      <c r="I942" s="8" t="s">
        <v>17</v>
      </c>
      <c r="J942" s="8" t="s">
        <v>31</v>
      </c>
      <c r="K942" s="8" t="s">
        <v>25</v>
      </c>
      <c r="L942">
        <v>22400</v>
      </c>
      <c r="M942" s="8" t="s">
        <v>26</v>
      </c>
      <c r="N942">
        <v>22400</v>
      </c>
      <c r="O942" s="8" t="s">
        <v>1701</v>
      </c>
      <c r="P942" s="8" t="s">
        <v>1545</v>
      </c>
      <c r="Q942" s="8" t="s">
        <v>1541</v>
      </c>
      <c r="R942" s="8" t="s">
        <v>1546</v>
      </c>
      <c r="S942" s="8" t="s">
        <v>1542</v>
      </c>
      <c r="T942" s="8" t="s">
        <v>1574</v>
      </c>
      <c r="U942" s="8" t="s">
        <v>1575</v>
      </c>
      <c r="V942">
        <v>11200</v>
      </c>
      <c r="W942">
        <v>8300</v>
      </c>
      <c r="X942">
        <v>22400</v>
      </c>
      <c r="Y942">
        <v>5800</v>
      </c>
    </row>
    <row r="943" spans="1:25" x14ac:dyDescent="0.3">
      <c r="A943" s="8" t="s">
        <v>1281</v>
      </c>
      <c r="B943" s="14">
        <v>46057</v>
      </c>
      <c r="C943" s="8" t="s">
        <v>877</v>
      </c>
      <c r="D943" s="8" t="s">
        <v>70</v>
      </c>
      <c r="E943" s="8" t="s">
        <v>183</v>
      </c>
      <c r="F943">
        <v>1</v>
      </c>
      <c r="G943">
        <v>3040</v>
      </c>
      <c r="H943">
        <v>0</v>
      </c>
      <c r="I943" s="8" t="s">
        <v>17</v>
      </c>
      <c r="J943" s="8" t="s">
        <v>71</v>
      </c>
      <c r="K943" s="8" t="s">
        <v>67</v>
      </c>
      <c r="L943">
        <v>3040</v>
      </c>
      <c r="M943" s="8" t="s">
        <v>59</v>
      </c>
      <c r="N943">
        <v>3040</v>
      </c>
      <c r="O943" s="8" t="s">
        <v>1701</v>
      </c>
      <c r="P943" s="8" t="s">
        <v>1550</v>
      </c>
      <c r="Q943" s="8" t="s">
        <v>1549</v>
      </c>
      <c r="R943" s="8" t="s">
        <v>32</v>
      </c>
      <c r="S943" s="8" t="s">
        <v>1542</v>
      </c>
      <c r="T943" s="8" t="s">
        <v>1582</v>
      </c>
      <c r="U943" s="8" t="s">
        <v>1583</v>
      </c>
      <c r="V943">
        <v>3200</v>
      </c>
      <c r="W943">
        <v>2050</v>
      </c>
      <c r="X943">
        <v>3040</v>
      </c>
      <c r="Y943">
        <v>990</v>
      </c>
    </row>
    <row r="944" spans="1:25" x14ac:dyDescent="0.3">
      <c r="A944" s="8" t="s">
        <v>1282</v>
      </c>
      <c r="B944" s="14">
        <v>46088</v>
      </c>
      <c r="C944" s="8" t="s">
        <v>463</v>
      </c>
      <c r="D944" s="8" t="s">
        <v>168</v>
      </c>
      <c r="E944" s="8" t="s">
        <v>51</v>
      </c>
      <c r="F944">
        <v>3</v>
      </c>
      <c r="G944">
        <v>19425</v>
      </c>
      <c r="H944">
        <v>0.15</v>
      </c>
      <c r="I944" s="8" t="s">
        <v>17</v>
      </c>
      <c r="J944" s="8" t="s">
        <v>71</v>
      </c>
      <c r="K944" s="8" t="s">
        <v>67</v>
      </c>
      <c r="L944">
        <v>49533.75</v>
      </c>
      <c r="M944" s="8" t="s">
        <v>52</v>
      </c>
      <c r="N944">
        <v>49533.75</v>
      </c>
      <c r="O944" s="8" t="s">
        <v>1701</v>
      </c>
      <c r="P944" s="8" t="s">
        <v>1540</v>
      </c>
      <c r="Q944" s="8" t="s">
        <v>1541</v>
      </c>
      <c r="R944" s="8" t="s">
        <v>20</v>
      </c>
      <c r="S944" s="8" t="s">
        <v>1542</v>
      </c>
      <c r="T944" s="8" t="s">
        <v>1581</v>
      </c>
      <c r="U944" s="8" t="s">
        <v>1580</v>
      </c>
      <c r="V944">
        <v>18500</v>
      </c>
      <c r="W944">
        <v>13900</v>
      </c>
      <c r="X944">
        <v>49533.75</v>
      </c>
      <c r="Y944">
        <v>7833.75</v>
      </c>
    </row>
    <row r="945" spans="1:25" x14ac:dyDescent="0.3">
      <c r="A945" s="8" t="s">
        <v>1283</v>
      </c>
      <c r="B945" s="14">
        <v>46106</v>
      </c>
      <c r="C945" s="8" t="s">
        <v>607</v>
      </c>
      <c r="D945" s="8" t="s">
        <v>45</v>
      </c>
      <c r="E945" s="8" t="s">
        <v>24</v>
      </c>
      <c r="F945">
        <v>3</v>
      </c>
      <c r="G945">
        <v>11200</v>
      </c>
      <c r="H945">
        <v>0.1</v>
      </c>
      <c r="I945" s="8" t="s">
        <v>17</v>
      </c>
      <c r="J945" s="8" t="s">
        <v>47</v>
      </c>
      <c r="K945" s="8" t="s">
        <v>41</v>
      </c>
      <c r="L945">
        <v>30240</v>
      </c>
      <c r="M945" s="8" t="s">
        <v>56</v>
      </c>
      <c r="N945">
        <v>30240</v>
      </c>
      <c r="O945" s="8" t="s">
        <v>1701</v>
      </c>
      <c r="P945" s="8" t="s">
        <v>1547</v>
      </c>
      <c r="Q945" s="8" t="s">
        <v>1541</v>
      </c>
      <c r="R945" s="8" t="s">
        <v>56</v>
      </c>
      <c r="S945" s="8" t="s">
        <v>1542</v>
      </c>
      <c r="T945" s="8" t="s">
        <v>1574</v>
      </c>
      <c r="U945" s="8" t="s">
        <v>1575</v>
      </c>
      <c r="V945">
        <v>11200</v>
      </c>
      <c r="W945">
        <v>8300</v>
      </c>
      <c r="X945">
        <v>30240</v>
      </c>
      <c r="Y945">
        <v>5340</v>
      </c>
    </row>
    <row r="946" spans="1:25" x14ac:dyDescent="0.3">
      <c r="A946" s="8" t="s">
        <v>1284</v>
      </c>
      <c r="B946" s="14">
        <v>46046</v>
      </c>
      <c r="C946" s="8" t="s">
        <v>213</v>
      </c>
      <c r="D946" s="8" t="s">
        <v>62</v>
      </c>
      <c r="E946" s="8" t="s">
        <v>30</v>
      </c>
      <c r="F946">
        <v>2</v>
      </c>
      <c r="G946">
        <v>1890</v>
      </c>
      <c r="H946">
        <v>0</v>
      </c>
      <c r="I946" s="8" t="s">
        <v>17</v>
      </c>
      <c r="J946" s="8" t="s">
        <v>47</v>
      </c>
      <c r="K946" s="8" t="s">
        <v>1698</v>
      </c>
      <c r="L946">
        <v>3780</v>
      </c>
      <c r="M946" s="8" t="s">
        <v>26</v>
      </c>
      <c r="N946">
        <v>3780</v>
      </c>
      <c r="O946" s="8" t="s">
        <v>1701</v>
      </c>
      <c r="P946" s="8" t="s">
        <v>1551</v>
      </c>
      <c r="Q946" s="8" t="s">
        <v>1549</v>
      </c>
      <c r="R946" s="8" t="s">
        <v>1552</v>
      </c>
      <c r="S946" s="8" t="s">
        <v>1542</v>
      </c>
      <c r="T946" s="8" t="s">
        <v>1573</v>
      </c>
      <c r="U946" s="8" t="s">
        <v>1571</v>
      </c>
      <c r="V946">
        <v>1800</v>
      </c>
      <c r="W946">
        <v>1120</v>
      </c>
      <c r="X946">
        <v>3780</v>
      </c>
      <c r="Y946">
        <v>1540</v>
      </c>
    </row>
    <row r="947" spans="1:25" x14ac:dyDescent="0.3">
      <c r="A947" s="8" t="s">
        <v>1285</v>
      </c>
      <c r="B947" s="14">
        <v>46064</v>
      </c>
      <c r="C947" s="8" t="s">
        <v>475</v>
      </c>
      <c r="D947" s="8" t="s">
        <v>77</v>
      </c>
      <c r="E947" s="8" t="s">
        <v>30</v>
      </c>
      <c r="F947">
        <v>4</v>
      </c>
      <c r="G947">
        <v>1710</v>
      </c>
      <c r="H947">
        <v>0.2</v>
      </c>
      <c r="I947" s="8" t="s">
        <v>17</v>
      </c>
      <c r="J947" s="8" t="s">
        <v>31</v>
      </c>
      <c r="K947" s="8" t="s">
        <v>55</v>
      </c>
      <c r="L947">
        <v>5472</v>
      </c>
      <c r="M947" s="8" t="s">
        <v>52</v>
      </c>
      <c r="N947">
        <v>5472</v>
      </c>
      <c r="O947" s="8" t="s">
        <v>1701</v>
      </c>
      <c r="P947" s="8" t="s">
        <v>1564</v>
      </c>
      <c r="Q947" s="8" t="s">
        <v>1563</v>
      </c>
      <c r="R947" s="8" t="s">
        <v>1565</v>
      </c>
      <c r="S947" s="8" t="s">
        <v>1542</v>
      </c>
      <c r="T947" s="8" t="s">
        <v>1573</v>
      </c>
      <c r="U947" s="8" t="s">
        <v>1571</v>
      </c>
      <c r="V947">
        <v>1800</v>
      </c>
      <c r="W947">
        <v>1120</v>
      </c>
      <c r="X947">
        <v>5472</v>
      </c>
      <c r="Y947">
        <v>992</v>
      </c>
    </row>
    <row r="948" spans="1:25" x14ac:dyDescent="0.3">
      <c r="A948" s="8" t="s">
        <v>1286</v>
      </c>
      <c r="B948" s="14">
        <v>46139</v>
      </c>
      <c r="C948" s="8" t="s">
        <v>1177</v>
      </c>
      <c r="D948" s="8" t="s">
        <v>77</v>
      </c>
      <c r="E948" s="8" t="s">
        <v>74</v>
      </c>
      <c r="F948">
        <v>10</v>
      </c>
      <c r="G948">
        <v>2400</v>
      </c>
      <c r="H948">
        <v>0</v>
      </c>
      <c r="I948" s="8" t="s">
        <v>17</v>
      </c>
      <c r="J948" s="8" t="s">
        <v>31</v>
      </c>
      <c r="K948" s="8" t="s">
        <v>55</v>
      </c>
      <c r="L948">
        <v>24000</v>
      </c>
      <c r="M948" s="8" t="s">
        <v>32</v>
      </c>
      <c r="N948">
        <v>24000</v>
      </c>
      <c r="O948" s="8" t="s">
        <v>1701</v>
      </c>
      <c r="P948" s="8" t="s">
        <v>1564</v>
      </c>
      <c r="Q948" s="8" t="s">
        <v>1563</v>
      </c>
      <c r="R948" s="8" t="s">
        <v>1565</v>
      </c>
      <c r="S948" s="8" t="s">
        <v>1542</v>
      </c>
      <c r="T948" s="8" t="s">
        <v>1584</v>
      </c>
      <c r="U948" s="8" t="s">
        <v>1583</v>
      </c>
      <c r="V948">
        <v>2400</v>
      </c>
      <c r="W948">
        <v>1480</v>
      </c>
      <c r="X948">
        <v>24000</v>
      </c>
      <c r="Y948">
        <v>9200</v>
      </c>
    </row>
    <row r="949" spans="1:25" x14ac:dyDescent="0.3">
      <c r="A949" s="8" t="s">
        <v>1287</v>
      </c>
      <c r="B949" s="14">
        <v>46028</v>
      </c>
      <c r="C949" s="8" t="s">
        <v>747</v>
      </c>
      <c r="D949" s="8" t="s">
        <v>15</v>
      </c>
      <c r="E949" s="8" t="s">
        <v>16</v>
      </c>
      <c r="F949">
        <v>4</v>
      </c>
      <c r="G949">
        <v>650</v>
      </c>
      <c r="H949">
        <v>0.2</v>
      </c>
      <c r="I949" s="8" t="s">
        <v>80</v>
      </c>
      <c r="J949" s="8" t="s">
        <v>31</v>
      </c>
      <c r="K949" s="8" t="s">
        <v>67</v>
      </c>
      <c r="L949">
        <v>2080</v>
      </c>
      <c r="M949" s="8" t="s">
        <v>59</v>
      </c>
      <c r="N949">
        <v>2080</v>
      </c>
      <c r="O949" s="8" t="s">
        <v>1701</v>
      </c>
      <c r="P949" s="8" t="s">
        <v>1543</v>
      </c>
      <c r="Q949" s="8" t="s">
        <v>1541</v>
      </c>
      <c r="R949" s="8" t="s">
        <v>52</v>
      </c>
      <c r="S949" s="8" t="s">
        <v>1542</v>
      </c>
      <c r="T949" s="8" t="s">
        <v>1570</v>
      </c>
      <c r="U949" s="8" t="s">
        <v>1571</v>
      </c>
      <c r="V949">
        <v>650</v>
      </c>
      <c r="W949">
        <v>390</v>
      </c>
      <c r="X949">
        <v>0</v>
      </c>
      <c r="Y949">
        <v>-1560</v>
      </c>
    </row>
    <row r="950" spans="1:25" x14ac:dyDescent="0.3">
      <c r="A950" s="8" t="s">
        <v>1288</v>
      </c>
      <c r="B950" s="14">
        <v>46183</v>
      </c>
      <c r="C950" s="8" t="s">
        <v>659</v>
      </c>
      <c r="D950" s="8" t="s">
        <v>40</v>
      </c>
      <c r="E950" s="8" t="s">
        <v>16</v>
      </c>
      <c r="F950">
        <v>4</v>
      </c>
      <c r="G950">
        <v>617.5</v>
      </c>
      <c r="H950">
        <v>0</v>
      </c>
      <c r="I950" s="8" t="s">
        <v>80</v>
      </c>
      <c r="J950" s="8" t="s">
        <v>31</v>
      </c>
      <c r="K950" s="8" t="s">
        <v>41</v>
      </c>
      <c r="L950">
        <v>2470</v>
      </c>
      <c r="M950" s="8" t="s">
        <v>59</v>
      </c>
      <c r="N950">
        <v>2470</v>
      </c>
      <c r="O950" s="8" t="s">
        <v>1701</v>
      </c>
      <c r="P950" s="8" t="s">
        <v>1555</v>
      </c>
      <c r="Q950" s="8" t="s">
        <v>1554</v>
      </c>
      <c r="R950" s="8" t="s">
        <v>82</v>
      </c>
      <c r="S950" s="8" t="s">
        <v>1542</v>
      </c>
      <c r="T950" s="8" t="s">
        <v>1570</v>
      </c>
      <c r="U950" s="8" t="s">
        <v>1571</v>
      </c>
      <c r="V950">
        <v>650</v>
      </c>
      <c r="W950">
        <v>390</v>
      </c>
      <c r="X950">
        <v>0</v>
      </c>
      <c r="Y950">
        <v>-1560</v>
      </c>
    </row>
    <row r="951" spans="1:25" x14ac:dyDescent="0.3">
      <c r="A951" s="8" t="s">
        <v>1289</v>
      </c>
      <c r="B951" s="14">
        <v>46145</v>
      </c>
      <c r="C951" s="8" t="s">
        <v>101</v>
      </c>
      <c r="D951" s="8" t="s">
        <v>29</v>
      </c>
      <c r="E951" s="8" t="s">
        <v>183</v>
      </c>
      <c r="F951">
        <v>5</v>
      </c>
      <c r="G951">
        <v>3360</v>
      </c>
      <c r="H951">
        <v>0</v>
      </c>
      <c r="I951" s="8" t="s">
        <v>17</v>
      </c>
      <c r="J951" s="8" t="s">
        <v>71</v>
      </c>
      <c r="K951" s="8" t="s">
        <v>1698</v>
      </c>
      <c r="L951">
        <v>16800</v>
      </c>
      <c r="M951" s="8" t="s">
        <v>82</v>
      </c>
      <c r="N951">
        <v>16800</v>
      </c>
      <c r="O951" s="8" t="s">
        <v>1701</v>
      </c>
      <c r="P951" s="8" t="s">
        <v>1560</v>
      </c>
      <c r="Q951" s="8" t="s">
        <v>1559</v>
      </c>
      <c r="R951" s="8" t="s">
        <v>1561</v>
      </c>
      <c r="S951" s="8" t="s">
        <v>1542</v>
      </c>
      <c r="T951" s="8" t="s">
        <v>1582</v>
      </c>
      <c r="U951" s="8" t="s">
        <v>1583</v>
      </c>
      <c r="V951">
        <v>3200</v>
      </c>
      <c r="W951">
        <v>2050</v>
      </c>
      <c r="X951">
        <v>16800</v>
      </c>
      <c r="Y951">
        <v>6550</v>
      </c>
    </row>
    <row r="952" spans="1:25" x14ac:dyDescent="0.3">
      <c r="A952" s="8" t="s">
        <v>1290</v>
      </c>
      <c r="B952" s="14">
        <v>46200</v>
      </c>
      <c r="C952" s="8" t="s">
        <v>246</v>
      </c>
      <c r="D952" s="8" t="s">
        <v>45</v>
      </c>
      <c r="E952" s="8" t="s">
        <v>74</v>
      </c>
      <c r="F952">
        <v>2</v>
      </c>
      <c r="G952">
        <v>2280</v>
      </c>
      <c r="H952">
        <v>0</v>
      </c>
      <c r="I952" s="8" t="s">
        <v>17</v>
      </c>
      <c r="J952" s="8" t="s">
        <v>31</v>
      </c>
      <c r="K952" s="8" t="s">
        <v>25</v>
      </c>
      <c r="L952">
        <v>4560</v>
      </c>
      <c r="M952" s="8" t="s">
        <v>32</v>
      </c>
      <c r="N952">
        <v>4560</v>
      </c>
      <c r="O952" s="8" t="s">
        <v>1701</v>
      </c>
      <c r="P952" s="8" t="s">
        <v>1547</v>
      </c>
      <c r="Q952" s="8" t="s">
        <v>1541</v>
      </c>
      <c r="R952" s="8" t="s">
        <v>56</v>
      </c>
      <c r="S952" s="8" t="s">
        <v>1542</v>
      </c>
      <c r="T952" s="8" t="s">
        <v>1584</v>
      </c>
      <c r="U952" s="8" t="s">
        <v>1583</v>
      </c>
      <c r="V952">
        <v>2400</v>
      </c>
      <c r="W952">
        <v>1480</v>
      </c>
      <c r="X952">
        <v>4560</v>
      </c>
      <c r="Y952">
        <v>1600</v>
      </c>
    </row>
    <row r="953" spans="1:25" x14ac:dyDescent="0.3">
      <c r="A953" s="8" t="s">
        <v>1291</v>
      </c>
      <c r="B953" s="14">
        <v>46059</v>
      </c>
      <c r="C953" s="8" t="s">
        <v>248</v>
      </c>
      <c r="D953" s="8" t="s">
        <v>168</v>
      </c>
      <c r="E953" s="8" t="s">
        <v>24</v>
      </c>
      <c r="F953">
        <v>1</v>
      </c>
      <c r="G953">
        <v>11200</v>
      </c>
      <c r="H953">
        <v>0.1</v>
      </c>
      <c r="I953" s="8" t="s">
        <v>17</v>
      </c>
      <c r="J953" s="8" t="s">
        <v>71</v>
      </c>
      <c r="K953" s="8" t="s">
        <v>55</v>
      </c>
      <c r="L953">
        <v>10080</v>
      </c>
      <c r="M953" s="8" t="s">
        <v>42</v>
      </c>
      <c r="N953">
        <v>10080</v>
      </c>
      <c r="O953" s="8" t="s">
        <v>1701</v>
      </c>
      <c r="P953" s="8" t="s">
        <v>1540</v>
      </c>
      <c r="Q953" s="8" t="s">
        <v>1541</v>
      </c>
      <c r="R953" s="8" t="s">
        <v>20</v>
      </c>
      <c r="S953" s="8" t="s">
        <v>1542</v>
      </c>
      <c r="T953" s="8" t="s">
        <v>1574</v>
      </c>
      <c r="U953" s="8" t="s">
        <v>1575</v>
      </c>
      <c r="V953">
        <v>11200</v>
      </c>
      <c r="W953">
        <v>8300</v>
      </c>
      <c r="X953">
        <v>10080</v>
      </c>
      <c r="Y953">
        <v>1780</v>
      </c>
    </row>
    <row r="954" spans="1:25" x14ac:dyDescent="0.3">
      <c r="A954" s="8" t="s">
        <v>1292</v>
      </c>
      <c r="B954" s="14">
        <v>46148</v>
      </c>
      <c r="C954" s="8" t="s">
        <v>440</v>
      </c>
      <c r="D954" s="8" t="s">
        <v>50</v>
      </c>
      <c r="E954" s="8" t="s">
        <v>63</v>
      </c>
      <c r="F954">
        <v>1</v>
      </c>
      <c r="G954">
        <v>2200</v>
      </c>
      <c r="H954">
        <v>0.05</v>
      </c>
      <c r="I954" s="8" t="s">
        <v>17</v>
      </c>
      <c r="J954" s="8" t="s">
        <v>47</v>
      </c>
      <c r="K954" s="8" t="s">
        <v>1698</v>
      </c>
      <c r="L954">
        <v>2090</v>
      </c>
      <c r="M954" s="8" t="s">
        <v>20</v>
      </c>
      <c r="N954">
        <v>2090</v>
      </c>
      <c r="O954" s="8" t="s">
        <v>1701</v>
      </c>
      <c r="P954" s="8" t="s">
        <v>1544</v>
      </c>
      <c r="Q954" s="8" t="s">
        <v>1541</v>
      </c>
      <c r="R954" s="8" t="s">
        <v>26</v>
      </c>
      <c r="S954" s="8" t="s">
        <v>1542</v>
      </c>
      <c r="T954" s="8" t="s">
        <v>1572</v>
      </c>
      <c r="U954" s="8" t="s">
        <v>1571</v>
      </c>
      <c r="V954">
        <v>2200</v>
      </c>
      <c r="W954">
        <v>1450</v>
      </c>
      <c r="X954">
        <v>2090</v>
      </c>
      <c r="Y954">
        <v>640</v>
      </c>
    </row>
    <row r="955" spans="1:25" x14ac:dyDescent="0.3">
      <c r="A955" s="8" t="s">
        <v>1293</v>
      </c>
      <c r="B955" s="14">
        <v>46177</v>
      </c>
      <c r="C955" s="8" t="s">
        <v>709</v>
      </c>
      <c r="D955" s="8" t="s">
        <v>50</v>
      </c>
      <c r="E955" s="8" t="s">
        <v>30</v>
      </c>
      <c r="F955">
        <v>2</v>
      </c>
      <c r="G955">
        <v>1890</v>
      </c>
      <c r="H955">
        <v>0.05</v>
      </c>
      <c r="I955" s="8" t="s">
        <v>17</v>
      </c>
      <c r="J955" s="8" t="s">
        <v>47</v>
      </c>
      <c r="K955" s="8" t="s">
        <v>25</v>
      </c>
      <c r="L955">
        <v>3591</v>
      </c>
      <c r="M955" s="8" t="s">
        <v>26</v>
      </c>
      <c r="N955">
        <v>3591</v>
      </c>
      <c r="O955" s="8" t="s">
        <v>1701</v>
      </c>
      <c r="P955" s="8" t="s">
        <v>1544</v>
      </c>
      <c r="Q955" s="8" t="s">
        <v>1541</v>
      </c>
      <c r="R955" s="8" t="s">
        <v>26</v>
      </c>
      <c r="S955" s="8" t="s">
        <v>1542</v>
      </c>
      <c r="T955" s="8" t="s">
        <v>1573</v>
      </c>
      <c r="U955" s="8" t="s">
        <v>1571</v>
      </c>
      <c r="V955">
        <v>1800</v>
      </c>
      <c r="W955">
        <v>1120</v>
      </c>
      <c r="X955">
        <v>3591</v>
      </c>
      <c r="Y955">
        <v>1351</v>
      </c>
    </row>
    <row r="956" spans="1:25" x14ac:dyDescent="0.3">
      <c r="A956" s="8" t="s">
        <v>1294</v>
      </c>
      <c r="B956" s="14">
        <v>46112</v>
      </c>
      <c r="C956" s="8" t="s">
        <v>430</v>
      </c>
      <c r="D956" s="8" t="s">
        <v>77</v>
      </c>
      <c r="E956" s="8" t="s">
        <v>63</v>
      </c>
      <c r="F956">
        <v>1</v>
      </c>
      <c r="G956">
        <v>2200</v>
      </c>
      <c r="H956">
        <v>0.1</v>
      </c>
      <c r="I956" s="8" t="s">
        <v>17</v>
      </c>
      <c r="J956" s="8" t="s">
        <v>31</v>
      </c>
      <c r="K956" s="8" t="s">
        <v>41</v>
      </c>
      <c r="L956">
        <v>1980</v>
      </c>
      <c r="M956" s="8" t="s">
        <v>59</v>
      </c>
      <c r="N956">
        <v>1980</v>
      </c>
      <c r="O956" s="8" t="s">
        <v>1701</v>
      </c>
      <c r="P956" s="8" t="s">
        <v>1564</v>
      </c>
      <c r="Q956" s="8" t="s">
        <v>1563</v>
      </c>
      <c r="R956" s="8" t="s">
        <v>1565</v>
      </c>
      <c r="S956" s="8" t="s">
        <v>1542</v>
      </c>
      <c r="T956" s="8" t="s">
        <v>1572</v>
      </c>
      <c r="U956" s="8" t="s">
        <v>1571</v>
      </c>
      <c r="V956">
        <v>2200</v>
      </c>
      <c r="W956">
        <v>1450</v>
      </c>
      <c r="X956">
        <v>1980</v>
      </c>
      <c r="Y956">
        <v>530</v>
      </c>
    </row>
    <row r="957" spans="1:25" x14ac:dyDescent="0.3">
      <c r="A957" s="8" t="s">
        <v>1295</v>
      </c>
      <c r="B957" s="14">
        <v>46104</v>
      </c>
      <c r="C957" s="8" t="s">
        <v>1147</v>
      </c>
      <c r="D957" s="8" t="s">
        <v>50</v>
      </c>
      <c r="E957" s="8" t="s">
        <v>161</v>
      </c>
      <c r="F957">
        <v>2</v>
      </c>
      <c r="G957">
        <v>2470</v>
      </c>
      <c r="H957">
        <v>0.1</v>
      </c>
      <c r="I957" s="8" t="s">
        <v>17</v>
      </c>
      <c r="J957" s="8" t="s">
        <v>47</v>
      </c>
      <c r="K957" s="8" t="s">
        <v>41</v>
      </c>
      <c r="L957">
        <v>4446</v>
      </c>
      <c r="M957" s="8" t="s">
        <v>42</v>
      </c>
      <c r="N957">
        <v>4446</v>
      </c>
      <c r="O957" s="8" t="s">
        <v>1701</v>
      </c>
      <c r="P957" s="8" t="s">
        <v>1544</v>
      </c>
      <c r="Q957" s="8" t="s">
        <v>1541</v>
      </c>
      <c r="R957" s="8" t="s">
        <v>26</v>
      </c>
      <c r="S957" s="8" t="s">
        <v>1542</v>
      </c>
      <c r="T957" s="8" t="s">
        <v>1578</v>
      </c>
      <c r="U957" s="8" t="s">
        <v>1571</v>
      </c>
      <c r="V957">
        <v>2600</v>
      </c>
      <c r="W957">
        <v>1750</v>
      </c>
      <c r="X957">
        <v>4446</v>
      </c>
      <c r="Y957">
        <v>946</v>
      </c>
    </row>
    <row r="958" spans="1:25" x14ac:dyDescent="0.3">
      <c r="A958" s="8" t="s">
        <v>1296</v>
      </c>
      <c r="B958" s="14">
        <v>46105</v>
      </c>
      <c r="C958" s="8" t="s">
        <v>254</v>
      </c>
      <c r="D958" s="8" t="s">
        <v>50</v>
      </c>
      <c r="E958" s="8" t="s">
        <v>30</v>
      </c>
      <c r="F958">
        <v>4</v>
      </c>
      <c r="G958">
        <v>1890</v>
      </c>
      <c r="H958">
        <v>0.05</v>
      </c>
      <c r="I958" s="8" t="s">
        <v>17</v>
      </c>
      <c r="J958" s="8" t="s">
        <v>18</v>
      </c>
      <c r="K958" s="8" t="s">
        <v>25</v>
      </c>
      <c r="L958">
        <v>7182</v>
      </c>
      <c r="M958" s="8" t="s">
        <v>138</v>
      </c>
      <c r="N958">
        <v>7182</v>
      </c>
      <c r="O958" s="8" t="s">
        <v>1701</v>
      </c>
      <c r="P958" s="8" t="s">
        <v>1544</v>
      </c>
      <c r="Q958" s="8" t="s">
        <v>1541</v>
      </c>
      <c r="R958" s="8" t="s">
        <v>26</v>
      </c>
      <c r="S958" s="8" t="s">
        <v>1542</v>
      </c>
      <c r="T958" s="8" t="s">
        <v>1573</v>
      </c>
      <c r="U958" s="8" t="s">
        <v>1571</v>
      </c>
      <c r="V958">
        <v>1800</v>
      </c>
      <c r="W958">
        <v>1120</v>
      </c>
      <c r="X958">
        <v>7182</v>
      </c>
      <c r="Y958">
        <v>2702</v>
      </c>
    </row>
    <row r="959" spans="1:25" x14ac:dyDescent="0.3">
      <c r="A959" s="8" t="s">
        <v>1297</v>
      </c>
      <c r="B959" s="14">
        <v>46058</v>
      </c>
      <c r="C959" s="8" t="s">
        <v>851</v>
      </c>
      <c r="D959" s="8" t="s">
        <v>29</v>
      </c>
      <c r="E959" s="8" t="s">
        <v>74</v>
      </c>
      <c r="F959">
        <v>8</v>
      </c>
      <c r="G959">
        <v>2520</v>
      </c>
      <c r="H959">
        <v>0.1</v>
      </c>
      <c r="I959" s="8" t="s">
        <v>17</v>
      </c>
      <c r="J959" s="8" t="s">
        <v>71</v>
      </c>
      <c r="K959" s="8" t="s">
        <v>55</v>
      </c>
      <c r="L959">
        <v>18144</v>
      </c>
      <c r="M959" s="8" t="s">
        <v>42</v>
      </c>
      <c r="N959">
        <v>18144</v>
      </c>
      <c r="O959" s="8" t="s">
        <v>1701</v>
      </c>
      <c r="P959" s="8" t="s">
        <v>1560</v>
      </c>
      <c r="Q959" s="8" t="s">
        <v>1559</v>
      </c>
      <c r="R959" s="8" t="s">
        <v>1561</v>
      </c>
      <c r="S959" s="8" t="s">
        <v>1542</v>
      </c>
      <c r="T959" s="8" t="s">
        <v>1584</v>
      </c>
      <c r="U959" s="8" t="s">
        <v>1583</v>
      </c>
      <c r="V959">
        <v>2400</v>
      </c>
      <c r="W959">
        <v>1480</v>
      </c>
      <c r="X959">
        <v>18144</v>
      </c>
      <c r="Y959">
        <v>6304</v>
      </c>
    </row>
    <row r="960" spans="1:25" x14ac:dyDescent="0.3">
      <c r="A960" s="8" t="s">
        <v>1298</v>
      </c>
      <c r="B960" s="14">
        <v>46171</v>
      </c>
      <c r="C960" s="8" t="s">
        <v>14</v>
      </c>
      <c r="D960" s="8" t="s">
        <v>123</v>
      </c>
      <c r="E960" s="8" t="s">
        <v>161</v>
      </c>
      <c r="F960">
        <v>2</v>
      </c>
      <c r="G960">
        <v>2600</v>
      </c>
      <c r="H960">
        <v>0.2</v>
      </c>
      <c r="I960" s="8" t="s">
        <v>17</v>
      </c>
      <c r="J960" s="8" t="s">
        <v>71</v>
      </c>
      <c r="K960" s="8" t="s">
        <v>67</v>
      </c>
      <c r="L960">
        <v>4160</v>
      </c>
      <c r="M960" s="8" t="s">
        <v>20</v>
      </c>
      <c r="N960">
        <v>4160</v>
      </c>
      <c r="O960" s="8" t="s">
        <v>1701</v>
      </c>
      <c r="P960" s="8" t="s">
        <v>1558</v>
      </c>
      <c r="Q960" s="8" t="s">
        <v>1559</v>
      </c>
      <c r="R960" s="8" t="s">
        <v>138</v>
      </c>
      <c r="S960" s="8" t="s">
        <v>1542</v>
      </c>
      <c r="T960" s="8" t="s">
        <v>1578</v>
      </c>
      <c r="U960" s="8" t="s">
        <v>1571</v>
      </c>
      <c r="V960">
        <v>2600</v>
      </c>
      <c r="W960">
        <v>1750</v>
      </c>
      <c r="X960">
        <v>4160</v>
      </c>
      <c r="Y960">
        <v>660</v>
      </c>
    </row>
    <row r="961" spans="1:25" x14ac:dyDescent="0.3">
      <c r="A961" s="8" t="s">
        <v>1299</v>
      </c>
      <c r="B961" s="14">
        <v>46075</v>
      </c>
      <c r="C961" s="8" t="s">
        <v>99</v>
      </c>
      <c r="D961" s="8" t="s">
        <v>90</v>
      </c>
      <c r="E961" s="8" t="s">
        <v>16</v>
      </c>
      <c r="F961">
        <v>2</v>
      </c>
      <c r="G961">
        <v>617.5</v>
      </c>
      <c r="H961">
        <v>0.1</v>
      </c>
      <c r="I961" s="8" t="s">
        <v>80</v>
      </c>
      <c r="J961" s="8" t="s">
        <v>47</v>
      </c>
      <c r="K961" s="8" t="s">
        <v>67</v>
      </c>
      <c r="L961">
        <v>1111.5</v>
      </c>
      <c r="M961" s="8" t="s">
        <v>59</v>
      </c>
      <c r="N961">
        <v>1111.5</v>
      </c>
      <c r="O961" s="8" t="s">
        <v>1701</v>
      </c>
      <c r="P961" s="8" t="s">
        <v>1562</v>
      </c>
      <c r="Q961" s="8" t="s">
        <v>1563</v>
      </c>
      <c r="R961" s="8" t="s">
        <v>48</v>
      </c>
      <c r="S961" s="8" t="s">
        <v>1542</v>
      </c>
      <c r="T961" s="8" t="s">
        <v>1570</v>
      </c>
      <c r="U961" s="8" t="s">
        <v>1571</v>
      </c>
      <c r="V961">
        <v>650</v>
      </c>
      <c r="W961">
        <v>390</v>
      </c>
      <c r="X961">
        <v>0</v>
      </c>
      <c r="Y961">
        <v>-780</v>
      </c>
    </row>
    <row r="962" spans="1:25" x14ac:dyDescent="0.3">
      <c r="A962" s="8" t="s">
        <v>1300</v>
      </c>
      <c r="B962" s="14">
        <v>46098</v>
      </c>
      <c r="C962" s="8" t="s">
        <v>414</v>
      </c>
      <c r="D962" s="8" t="s">
        <v>62</v>
      </c>
      <c r="E962" s="8" t="s">
        <v>30</v>
      </c>
      <c r="F962">
        <v>4</v>
      </c>
      <c r="G962">
        <v>1890</v>
      </c>
      <c r="H962">
        <v>0.15</v>
      </c>
      <c r="I962" s="8" t="s">
        <v>116</v>
      </c>
      <c r="J962" s="8" t="s">
        <v>71</v>
      </c>
      <c r="K962" s="8" t="s">
        <v>41</v>
      </c>
      <c r="L962">
        <v>6426</v>
      </c>
      <c r="M962" s="8" t="s">
        <v>20</v>
      </c>
      <c r="N962">
        <v>6426</v>
      </c>
      <c r="O962" s="8" t="s">
        <v>1701</v>
      </c>
      <c r="P962" s="8" t="s">
        <v>1551</v>
      </c>
      <c r="Q962" s="8" t="s">
        <v>1549</v>
      </c>
      <c r="R962" s="8" t="s">
        <v>1552</v>
      </c>
      <c r="S962" s="8" t="s">
        <v>1542</v>
      </c>
      <c r="T962" s="8" t="s">
        <v>1573</v>
      </c>
      <c r="U962" s="8" t="s">
        <v>1571</v>
      </c>
      <c r="V962">
        <v>1800</v>
      </c>
      <c r="W962">
        <v>1120</v>
      </c>
      <c r="X962">
        <v>0</v>
      </c>
      <c r="Y962">
        <v>-4480</v>
      </c>
    </row>
    <row r="963" spans="1:25" x14ac:dyDescent="0.3">
      <c r="A963" s="8" t="s">
        <v>1301</v>
      </c>
      <c r="B963" s="14">
        <v>46058</v>
      </c>
      <c r="C963" s="8" t="s">
        <v>283</v>
      </c>
      <c r="D963" s="8" t="s">
        <v>15</v>
      </c>
      <c r="E963" s="8" t="s">
        <v>85</v>
      </c>
      <c r="F963">
        <v>3</v>
      </c>
      <c r="G963">
        <v>50925</v>
      </c>
      <c r="H963">
        <v>0.1</v>
      </c>
      <c r="I963" s="8" t="s">
        <v>17</v>
      </c>
      <c r="J963" s="8" t="s">
        <v>31</v>
      </c>
      <c r="K963" s="8" t="s">
        <v>1698</v>
      </c>
      <c r="L963">
        <v>137497.5</v>
      </c>
      <c r="M963" s="8" t="s">
        <v>48</v>
      </c>
      <c r="N963">
        <v>137497.5</v>
      </c>
      <c r="O963" s="8" t="s">
        <v>1701</v>
      </c>
      <c r="P963" s="8" t="s">
        <v>1543</v>
      </c>
      <c r="Q963" s="8" t="s">
        <v>1541</v>
      </c>
      <c r="R963" s="8" t="s">
        <v>52</v>
      </c>
      <c r="S963" s="8" t="s">
        <v>1542</v>
      </c>
      <c r="T963" s="8" t="s">
        <v>1585</v>
      </c>
      <c r="U963" s="8" t="s">
        <v>1586</v>
      </c>
      <c r="V963">
        <v>48500</v>
      </c>
      <c r="W963">
        <v>41200</v>
      </c>
      <c r="X963">
        <v>137497.5</v>
      </c>
      <c r="Y963">
        <v>13897.5</v>
      </c>
    </row>
    <row r="964" spans="1:25" x14ac:dyDescent="0.3">
      <c r="A964" s="8" t="s">
        <v>1302</v>
      </c>
      <c r="B964" s="14">
        <v>46041</v>
      </c>
      <c r="C964" s="8" t="s">
        <v>76</v>
      </c>
      <c r="D964" s="8" t="s">
        <v>62</v>
      </c>
      <c r="E964" s="8" t="s">
        <v>183</v>
      </c>
      <c r="F964">
        <v>5</v>
      </c>
      <c r="G964">
        <v>3200</v>
      </c>
      <c r="H964">
        <v>0</v>
      </c>
      <c r="I964" s="8" t="s">
        <v>17</v>
      </c>
      <c r="J964" s="8" t="s">
        <v>71</v>
      </c>
      <c r="K964" s="8" t="s">
        <v>1698</v>
      </c>
      <c r="L964">
        <v>16000</v>
      </c>
      <c r="M964" s="8" t="s">
        <v>20</v>
      </c>
      <c r="N964">
        <v>16000</v>
      </c>
      <c r="O964" s="8" t="s">
        <v>1701</v>
      </c>
      <c r="P964" s="8" t="s">
        <v>1551</v>
      </c>
      <c r="Q964" s="8" t="s">
        <v>1549</v>
      </c>
      <c r="R964" s="8" t="s">
        <v>1552</v>
      </c>
      <c r="S964" s="8" t="s">
        <v>1542</v>
      </c>
      <c r="T964" s="8" t="s">
        <v>1582</v>
      </c>
      <c r="U964" s="8" t="s">
        <v>1583</v>
      </c>
      <c r="V964">
        <v>3200</v>
      </c>
      <c r="W964">
        <v>2050</v>
      </c>
      <c r="X964">
        <v>16000</v>
      </c>
      <c r="Y964">
        <v>5750</v>
      </c>
    </row>
    <row r="965" spans="1:25" x14ac:dyDescent="0.3">
      <c r="A965" s="8" t="s">
        <v>1303</v>
      </c>
      <c r="B965" s="14">
        <v>46168</v>
      </c>
      <c r="C965" s="8" t="s">
        <v>115</v>
      </c>
      <c r="D965" s="8" t="s">
        <v>90</v>
      </c>
      <c r="E965" s="8" t="s">
        <v>161</v>
      </c>
      <c r="F965">
        <v>1</v>
      </c>
      <c r="G965">
        <v>2600</v>
      </c>
      <c r="H965">
        <v>0</v>
      </c>
      <c r="I965" s="8" t="s">
        <v>17</v>
      </c>
      <c r="J965" s="8" t="s">
        <v>18</v>
      </c>
      <c r="K965" s="8" t="s">
        <v>55</v>
      </c>
      <c r="L965">
        <v>2600</v>
      </c>
      <c r="M965" s="8" t="s">
        <v>138</v>
      </c>
      <c r="N965">
        <v>2600</v>
      </c>
      <c r="O965" s="8" t="s">
        <v>1701</v>
      </c>
      <c r="P965" s="8" t="s">
        <v>1562</v>
      </c>
      <c r="Q965" s="8" t="s">
        <v>1563</v>
      </c>
      <c r="R965" s="8" t="s">
        <v>48</v>
      </c>
      <c r="S965" s="8" t="s">
        <v>1542</v>
      </c>
      <c r="T965" s="8" t="s">
        <v>1578</v>
      </c>
      <c r="U965" s="8" t="s">
        <v>1571</v>
      </c>
      <c r="V965">
        <v>2600</v>
      </c>
      <c r="W965">
        <v>1750</v>
      </c>
      <c r="X965">
        <v>2600</v>
      </c>
      <c r="Y965">
        <v>850</v>
      </c>
    </row>
    <row r="966" spans="1:25" x14ac:dyDescent="0.3">
      <c r="A966" s="8" t="s">
        <v>1304</v>
      </c>
      <c r="B966" s="14">
        <v>46136</v>
      </c>
      <c r="C966" s="8" t="s">
        <v>444</v>
      </c>
      <c r="D966" s="8" t="s">
        <v>29</v>
      </c>
      <c r="E966" s="8" t="s">
        <v>74</v>
      </c>
      <c r="F966">
        <v>3</v>
      </c>
      <c r="G966">
        <v>2280</v>
      </c>
      <c r="H966">
        <v>0.05</v>
      </c>
      <c r="I966" s="8" t="s">
        <v>17</v>
      </c>
      <c r="J966" s="8" t="s">
        <v>71</v>
      </c>
      <c r="K966" s="8" t="s">
        <v>25</v>
      </c>
      <c r="L966">
        <v>6498</v>
      </c>
      <c r="M966" s="8" t="s">
        <v>59</v>
      </c>
      <c r="N966">
        <v>6498</v>
      </c>
      <c r="O966" s="8" t="s">
        <v>1701</v>
      </c>
      <c r="P966" s="8" t="s">
        <v>1560</v>
      </c>
      <c r="Q966" s="8" t="s">
        <v>1559</v>
      </c>
      <c r="R966" s="8" t="s">
        <v>1561</v>
      </c>
      <c r="S966" s="8" t="s">
        <v>1542</v>
      </c>
      <c r="T966" s="8" t="s">
        <v>1584</v>
      </c>
      <c r="U966" s="8" t="s">
        <v>1583</v>
      </c>
      <c r="V966">
        <v>2400</v>
      </c>
      <c r="W966">
        <v>1480</v>
      </c>
      <c r="X966">
        <v>6498</v>
      </c>
      <c r="Y966">
        <v>2058</v>
      </c>
    </row>
    <row r="967" spans="1:25" x14ac:dyDescent="0.3">
      <c r="A967" s="8" t="s">
        <v>1305</v>
      </c>
      <c r="B967" s="14">
        <v>46025</v>
      </c>
      <c r="C967" s="8" t="s">
        <v>69</v>
      </c>
      <c r="D967" s="8" t="s">
        <v>70</v>
      </c>
      <c r="E967" s="8" t="s">
        <v>161</v>
      </c>
      <c r="F967">
        <v>3</v>
      </c>
      <c r="G967">
        <v>2600</v>
      </c>
      <c r="H967">
        <v>0.1</v>
      </c>
      <c r="I967" s="8" t="s">
        <v>17</v>
      </c>
      <c r="J967" s="8" t="s">
        <v>47</v>
      </c>
      <c r="K967" s="8" t="s">
        <v>41</v>
      </c>
      <c r="L967">
        <v>7020</v>
      </c>
      <c r="M967" s="8" t="s">
        <v>32</v>
      </c>
      <c r="N967">
        <v>7020</v>
      </c>
      <c r="O967" s="8" t="s">
        <v>1701</v>
      </c>
      <c r="P967" s="8" t="s">
        <v>1550</v>
      </c>
      <c r="Q967" s="8" t="s">
        <v>1549</v>
      </c>
      <c r="R967" s="8" t="s">
        <v>32</v>
      </c>
      <c r="S967" s="8" t="s">
        <v>1542</v>
      </c>
      <c r="T967" s="8" t="s">
        <v>1578</v>
      </c>
      <c r="U967" s="8" t="s">
        <v>1571</v>
      </c>
      <c r="V967">
        <v>2600</v>
      </c>
      <c r="W967">
        <v>1750</v>
      </c>
      <c r="X967">
        <v>7020</v>
      </c>
      <c r="Y967">
        <v>1770</v>
      </c>
    </row>
    <row r="968" spans="1:25" x14ac:dyDescent="0.3">
      <c r="A968" s="8" t="s">
        <v>1306</v>
      </c>
      <c r="B968" s="14">
        <v>46063</v>
      </c>
      <c r="C968" s="8" t="s">
        <v>720</v>
      </c>
      <c r="D968" s="8" t="s">
        <v>45</v>
      </c>
      <c r="E968" s="8" t="s">
        <v>63</v>
      </c>
      <c r="F968">
        <v>2</v>
      </c>
      <c r="G968">
        <v>2310</v>
      </c>
      <c r="H968">
        <v>0</v>
      </c>
      <c r="I968" s="8" t="s">
        <v>17</v>
      </c>
      <c r="J968" s="8" t="s">
        <v>71</v>
      </c>
      <c r="K968" s="8" t="s">
        <v>55</v>
      </c>
      <c r="L968">
        <v>4620</v>
      </c>
      <c r="M968" s="8" t="s">
        <v>59</v>
      </c>
      <c r="N968">
        <v>4620</v>
      </c>
      <c r="O968" s="8" t="s">
        <v>1701</v>
      </c>
      <c r="P968" s="8" t="s">
        <v>1547</v>
      </c>
      <c r="Q968" s="8" t="s">
        <v>1541</v>
      </c>
      <c r="R968" s="8" t="s">
        <v>56</v>
      </c>
      <c r="S968" s="8" t="s">
        <v>1542</v>
      </c>
      <c r="T968" s="8" t="s">
        <v>1572</v>
      </c>
      <c r="U968" s="8" t="s">
        <v>1571</v>
      </c>
      <c r="V968">
        <v>2200</v>
      </c>
      <c r="W968">
        <v>1450</v>
      </c>
      <c r="X968">
        <v>4620</v>
      </c>
      <c r="Y968">
        <v>1720</v>
      </c>
    </row>
    <row r="969" spans="1:25" x14ac:dyDescent="0.3">
      <c r="A969" s="8" t="s">
        <v>1307</v>
      </c>
      <c r="B969" s="14">
        <v>46166</v>
      </c>
      <c r="C969" s="8" t="s">
        <v>202</v>
      </c>
      <c r="D969" s="8" t="s">
        <v>40</v>
      </c>
      <c r="E969" s="8" t="s">
        <v>63</v>
      </c>
      <c r="F969">
        <v>4</v>
      </c>
      <c r="G969">
        <v>2310</v>
      </c>
      <c r="H969">
        <v>0.1</v>
      </c>
      <c r="I969" s="8" t="s">
        <v>17</v>
      </c>
      <c r="J969" s="8" t="s">
        <v>71</v>
      </c>
      <c r="K969" s="8" t="s">
        <v>1698</v>
      </c>
      <c r="L969">
        <v>8316</v>
      </c>
      <c r="M969" s="8" t="s">
        <v>138</v>
      </c>
      <c r="N969">
        <v>8316</v>
      </c>
      <c r="O969" s="8" t="s">
        <v>1701</v>
      </c>
      <c r="P969" s="8" t="s">
        <v>1555</v>
      </c>
      <c r="Q969" s="8" t="s">
        <v>1554</v>
      </c>
      <c r="R969" s="8" t="s">
        <v>82</v>
      </c>
      <c r="S969" s="8" t="s">
        <v>1542</v>
      </c>
      <c r="T969" s="8" t="s">
        <v>1572</v>
      </c>
      <c r="U969" s="8" t="s">
        <v>1571</v>
      </c>
      <c r="V969">
        <v>2200</v>
      </c>
      <c r="W969">
        <v>1450</v>
      </c>
      <c r="X969">
        <v>8316</v>
      </c>
      <c r="Y969">
        <v>2516</v>
      </c>
    </row>
    <row r="970" spans="1:25" x14ac:dyDescent="0.3">
      <c r="A970" s="8" t="s">
        <v>1308</v>
      </c>
      <c r="B970" s="14">
        <v>46188</v>
      </c>
      <c r="C970" s="8" t="s">
        <v>378</v>
      </c>
      <c r="D970" s="8" t="s">
        <v>70</v>
      </c>
      <c r="E970" s="8" t="s">
        <v>24</v>
      </c>
      <c r="F970">
        <v>1</v>
      </c>
      <c r="G970">
        <v>11200</v>
      </c>
      <c r="H970">
        <v>0</v>
      </c>
      <c r="I970" s="8" t="s">
        <v>17</v>
      </c>
      <c r="J970" s="8" t="s">
        <v>71</v>
      </c>
      <c r="K970" s="8" t="s">
        <v>67</v>
      </c>
      <c r="L970">
        <v>11200</v>
      </c>
      <c r="M970" s="8" t="s">
        <v>59</v>
      </c>
      <c r="N970">
        <v>11200</v>
      </c>
      <c r="O970" s="8" t="s">
        <v>1701</v>
      </c>
      <c r="P970" s="8" t="s">
        <v>1550</v>
      </c>
      <c r="Q970" s="8" t="s">
        <v>1549</v>
      </c>
      <c r="R970" s="8" t="s">
        <v>32</v>
      </c>
      <c r="S970" s="8" t="s">
        <v>1542</v>
      </c>
      <c r="T970" s="8" t="s">
        <v>1574</v>
      </c>
      <c r="U970" s="8" t="s">
        <v>1575</v>
      </c>
      <c r="V970">
        <v>11200</v>
      </c>
      <c r="W970">
        <v>8300</v>
      </c>
      <c r="X970">
        <v>11200</v>
      </c>
      <c r="Y970">
        <v>2900</v>
      </c>
    </row>
    <row r="971" spans="1:25" x14ac:dyDescent="0.3">
      <c r="A971" s="8" t="s">
        <v>1309</v>
      </c>
      <c r="B971" s="14">
        <v>46161</v>
      </c>
      <c r="C971" s="8" t="s">
        <v>628</v>
      </c>
      <c r="D971" s="8" t="s">
        <v>15</v>
      </c>
      <c r="E971" s="8" t="s">
        <v>63</v>
      </c>
      <c r="F971">
        <v>1</v>
      </c>
      <c r="G971">
        <v>2200</v>
      </c>
      <c r="H971">
        <v>0</v>
      </c>
      <c r="I971" s="8" t="s">
        <v>17</v>
      </c>
      <c r="J971" s="8" t="s">
        <v>71</v>
      </c>
      <c r="K971" s="8" t="s">
        <v>1698</v>
      </c>
      <c r="L971">
        <v>2200</v>
      </c>
      <c r="M971" s="8" t="s">
        <v>52</v>
      </c>
      <c r="N971">
        <v>2200</v>
      </c>
      <c r="O971" s="8" t="s">
        <v>1701</v>
      </c>
      <c r="P971" s="8" t="s">
        <v>1543</v>
      </c>
      <c r="Q971" s="8" t="s">
        <v>1541</v>
      </c>
      <c r="R971" s="8" t="s">
        <v>52</v>
      </c>
      <c r="S971" s="8" t="s">
        <v>1542</v>
      </c>
      <c r="T971" s="8" t="s">
        <v>1572</v>
      </c>
      <c r="U971" s="8" t="s">
        <v>1571</v>
      </c>
      <c r="V971">
        <v>2200</v>
      </c>
      <c r="W971">
        <v>1450</v>
      </c>
      <c r="X971">
        <v>2200</v>
      </c>
      <c r="Y971">
        <v>750</v>
      </c>
    </row>
    <row r="972" spans="1:25" x14ac:dyDescent="0.3">
      <c r="A972" s="8" t="s">
        <v>1310</v>
      </c>
      <c r="B972" s="14">
        <v>46091</v>
      </c>
      <c r="C972" s="8" t="s">
        <v>239</v>
      </c>
      <c r="D972" s="8" t="s">
        <v>15</v>
      </c>
      <c r="E972" s="8" t="s">
        <v>183</v>
      </c>
      <c r="F972">
        <v>3</v>
      </c>
      <c r="G972">
        <v>3360</v>
      </c>
      <c r="H972">
        <v>0.15</v>
      </c>
      <c r="I972" s="8" t="s">
        <v>116</v>
      </c>
      <c r="J972" s="8" t="s">
        <v>31</v>
      </c>
      <c r="K972" s="8" t="s">
        <v>67</v>
      </c>
      <c r="L972">
        <v>8568</v>
      </c>
      <c r="M972" s="8" t="s">
        <v>42</v>
      </c>
      <c r="N972">
        <v>8568</v>
      </c>
      <c r="O972" s="8" t="s">
        <v>1701</v>
      </c>
      <c r="P972" s="8" t="s">
        <v>1543</v>
      </c>
      <c r="Q972" s="8" t="s">
        <v>1541</v>
      </c>
      <c r="R972" s="8" t="s">
        <v>52</v>
      </c>
      <c r="S972" s="8" t="s">
        <v>1542</v>
      </c>
      <c r="T972" s="8" t="s">
        <v>1582</v>
      </c>
      <c r="U972" s="8" t="s">
        <v>1583</v>
      </c>
      <c r="V972">
        <v>3200</v>
      </c>
      <c r="W972">
        <v>2050</v>
      </c>
      <c r="X972">
        <v>0</v>
      </c>
      <c r="Y972">
        <v>-6150</v>
      </c>
    </row>
    <row r="973" spans="1:25" x14ac:dyDescent="0.3">
      <c r="A973" s="8" t="s">
        <v>1311</v>
      </c>
      <c r="B973" s="14">
        <v>46102</v>
      </c>
      <c r="C973" s="8" t="s">
        <v>1312</v>
      </c>
      <c r="D973" s="8" t="s">
        <v>168</v>
      </c>
      <c r="E973" s="8" t="s">
        <v>36</v>
      </c>
      <c r="F973">
        <v>4</v>
      </c>
      <c r="G973">
        <v>1400</v>
      </c>
      <c r="H973">
        <v>0.1</v>
      </c>
      <c r="I973" s="8" t="s">
        <v>17</v>
      </c>
      <c r="J973" s="8" t="s">
        <v>47</v>
      </c>
      <c r="K973" s="8" t="s">
        <v>41</v>
      </c>
      <c r="L973">
        <v>5040</v>
      </c>
      <c r="M973" s="8" t="s">
        <v>42</v>
      </c>
      <c r="N973">
        <v>5040</v>
      </c>
      <c r="O973" s="8" t="s">
        <v>1701</v>
      </c>
      <c r="P973" s="8" t="s">
        <v>1540</v>
      </c>
      <c r="Q973" s="8" t="s">
        <v>1541</v>
      </c>
      <c r="R973" s="8" t="s">
        <v>20</v>
      </c>
      <c r="S973" s="8" t="s">
        <v>1542</v>
      </c>
      <c r="T973" s="8" t="s">
        <v>1577</v>
      </c>
      <c r="U973" s="8" t="s">
        <v>1571</v>
      </c>
      <c r="V973">
        <v>1400</v>
      </c>
      <c r="W973">
        <v>780</v>
      </c>
      <c r="X973">
        <v>5040</v>
      </c>
      <c r="Y973">
        <v>1920</v>
      </c>
    </row>
    <row r="974" spans="1:25" x14ac:dyDescent="0.3">
      <c r="A974" s="8" t="s">
        <v>1313</v>
      </c>
      <c r="B974" s="14">
        <v>46107</v>
      </c>
      <c r="C974" s="8" t="s">
        <v>922</v>
      </c>
      <c r="D974" s="8" t="s">
        <v>70</v>
      </c>
      <c r="E974" s="8" t="s">
        <v>85</v>
      </c>
      <c r="F974">
        <v>2</v>
      </c>
      <c r="G974">
        <v>48500</v>
      </c>
      <c r="H974">
        <v>0.15</v>
      </c>
      <c r="I974" s="8" t="s">
        <v>17</v>
      </c>
      <c r="J974" s="8" t="s">
        <v>18</v>
      </c>
      <c r="K974" s="8" t="s">
        <v>55</v>
      </c>
      <c r="L974">
        <v>82450</v>
      </c>
      <c r="M974" s="8" t="s">
        <v>48</v>
      </c>
      <c r="N974">
        <v>82450</v>
      </c>
      <c r="O974" s="8" t="s">
        <v>1701</v>
      </c>
      <c r="P974" s="8" t="s">
        <v>1550</v>
      </c>
      <c r="Q974" s="8" t="s">
        <v>1549</v>
      </c>
      <c r="R974" s="8" t="s">
        <v>32</v>
      </c>
      <c r="S974" s="8" t="s">
        <v>1542</v>
      </c>
      <c r="T974" s="8" t="s">
        <v>1585</v>
      </c>
      <c r="U974" s="8" t="s">
        <v>1586</v>
      </c>
      <c r="V974">
        <v>48500</v>
      </c>
      <c r="W974">
        <v>41200</v>
      </c>
      <c r="X974">
        <v>82450</v>
      </c>
      <c r="Y974">
        <v>50</v>
      </c>
    </row>
    <row r="975" spans="1:25" x14ac:dyDescent="0.3">
      <c r="A975" s="8" t="s">
        <v>1314</v>
      </c>
      <c r="B975" s="14">
        <v>46032</v>
      </c>
      <c r="C975" s="8" t="s">
        <v>158</v>
      </c>
      <c r="D975" s="8" t="s">
        <v>45</v>
      </c>
      <c r="E975" s="8" t="s">
        <v>30</v>
      </c>
      <c r="F975">
        <v>1</v>
      </c>
      <c r="G975">
        <v>1710</v>
      </c>
      <c r="H975">
        <v>0.1</v>
      </c>
      <c r="I975" s="8" t="s">
        <v>17</v>
      </c>
      <c r="J975" s="8" t="s">
        <v>71</v>
      </c>
      <c r="K975" s="8" t="s">
        <v>41</v>
      </c>
      <c r="L975">
        <v>1539</v>
      </c>
      <c r="M975" s="8" t="s">
        <v>59</v>
      </c>
      <c r="N975">
        <v>1539</v>
      </c>
      <c r="O975" s="8" t="s">
        <v>1701</v>
      </c>
      <c r="P975" s="8" t="s">
        <v>1547</v>
      </c>
      <c r="Q975" s="8" t="s">
        <v>1541</v>
      </c>
      <c r="R975" s="8" t="s">
        <v>56</v>
      </c>
      <c r="S975" s="8" t="s">
        <v>1542</v>
      </c>
      <c r="T975" s="8" t="s">
        <v>1573</v>
      </c>
      <c r="U975" s="8" t="s">
        <v>1571</v>
      </c>
      <c r="V975">
        <v>1800</v>
      </c>
      <c r="W975">
        <v>1120</v>
      </c>
      <c r="X975">
        <v>1539</v>
      </c>
      <c r="Y975">
        <v>419</v>
      </c>
    </row>
    <row r="976" spans="1:25" x14ac:dyDescent="0.3">
      <c r="A976" s="8" t="s">
        <v>1315</v>
      </c>
      <c r="B976" s="14">
        <v>46151</v>
      </c>
      <c r="C976" s="8" t="s">
        <v>188</v>
      </c>
      <c r="D976" s="8" t="s">
        <v>152</v>
      </c>
      <c r="E976" s="8" t="s">
        <v>85</v>
      </c>
      <c r="F976">
        <v>3</v>
      </c>
      <c r="G976">
        <v>48500</v>
      </c>
      <c r="H976">
        <v>0.15</v>
      </c>
      <c r="I976" s="8" t="s">
        <v>80</v>
      </c>
      <c r="J976" s="8" t="s">
        <v>71</v>
      </c>
      <c r="K976" s="8" t="s">
        <v>67</v>
      </c>
      <c r="L976">
        <v>123675</v>
      </c>
      <c r="M976" s="8" t="s">
        <v>26</v>
      </c>
      <c r="N976">
        <v>123675</v>
      </c>
      <c r="O976" s="8" t="s">
        <v>1701</v>
      </c>
      <c r="P976" s="8" t="s">
        <v>1553</v>
      </c>
      <c r="Q976" s="8" t="s">
        <v>1554</v>
      </c>
      <c r="R976" s="8" t="s">
        <v>59</v>
      </c>
      <c r="S976" s="8" t="s">
        <v>1542</v>
      </c>
      <c r="T976" s="8" t="s">
        <v>1585</v>
      </c>
      <c r="U976" s="8" t="s">
        <v>1586</v>
      </c>
      <c r="V976">
        <v>48500</v>
      </c>
      <c r="W976">
        <v>41200</v>
      </c>
      <c r="X976">
        <v>0</v>
      </c>
      <c r="Y976">
        <v>-123600</v>
      </c>
    </row>
    <row r="977" spans="1:25" x14ac:dyDescent="0.3">
      <c r="A977" s="8" t="s">
        <v>1316</v>
      </c>
      <c r="B977" s="14">
        <v>46115</v>
      </c>
      <c r="C977" s="8" t="s">
        <v>156</v>
      </c>
      <c r="D977" s="8" t="s">
        <v>40</v>
      </c>
      <c r="E977" s="8" t="s">
        <v>161</v>
      </c>
      <c r="F977">
        <v>1</v>
      </c>
      <c r="G977">
        <v>2730</v>
      </c>
      <c r="H977">
        <v>0.2</v>
      </c>
      <c r="I977" s="8" t="s">
        <v>17</v>
      </c>
      <c r="J977" s="8" t="s">
        <v>71</v>
      </c>
      <c r="K977" s="8" t="s">
        <v>25</v>
      </c>
      <c r="L977">
        <v>2184</v>
      </c>
      <c r="M977" s="8" t="s">
        <v>48</v>
      </c>
      <c r="N977">
        <v>2184</v>
      </c>
      <c r="O977" s="8" t="s">
        <v>1701</v>
      </c>
      <c r="P977" s="8" t="s">
        <v>1555</v>
      </c>
      <c r="Q977" s="8" t="s">
        <v>1554</v>
      </c>
      <c r="R977" s="8" t="s">
        <v>82</v>
      </c>
      <c r="S977" s="8" t="s">
        <v>1542</v>
      </c>
      <c r="T977" s="8" t="s">
        <v>1578</v>
      </c>
      <c r="U977" s="8" t="s">
        <v>1571</v>
      </c>
      <c r="V977">
        <v>2600</v>
      </c>
      <c r="W977">
        <v>1750</v>
      </c>
      <c r="X977">
        <v>2184</v>
      </c>
      <c r="Y977">
        <v>434</v>
      </c>
    </row>
    <row r="978" spans="1:25" x14ac:dyDescent="0.3">
      <c r="A978" s="8" t="s">
        <v>1317</v>
      </c>
      <c r="B978" s="14">
        <v>46042</v>
      </c>
      <c r="C978" s="8" t="s">
        <v>475</v>
      </c>
      <c r="D978" s="8" t="s">
        <v>50</v>
      </c>
      <c r="E978" s="8" t="s">
        <v>183</v>
      </c>
      <c r="F978">
        <v>3</v>
      </c>
      <c r="G978">
        <v>3040</v>
      </c>
      <c r="H978">
        <v>0.1</v>
      </c>
      <c r="I978" s="8" t="s">
        <v>17</v>
      </c>
      <c r="J978" s="8" t="s">
        <v>47</v>
      </c>
      <c r="K978" s="8" t="s">
        <v>25</v>
      </c>
      <c r="L978">
        <v>8208</v>
      </c>
      <c r="M978" s="8" t="s">
        <v>42</v>
      </c>
      <c r="N978">
        <v>8208</v>
      </c>
      <c r="O978" s="8" t="s">
        <v>1701</v>
      </c>
      <c r="P978" s="8" t="s">
        <v>1544</v>
      </c>
      <c r="Q978" s="8" t="s">
        <v>1541</v>
      </c>
      <c r="R978" s="8" t="s">
        <v>26</v>
      </c>
      <c r="S978" s="8" t="s">
        <v>1542</v>
      </c>
      <c r="T978" s="8" t="s">
        <v>1582</v>
      </c>
      <c r="U978" s="8" t="s">
        <v>1583</v>
      </c>
      <c r="V978">
        <v>3200</v>
      </c>
      <c r="W978">
        <v>2050</v>
      </c>
      <c r="X978">
        <v>8208</v>
      </c>
      <c r="Y978">
        <v>2058</v>
      </c>
    </row>
    <row r="979" spans="1:25" x14ac:dyDescent="0.3">
      <c r="A979" s="8" t="s">
        <v>1318</v>
      </c>
      <c r="B979" s="14">
        <v>46150</v>
      </c>
      <c r="C979" s="8" t="s">
        <v>137</v>
      </c>
      <c r="D979" s="8" t="s">
        <v>15</v>
      </c>
      <c r="E979" s="8" t="s">
        <v>46</v>
      </c>
      <c r="F979">
        <v>2</v>
      </c>
      <c r="G979">
        <v>7800</v>
      </c>
      <c r="H979">
        <v>0.05</v>
      </c>
      <c r="I979" s="8" t="s">
        <v>17</v>
      </c>
      <c r="J979" s="8" t="s">
        <v>47</v>
      </c>
      <c r="K979" s="8" t="s">
        <v>1698</v>
      </c>
      <c r="L979">
        <v>14820</v>
      </c>
      <c r="M979" s="8" t="s">
        <v>42</v>
      </c>
      <c r="N979">
        <v>14820</v>
      </c>
      <c r="O979" s="8" t="s">
        <v>1701</v>
      </c>
      <c r="P979" s="8" t="s">
        <v>1543</v>
      </c>
      <c r="Q979" s="8" t="s">
        <v>1541</v>
      </c>
      <c r="R979" s="8" t="s">
        <v>52</v>
      </c>
      <c r="S979" s="8" t="s">
        <v>1542</v>
      </c>
      <c r="T979" s="8" t="s">
        <v>1579</v>
      </c>
      <c r="U979" s="8" t="s">
        <v>1580</v>
      </c>
      <c r="V979">
        <v>7800</v>
      </c>
      <c r="W979">
        <v>5200</v>
      </c>
      <c r="X979">
        <v>14820</v>
      </c>
      <c r="Y979">
        <v>4420</v>
      </c>
    </row>
    <row r="980" spans="1:25" x14ac:dyDescent="0.3">
      <c r="A980" s="8" t="s">
        <v>1319</v>
      </c>
      <c r="B980" s="14">
        <v>46068</v>
      </c>
      <c r="C980" s="8" t="s">
        <v>340</v>
      </c>
      <c r="D980" s="8" t="s">
        <v>123</v>
      </c>
      <c r="E980" s="8" t="s">
        <v>46</v>
      </c>
      <c r="F980">
        <v>1</v>
      </c>
      <c r="G980">
        <v>8190</v>
      </c>
      <c r="H980">
        <v>0.1</v>
      </c>
      <c r="I980" s="8" t="s">
        <v>116</v>
      </c>
      <c r="J980" s="8" t="s">
        <v>31</v>
      </c>
      <c r="K980" s="8" t="s">
        <v>25</v>
      </c>
      <c r="L980">
        <v>7371</v>
      </c>
      <c r="M980" s="8" t="s">
        <v>56</v>
      </c>
      <c r="N980">
        <v>7371</v>
      </c>
      <c r="O980" s="8" t="s">
        <v>1701</v>
      </c>
      <c r="P980" s="8" t="s">
        <v>1558</v>
      </c>
      <c r="Q980" s="8" t="s">
        <v>1559</v>
      </c>
      <c r="R980" s="8" t="s">
        <v>138</v>
      </c>
      <c r="S980" s="8" t="s">
        <v>1542</v>
      </c>
      <c r="T980" s="8" t="s">
        <v>1579</v>
      </c>
      <c r="U980" s="8" t="s">
        <v>1580</v>
      </c>
      <c r="V980">
        <v>7800</v>
      </c>
      <c r="W980">
        <v>5200</v>
      </c>
      <c r="X980">
        <v>0</v>
      </c>
      <c r="Y980">
        <v>-5200</v>
      </c>
    </row>
    <row r="981" spans="1:25" x14ac:dyDescent="0.3">
      <c r="A981" s="8" t="s">
        <v>1320</v>
      </c>
      <c r="B981" s="14">
        <v>46033</v>
      </c>
      <c r="C981" s="8" t="s">
        <v>491</v>
      </c>
      <c r="D981" s="8" t="s">
        <v>35</v>
      </c>
      <c r="E981" s="8" t="s">
        <v>135</v>
      </c>
      <c r="F981">
        <v>2</v>
      </c>
      <c r="G981">
        <v>16800</v>
      </c>
      <c r="H981">
        <v>0.15</v>
      </c>
      <c r="I981" s="8" t="s">
        <v>80</v>
      </c>
      <c r="J981" s="8" t="s">
        <v>47</v>
      </c>
      <c r="K981" s="8" t="s">
        <v>25</v>
      </c>
      <c r="L981">
        <v>28560</v>
      </c>
      <c r="M981" s="8" t="s">
        <v>48</v>
      </c>
      <c r="N981">
        <v>28560</v>
      </c>
      <c r="O981" s="8" t="s">
        <v>1701</v>
      </c>
      <c r="P981" s="8" t="s">
        <v>1548</v>
      </c>
      <c r="Q981" s="8" t="s">
        <v>1549</v>
      </c>
      <c r="R981" s="8" t="s">
        <v>42</v>
      </c>
      <c r="S981" s="8" t="s">
        <v>1542</v>
      </c>
      <c r="T981" s="8" t="s">
        <v>1576</v>
      </c>
      <c r="U981" s="8" t="s">
        <v>1575</v>
      </c>
      <c r="V981">
        <v>16800</v>
      </c>
      <c r="W981">
        <v>12600</v>
      </c>
      <c r="X981">
        <v>0</v>
      </c>
      <c r="Y981">
        <v>-25200</v>
      </c>
    </row>
    <row r="982" spans="1:25" x14ac:dyDescent="0.3">
      <c r="A982" s="8" t="s">
        <v>1321</v>
      </c>
      <c r="B982" s="14">
        <v>46103</v>
      </c>
      <c r="C982" s="8" t="s">
        <v>857</v>
      </c>
      <c r="D982" s="8" t="s">
        <v>35</v>
      </c>
      <c r="E982" s="8" t="s">
        <v>63</v>
      </c>
      <c r="F982">
        <v>3</v>
      </c>
      <c r="G982">
        <v>2090</v>
      </c>
      <c r="H982">
        <v>0.15</v>
      </c>
      <c r="I982" s="8" t="s">
        <v>17</v>
      </c>
      <c r="J982" s="8" t="s">
        <v>71</v>
      </c>
      <c r="K982" s="8" t="s">
        <v>25</v>
      </c>
      <c r="L982">
        <v>5329.5</v>
      </c>
      <c r="M982" s="8" t="s">
        <v>20</v>
      </c>
      <c r="N982">
        <v>5329.5</v>
      </c>
      <c r="O982" s="8" t="s">
        <v>1701</v>
      </c>
      <c r="P982" s="8" t="s">
        <v>1548</v>
      </c>
      <c r="Q982" s="8" t="s">
        <v>1549</v>
      </c>
      <c r="R982" s="8" t="s">
        <v>42</v>
      </c>
      <c r="S982" s="8" t="s">
        <v>1542</v>
      </c>
      <c r="T982" s="8" t="s">
        <v>1572</v>
      </c>
      <c r="U982" s="8" t="s">
        <v>1571</v>
      </c>
      <c r="V982">
        <v>2200</v>
      </c>
      <c r="W982">
        <v>1450</v>
      </c>
      <c r="X982">
        <v>5329.5</v>
      </c>
      <c r="Y982">
        <v>979.5</v>
      </c>
    </row>
    <row r="983" spans="1:25" x14ac:dyDescent="0.3">
      <c r="A983" s="8" t="s">
        <v>1322</v>
      </c>
      <c r="B983" s="14">
        <v>46062</v>
      </c>
      <c r="C983" s="8" t="s">
        <v>338</v>
      </c>
      <c r="D983" s="8" t="s">
        <v>90</v>
      </c>
      <c r="E983" s="8" t="s">
        <v>63</v>
      </c>
      <c r="F983">
        <v>1</v>
      </c>
      <c r="G983">
        <v>2090</v>
      </c>
      <c r="H983">
        <v>0</v>
      </c>
      <c r="I983" s="8" t="s">
        <v>17</v>
      </c>
      <c r="J983" s="8" t="s">
        <v>18</v>
      </c>
      <c r="K983" s="8" t="s">
        <v>55</v>
      </c>
      <c r="L983">
        <v>2090</v>
      </c>
      <c r="M983" s="8" t="s">
        <v>42</v>
      </c>
      <c r="N983">
        <v>2090</v>
      </c>
      <c r="O983" s="8" t="s">
        <v>1701</v>
      </c>
      <c r="P983" s="8" t="s">
        <v>1562</v>
      </c>
      <c r="Q983" s="8" t="s">
        <v>1563</v>
      </c>
      <c r="R983" s="8" t="s">
        <v>48</v>
      </c>
      <c r="S983" s="8" t="s">
        <v>1542</v>
      </c>
      <c r="T983" s="8" t="s">
        <v>1572</v>
      </c>
      <c r="U983" s="8" t="s">
        <v>1571</v>
      </c>
      <c r="V983">
        <v>2200</v>
      </c>
      <c r="W983">
        <v>1450</v>
      </c>
      <c r="X983">
        <v>2090</v>
      </c>
      <c r="Y983">
        <v>640</v>
      </c>
    </row>
    <row r="984" spans="1:25" x14ac:dyDescent="0.3">
      <c r="A984" s="8" t="s">
        <v>1323</v>
      </c>
      <c r="B984" s="14">
        <v>46112</v>
      </c>
      <c r="C984" s="8" t="s">
        <v>94</v>
      </c>
      <c r="D984" s="8" t="s">
        <v>62</v>
      </c>
      <c r="E984" s="8" t="s">
        <v>46</v>
      </c>
      <c r="F984">
        <v>3</v>
      </c>
      <c r="G984">
        <v>7800</v>
      </c>
      <c r="H984">
        <v>0.1</v>
      </c>
      <c r="I984" s="8" t="s">
        <v>17</v>
      </c>
      <c r="J984" s="8" t="s">
        <v>18</v>
      </c>
      <c r="K984" s="8" t="s">
        <v>55</v>
      </c>
      <c r="L984">
        <v>21060</v>
      </c>
      <c r="M984" s="8" t="s">
        <v>52</v>
      </c>
      <c r="N984">
        <v>21060</v>
      </c>
      <c r="O984" s="8" t="s">
        <v>1701</v>
      </c>
      <c r="P984" s="8" t="s">
        <v>1551</v>
      </c>
      <c r="Q984" s="8" t="s">
        <v>1549</v>
      </c>
      <c r="R984" s="8" t="s">
        <v>1552</v>
      </c>
      <c r="S984" s="8" t="s">
        <v>1542</v>
      </c>
      <c r="T984" s="8" t="s">
        <v>1579</v>
      </c>
      <c r="U984" s="8" t="s">
        <v>1580</v>
      </c>
      <c r="V984">
        <v>7800</v>
      </c>
      <c r="W984">
        <v>5200</v>
      </c>
      <c r="X984">
        <v>21060</v>
      </c>
      <c r="Y984">
        <v>5460</v>
      </c>
    </row>
    <row r="985" spans="1:25" x14ac:dyDescent="0.3">
      <c r="A985" s="8" t="s">
        <v>1324</v>
      </c>
      <c r="B985" s="14">
        <v>46125</v>
      </c>
      <c r="C985" s="8" t="s">
        <v>65</v>
      </c>
      <c r="D985" s="8" t="s">
        <v>35</v>
      </c>
      <c r="E985" s="8" t="s">
        <v>63</v>
      </c>
      <c r="F985">
        <v>2</v>
      </c>
      <c r="G985">
        <v>2310</v>
      </c>
      <c r="H985">
        <v>0.15</v>
      </c>
      <c r="I985" s="8" t="s">
        <v>17</v>
      </c>
      <c r="J985" s="8" t="s">
        <v>47</v>
      </c>
      <c r="K985" s="8" t="s">
        <v>55</v>
      </c>
      <c r="L985">
        <v>3927</v>
      </c>
      <c r="M985" s="8" t="s">
        <v>20</v>
      </c>
      <c r="N985">
        <v>3927</v>
      </c>
      <c r="O985" s="8" t="s">
        <v>1701</v>
      </c>
      <c r="P985" s="8" t="s">
        <v>1548</v>
      </c>
      <c r="Q985" s="8" t="s">
        <v>1549</v>
      </c>
      <c r="R985" s="8" t="s">
        <v>42</v>
      </c>
      <c r="S985" s="8" t="s">
        <v>1542</v>
      </c>
      <c r="T985" s="8" t="s">
        <v>1572</v>
      </c>
      <c r="U985" s="8" t="s">
        <v>1571</v>
      </c>
      <c r="V985">
        <v>2200</v>
      </c>
      <c r="W985">
        <v>1450</v>
      </c>
      <c r="X985">
        <v>3927</v>
      </c>
      <c r="Y985">
        <v>1027</v>
      </c>
    </row>
    <row r="986" spans="1:25" x14ac:dyDescent="0.3">
      <c r="A986" s="8" t="s">
        <v>1325</v>
      </c>
      <c r="B986" s="14">
        <v>46162</v>
      </c>
      <c r="C986" s="8" t="s">
        <v>202</v>
      </c>
      <c r="D986" s="8" t="s">
        <v>50</v>
      </c>
      <c r="E986" s="8" t="s">
        <v>46</v>
      </c>
      <c r="F986">
        <v>1</v>
      </c>
      <c r="G986">
        <v>7410</v>
      </c>
      <c r="H986">
        <v>0</v>
      </c>
      <c r="I986" s="8" t="s">
        <v>17</v>
      </c>
      <c r="J986" s="8" t="s">
        <v>31</v>
      </c>
      <c r="K986" s="8" t="s">
        <v>67</v>
      </c>
      <c r="L986">
        <v>7410</v>
      </c>
      <c r="M986" s="8" t="s">
        <v>32</v>
      </c>
      <c r="N986">
        <v>7410</v>
      </c>
      <c r="O986" s="8" t="s">
        <v>1701</v>
      </c>
      <c r="P986" s="8" t="s">
        <v>1544</v>
      </c>
      <c r="Q986" s="8" t="s">
        <v>1541</v>
      </c>
      <c r="R986" s="8" t="s">
        <v>26</v>
      </c>
      <c r="S986" s="8" t="s">
        <v>1542</v>
      </c>
      <c r="T986" s="8" t="s">
        <v>1579</v>
      </c>
      <c r="U986" s="8" t="s">
        <v>1580</v>
      </c>
      <c r="V986">
        <v>7800</v>
      </c>
      <c r="W986">
        <v>5200</v>
      </c>
      <c r="X986">
        <v>7410</v>
      </c>
      <c r="Y986">
        <v>2210</v>
      </c>
    </row>
    <row r="987" spans="1:25" x14ac:dyDescent="0.3">
      <c r="A987" s="8" t="s">
        <v>1326</v>
      </c>
      <c r="B987" s="14">
        <v>46144</v>
      </c>
      <c r="C987" s="8" t="s">
        <v>473</v>
      </c>
      <c r="D987" s="8" t="s">
        <v>23</v>
      </c>
      <c r="E987" s="8" t="s">
        <v>16</v>
      </c>
      <c r="F987">
        <v>1</v>
      </c>
      <c r="G987">
        <v>682.5</v>
      </c>
      <c r="H987">
        <v>0</v>
      </c>
      <c r="I987" s="8" t="s">
        <v>80</v>
      </c>
      <c r="J987" s="8" t="s">
        <v>47</v>
      </c>
      <c r="K987" s="8" t="s">
        <v>41</v>
      </c>
      <c r="L987">
        <v>682.5</v>
      </c>
      <c r="M987" s="8" t="s">
        <v>42</v>
      </c>
      <c r="N987">
        <v>682.5</v>
      </c>
      <c r="O987" s="8" t="s">
        <v>1701</v>
      </c>
      <c r="P987" s="8" t="s">
        <v>1545</v>
      </c>
      <c r="Q987" s="8" t="s">
        <v>1541</v>
      </c>
      <c r="R987" s="8" t="s">
        <v>1546</v>
      </c>
      <c r="S987" s="8" t="s">
        <v>1542</v>
      </c>
      <c r="T987" s="8" t="s">
        <v>1570</v>
      </c>
      <c r="U987" s="8" t="s">
        <v>1571</v>
      </c>
      <c r="V987">
        <v>650</v>
      </c>
      <c r="W987">
        <v>390</v>
      </c>
      <c r="X987">
        <v>0</v>
      </c>
      <c r="Y987">
        <v>-390</v>
      </c>
    </row>
    <row r="988" spans="1:25" x14ac:dyDescent="0.3">
      <c r="A988" s="8" t="s">
        <v>1327</v>
      </c>
      <c r="B988" s="14">
        <v>46059</v>
      </c>
      <c r="C988" s="8" t="s">
        <v>163</v>
      </c>
      <c r="D988" s="8" t="s">
        <v>15</v>
      </c>
      <c r="E988" s="8" t="s">
        <v>135</v>
      </c>
      <c r="F988">
        <v>2</v>
      </c>
      <c r="G988">
        <v>17640</v>
      </c>
      <c r="H988">
        <v>0.05</v>
      </c>
      <c r="I988" s="8" t="s">
        <v>66</v>
      </c>
      <c r="J988" s="8" t="s">
        <v>71</v>
      </c>
      <c r="K988" s="8" t="s">
        <v>67</v>
      </c>
      <c r="L988">
        <v>33516</v>
      </c>
      <c r="M988" s="8" t="s">
        <v>59</v>
      </c>
      <c r="N988">
        <v>33516</v>
      </c>
      <c r="O988" s="8" t="s">
        <v>1701</v>
      </c>
      <c r="P988" s="8" t="s">
        <v>1543</v>
      </c>
      <c r="Q988" s="8" t="s">
        <v>1541</v>
      </c>
      <c r="R988" s="8" t="s">
        <v>52</v>
      </c>
      <c r="S988" s="8" t="s">
        <v>1542</v>
      </c>
      <c r="T988" s="8" t="s">
        <v>1576</v>
      </c>
      <c r="U988" s="8" t="s">
        <v>1575</v>
      </c>
      <c r="V988">
        <v>16800</v>
      </c>
      <c r="W988">
        <v>12600</v>
      </c>
      <c r="X988">
        <v>0</v>
      </c>
      <c r="Y988">
        <v>-25200</v>
      </c>
    </row>
    <row r="989" spans="1:25" x14ac:dyDescent="0.3">
      <c r="A989" s="8" t="s">
        <v>1328</v>
      </c>
      <c r="B989" s="14">
        <v>46036</v>
      </c>
      <c r="C989" s="8" t="s">
        <v>163</v>
      </c>
      <c r="D989" s="8" t="s">
        <v>15</v>
      </c>
      <c r="E989" s="8" t="s">
        <v>161</v>
      </c>
      <c r="F989">
        <v>2</v>
      </c>
      <c r="G989">
        <v>2600</v>
      </c>
      <c r="H989">
        <v>0.05</v>
      </c>
      <c r="I989" s="8" t="s">
        <v>17</v>
      </c>
      <c r="J989" s="8" t="s">
        <v>18</v>
      </c>
      <c r="K989" s="8" t="s">
        <v>55</v>
      </c>
      <c r="L989">
        <v>4940</v>
      </c>
      <c r="M989" s="8" t="s">
        <v>82</v>
      </c>
      <c r="N989">
        <v>4940</v>
      </c>
      <c r="O989" s="8" t="s">
        <v>1701</v>
      </c>
      <c r="P989" s="8" t="s">
        <v>1543</v>
      </c>
      <c r="Q989" s="8" t="s">
        <v>1541</v>
      </c>
      <c r="R989" s="8" t="s">
        <v>52</v>
      </c>
      <c r="S989" s="8" t="s">
        <v>1542</v>
      </c>
      <c r="T989" s="8" t="s">
        <v>1578</v>
      </c>
      <c r="U989" s="8" t="s">
        <v>1571</v>
      </c>
      <c r="V989">
        <v>2600</v>
      </c>
      <c r="W989">
        <v>1750</v>
      </c>
      <c r="X989">
        <v>4940</v>
      </c>
      <c r="Y989">
        <v>1440</v>
      </c>
    </row>
    <row r="990" spans="1:25" x14ac:dyDescent="0.3">
      <c r="A990" s="8" t="s">
        <v>1329</v>
      </c>
      <c r="B990" s="14">
        <v>46199</v>
      </c>
      <c r="C990" s="8" t="s">
        <v>186</v>
      </c>
      <c r="D990" s="8" t="s">
        <v>29</v>
      </c>
      <c r="E990" s="8" t="s">
        <v>30</v>
      </c>
      <c r="F990">
        <v>8</v>
      </c>
      <c r="G990">
        <v>1890</v>
      </c>
      <c r="H990">
        <v>0.1</v>
      </c>
      <c r="I990" s="8" t="s">
        <v>17</v>
      </c>
      <c r="J990" s="8" t="s">
        <v>71</v>
      </c>
      <c r="K990" s="8" t="s">
        <v>1698</v>
      </c>
      <c r="L990">
        <v>13608</v>
      </c>
      <c r="M990" s="8" t="s">
        <v>48</v>
      </c>
      <c r="N990">
        <v>13608</v>
      </c>
      <c r="O990" s="8" t="s">
        <v>1701</v>
      </c>
      <c r="P990" s="8" t="s">
        <v>1560</v>
      </c>
      <c r="Q990" s="8" t="s">
        <v>1559</v>
      </c>
      <c r="R990" s="8" t="s">
        <v>1561</v>
      </c>
      <c r="S990" s="8" t="s">
        <v>1542</v>
      </c>
      <c r="T990" s="8" t="s">
        <v>1573</v>
      </c>
      <c r="U990" s="8" t="s">
        <v>1571</v>
      </c>
      <c r="V990">
        <v>1800</v>
      </c>
      <c r="W990">
        <v>1120</v>
      </c>
      <c r="X990">
        <v>13608</v>
      </c>
      <c r="Y990">
        <v>4648</v>
      </c>
    </row>
    <row r="991" spans="1:25" x14ac:dyDescent="0.3">
      <c r="A991" s="8" t="s">
        <v>1330</v>
      </c>
      <c r="B991" s="14">
        <v>46180</v>
      </c>
      <c r="C991" s="8" t="s">
        <v>234</v>
      </c>
      <c r="D991" s="8" t="s">
        <v>50</v>
      </c>
      <c r="E991" s="8" t="s">
        <v>36</v>
      </c>
      <c r="F991">
        <v>3</v>
      </c>
      <c r="G991">
        <v>1400</v>
      </c>
      <c r="H991">
        <v>0.2</v>
      </c>
      <c r="I991" s="8" t="s">
        <v>17</v>
      </c>
      <c r="J991" s="8" t="s">
        <v>71</v>
      </c>
      <c r="K991" s="8" t="s">
        <v>55</v>
      </c>
      <c r="L991">
        <v>3360</v>
      </c>
      <c r="M991" s="8" t="s">
        <v>59</v>
      </c>
      <c r="N991">
        <v>3360</v>
      </c>
      <c r="O991" s="8" t="s">
        <v>1701</v>
      </c>
      <c r="P991" s="8" t="s">
        <v>1544</v>
      </c>
      <c r="Q991" s="8" t="s">
        <v>1541</v>
      </c>
      <c r="R991" s="8" t="s">
        <v>26</v>
      </c>
      <c r="S991" s="8" t="s">
        <v>1542</v>
      </c>
      <c r="T991" s="8" t="s">
        <v>1577</v>
      </c>
      <c r="U991" s="8" t="s">
        <v>1571</v>
      </c>
      <c r="V991">
        <v>1400</v>
      </c>
      <c r="W991">
        <v>780</v>
      </c>
      <c r="X991">
        <v>3360</v>
      </c>
      <c r="Y991">
        <v>1020</v>
      </c>
    </row>
    <row r="992" spans="1:25" x14ac:dyDescent="0.3">
      <c r="A992" s="8" t="s">
        <v>1331</v>
      </c>
      <c r="B992" s="14">
        <v>46150</v>
      </c>
      <c r="C992" s="8" t="s">
        <v>336</v>
      </c>
      <c r="D992" s="8" t="s">
        <v>90</v>
      </c>
      <c r="E992" s="8" t="s">
        <v>36</v>
      </c>
      <c r="F992">
        <v>1</v>
      </c>
      <c r="G992">
        <v>1330</v>
      </c>
      <c r="H992">
        <v>0.2</v>
      </c>
      <c r="I992" s="8" t="s">
        <v>17</v>
      </c>
      <c r="J992" s="8" t="s">
        <v>71</v>
      </c>
      <c r="K992" s="8" t="s">
        <v>55</v>
      </c>
      <c r="L992">
        <v>1064</v>
      </c>
      <c r="M992" s="8" t="s">
        <v>48</v>
      </c>
      <c r="N992">
        <v>1064</v>
      </c>
      <c r="O992" s="8" t="s">
        <v>1701</v>
      </c>
      <c r="P992" s="8" t="s">
        <v>1562</v>
      </c>
      <c r="Q992" s="8" t="s">
        <v>1563</v>
      </c>
      <c r="R992" s="8" t="s">
        <v>48</v>
      </c>
      <c r="S992" s="8" t="s">
        <v>1542</v>
      </c>
      <c r="T992" s="8" t="s">
        <v>1577</v>
      </c>
      <c r="U992" s="8" t="s">
        <v>1571</v>
      </c>
      <c r="V992">
        <v>1400</v>
      </c>
      <c r="W992">
        <v>780</v>
      </c>
      <c r="X992">
        <v>1064</v>
      </c>
      <c r="Y992">
        <v>284</v>
      </c>
    </row>
    <row r="993" spans="1:25" x14ac:dyDescent="0.3">
      <c r="A993" s="8" t="s">
        <v>1332</v>
      </c>
      <c r="B993" s="14">
        <v>46047</v>
      </c>
      <c r="C993" s="8" t="s">
        <v>34</v>
      </c>
      <c r="D993" s="8" t="s">
        <v>168</v>
      </c>
      <c r="E993" s="8" t="s">
        <v>24</v>
      </c>
      <c r="F993">
        <v>4</v>
      </c>
      <c r="G993">
        <v>11200</v>
      </c>
      <c r="H993">
        <v>0</v>
      </c>
      <c r="I993" s="8" t="s">
        <v>80</v>
      </c>
      <c r="J993" s="8" t="s">
        <v>71</v>
      </c>
      <c r="K993" s="8" t="s">
        <v>67</v>
      </c>
      <c r="L993">
        <v>44800</v>
      </c>
      <c r="M993" s="8" t="s">
        <v>52</v>
      </c>
      <c r="N993">
        <v>44800</v>
      </c>
      <c r="O993" s="8" t="s">
        <v>1701</v>
      </c>
      <c r="P993" s="8" t="s">
        <v>1540</v>
      </c>
      <c r="Q993" s="8" t="s">
        <v>1541</v>
      </c>
      <c r="R993" s="8" t="s">
        <v>20</v>
      </c>
      <c r="S993" s="8" t="s">
        <v>1542</v>
      </c>
      <c r="T993" s="8" t="s">
        <v>1574</v>
      </c>
      <c r="U993" s="8" t="s">
        <v>1575</v>
      </c>
      <c r="V993">
        <v>11200</v>
      </c>
      <c r="W993">
        <v>8300</v>
      </c>
      <c r="X993">
        <v>0</v>
      </c>
      <c r="Y993">
        <v>-33200</v>
      </c>
    </row>
    <row r="994" spans="1:25" x14ac:dyDescent="0.3">
      <c r="A994" s="8" t="s">
        <v>1333</v>
      </c>
      <c r="B994" s="14">
        <v>46071</v>
      </c>
      <c r="C994" s="8" t="s">
        <v>142</v>
      </c>
      <c r="D994" s="8" t="s">
        <v>95</v>
      </c>
      <c r="E994" s="8" t="s">
        <v>183</v>
      </c>
      <c r="F994">
        <v>8</v>
      </c>
      <c r="G994">
        <v>3040</v>
      </c>
      <c r="H994">
        <v>0.05</v>
      </c>
      <c r="I994" s="8" t="s">
        <v>17</v>
      </c>
      <c r="J994" s="8" t="s">
        <v>47</v>
      </c>
      <c r="K994" s="8" t="s">
        <v>25</v>
      </c>
      <c r="L994">
        <v>23104</v>
      </c>
      <c r="M994" s="8" t="s">
        <v>42</v>
      </c>
      <c r="N994">
        <v>23104</v>
      </c>
      <c r="O994" s="8" t="s">
        <v>1701</v>
      </c>
      <c r="P994" s="8" t="s">
        <v>1556</v>
      </c>
      <c r="Q994" s="8" t="s">
        <v>1554</v>
      </c>
      <c r="R994" s="8" t="s">
        <v>1557</v>
      </c>
      <c r="S994" s="8" t="s">
        <v>1542</v>
      </c>
      <c r="T994" s="8" t="s">
        <v>1582</v>
      </c>
      <c r="U994" s="8" t="s">
        <v>1583</v>
      </c>
      <c r="V994">
        <v>3200</v>
      </c>
      <c r="W994">
        <v>2050</v>
      </c>
      <c r="X994">
        <v>23104</v>
      </c>
      <c r="Y994">
        <v>6704</v>
      </c>
    </row>
    <row r="995" spans="1:25" x14ac:dyDescent="0.3">
      <c r="A995" s="8" t="s">
        <v>1334</v>
      </c>
      <c r="B995" s="14">
        <v>46202</v>
      </c>
      <c r="C995" s="8" t="s">
        <v>1147</v>
      </c>
      <c r="D995" s="8" t="s">
        <v>62</v>
      </c>
      <c r="E995" s="8" t="s">
        <v>74</v>
      </c>
      <c r="F995">
        <v>10</v>
      </c>
      <c r="G995">
        <v>2400</v>
      </c>
      <c r="H995">
        <v>0.1</v>
      </c>
      <c r="I995" s="8" t="s">
        <v>17</v>
      </c>
      <c r="J995" s="8" t="s">
        <v>47</v>
      </c>
      <c r="K995" s="8" t="s">
        <v>41</v>
      </c>
      <c r="L995">
        <v>21600</v>
      </c>
      <c r="M995" s="8" t="s">
        <v>59</v>
      </c>
      <c r="N995">
        <v>21600</v>
      </c>
      <c r="O995" s="8" t="s">
        <v>1701</v>
      </c>
      <c r="P995" s="8" t="s">
        <v>1551</v>
      </c>
      <c r="Q995" s="8" t="s">
        <v>1549</v>
      </c>
      <c r="R995" s="8" t="s">
        <v>1552</v>
      </c>
      <c r="S995" s="8" t="s">
        <v>1542</v>
      </c>
      <c r="T995" s="8" t="s">
        <v>1584</v>
      </c>
      <c r="U995" s="8" t="s">
        <v>1583</v>
      </c>
      <c r="V995">
        <v>2400</v>
      </c>
      <c r="W995">
        <v>1480</v>
      </c>
      <c r="X995">
        <v>21600</v>
      </c>
      <c r="Y995">
        <v>6800</v>
      </c>
    </row>
    <row r="996" spans="1:25" x14ac:dyDescent="0.3">
      <c r="A996" s="8" t="s">
        <v>1335</v>
      </c>
      <c r="B996" s="14">
        <v>46140</v>
      </c>
      <c r="C996" s="8" t="s">
        <v>258</v>
      </c>
      <c r="D996" s="8" t="s">
        <v>70</v>
      </c>
      <c r="E996" s="8" t="s">
        <v>36</v>
      </c>
      <c r="F996">
        <v>1</v>
      </c>
      <c r="G996">
        <v>1470</v>
      </c>
      <c r="H996">
        <v>0.15</v>
      </c>
      <c r="I996" s="8" t="s">
        <v>17</v>
      </c>
      <c r="J996" s="8" t="s">
        <v>47</v>
      </c>
      <c r="K996" s="8" t="s">
        <v>55</v>
      </c>
      <c r="L996">
        <v>1249.5</v>
      </c>
      <c r="M996" s="8" t="s">
        <v>26</v>
      </c>
      <c r="N996">
        <v>1249.5</v>
      </c>
      <c r="O996" s="8" t="s">
        <v>1701</v>
      </c>
      <c r="P996" s="8" t="s">
        <v>1550</v>
      </c>
      <c r="Q996" s="8" t="s">
        <v>1549</v>
      </c>
      <c r="R996" s="8" t="s">
        <v>32</v>
      </c>
      <c r="S996" s="8" t="s">
        <v>1542</v>
      </c>
      <c r="T996" s="8" t="s">
        <v>1577</v>
      </c>
      <c r="U996" s="8" t="s">
        <v>1571</v>
      </c>
      <c r="V996">
        <v>1400</v>
      </c>
      <c r="W996">
        <v>780</v>
      </c>
      <c r="X996">
        <v>1249.5</v>
      </c>
      <c r="Y996">
        <v>469.5</v>
      </c>
    </row>
    <row r="997" spans="1:25" x14ac:dyDescent="0.3">
      <c r="A997" s="8" t="s">
        <v>1336</v>
      </c>
      <c r="B997" s="14">
        <v>46202</v>
      </c>
      <c r="C997" s="8" t="s">
        <v>328</v>
      </c>
      <c r="D997" s="8" t="s">
        <v>40</v>
      </c>
      <c r="E997" s="8" t="s">
        <v>63</v>
      </c>
      <c r="F997">
        <v>10</v>
      </c>
      <c r="G997">
        <v>2090</v>
      </c>
      <c r="H997">
        <v>0</v>
      </c>
      <c r="I997" s="8" t="s">
        <v>17</v>
      </c>
      <c r="J997" s="8" t="s">
        <v>31</v>
      </c>
      <c r="K997" s="8" t="s">
        <v>55</v>
      </c>
      <c r="L997">
        <v>20900</v>
      </c>
      <c r="M997" s="8" t="s">
        <v>48</v>
      </c>
      <c r="N997">
        <v>20900</v>
      </c>
      <c r="O997" s="8" t="s">
        <v>1701</v>
      </c>
      <c r="P997" s="8" t="s">
        <v>1555</v>
      </c>
      <c r="Q997" s="8" t="s">
        <v>1554</v>
      </c>
      <c r="R997" s="8" t="s">
        <v>82</v>
      </c>
      <c r="S997" s="8" t="s">
        <v>1542</v>
      </c>
      <c r="T997" s="8" t="s">
        <v>1572</v>
      </c>
      <c r="U997" s="8" t="s">
        <v>1571</v>
      </c>
      <c r="V997">
        <v>2200</v>
      </c>
      <c r="W997">
        <v>1450</v>
      </c>
      <c r="X997">
        <v>20900</v>
      </c>
      <c r="Y997">
        <v>6400</v>
      </c>
    </row>
    <row r="998" spans="1:25" x14ac:dyDescent="0.3">
      <c r="A998" s="8" t="s">
        <v>1337</v>
      </c>
      <c r="B998" s="14">
        <v>46162</v>
      </c>
      <c r="C998" s="8" t="s">
        <v>160</v>
      </c>
      <c r="D998" s="8" t="s">
        <v>15</v>
      </c>
      <c r="E998" s="8" t="s">
        <v>74</v>
      </c>
      <c r="F998">
        <v>2</v>
      </c>
      <c r="G998">
        <v>2400</v>
      </c>
      <c r="H998">
        <v>0.15</v>
      </c>
      <c r="I998" s="8" t="s">
        <v>17</v>
      </c>
      <c r="J998" s="8" t="s">
        <v>71</v>
      </c>
      <c r="K998" s="8" t="s">
        <v>41</v>
      </c>
      <c r="L998">
        <v>4080</v>
      </c>
      <c r="M998" s="8" t="s">
        <v>56</v>
      </c>
      <c r="N998">
        <v>4080</v>
      </c>
      <c r="O998" s="8" t="s">
        <v>1701</v>
      </c>
      <c r="P998" s="8" t="s">
        <v>1543</v>
      </c>
      <c r="Q998" s="8" t="s">
        <v>1541</v>
      </c>
      <c r="R998" s="8" t="s">
        <v>52</v>
      </c>
      <c r="S998" s="8" t="s">
        <v>1542</v>
      </c>
      <c r="T998" s="8" t="s">
        <v>1584</v>
      </c>
      <c r="U998" s="8" t="s">
        <v>1583</v>
      </c>
      <c r="V998">
        <v>2400</v>
      </c>
      <c r="W998">
        <v>1480</v>
      </c>
      <c r="X998">
        <v>4080</v>
      </c>
      <c r="Y998">
        <v>1120</v>
      </c>
    </row>
    <row r="999" spans="1:25" x14ac:dyDescent="0.3">
      <c r="A999" s="8" t="s">
        <v>1338</v>
      </c>
      <c r="B999" s="14">
        <v>46164</v>
      </c>
      <c r="C999" s="8" t="s">
        <v>442</v>
      </c>
      <c r="D999" s="8" t="s">
        <v>70</v>
      </c>
      <c r="E999" s="8" t="s">
        <v>63</v>
      </c>
      <c r="F999">
        <v>1</v>
      </c>
      <c r="G999">
        <v>2200</v>
      </c>
      <c r="H999">
        <v>0.1</v>
      </c>
      <c r="I999" s="8" t="s">
        <v>80</v>
      </c>
      <c r="J999" s="8" t="s">
        <v>18</v>
      </c>
      <c r="K999" s="8" t="s">
        <v>55</v>
      </c>
      <c r="L999">
        <v>1980</v>
      </c>
      <c r="M999" s="8" t="s">
        <v>20</v>
      </c>
      <c r="N999">
        <v>1980</v>
      </c>
      <c r="O999" s="8" t="s">
        <v>1701</v>
      </c>
      <c r="P999" s="8" t="s">
        <v>1550</v>
      </c>
      <c r="Q999" s="8" t="s">
        <v>1549</v>
      </c>
      <c r="R999" s="8" t="s">
        <v>32</v>
      </c>
      <c r="S999" s="8" t="s">
        <v>1542</v>
      </c>
      <c r="T999" s="8" t="s">
        <v>1572</v>
      </c>
      <c r="U999" s="8" t="s">
        <v>1571</v>
      </c>
      <c r="V999">
        <v>2200</v>
      </c>
      <c r="W999">
        <v>1450</v>
      </c>
      <c r="X999">
        <v>0</v>
      </c>
      <c r="Y999">
        <v>-1450</v>
      </c>
    </row>
    <row r="1000" spans="1:25" x14ac:dyDescent="0.3">
      <c r="A1000" s="8" t="s">
        <v>1339</v>
      </c>
      <c r="B1000" s="14">
        <v>46118</v>
      </c>
      <c r="C1000" s="8" t="s">
        <v>867</v>
      </c>
      <c r="D1000" s="8" t="s">
        <v>29</v>
      </c>
      <c r="E1000" s="8" t="s">
        <v>24</v>
      </c>
      <c r="F1000">
        <v>2</v>
      </c>
      <c r="G1000">
        <v>11200</v>
      </c>
      <c r="H1000">
        <v>0.05</v>
      </c>
      <c r="I1000" s="8" t="s">
        <v>66</v>
      </c>
      <c r="J1000" s="8" t="s">
        <v>18</v>
      </c>
      <c r="K1000" s="8" t="s">
        <v>41</v>
      </c>
      <c r="L1000">
        <v>21280</v>
      </c>
      <c r="M1000" s="8" t="s">
        <v>20</v>
      </c>
      <c r="N1000">
        <v>21280</v>
      </c>
      <c r="O1000" s="8" t="s">
        <v>1701</v>
      </c>
      <c r="P1000" s="8" t="s">
        <v>1560</v>
      </c>
      <c r="Q1000" s="8" t="s">
        <v>1559</v>
      </c>
      <c r="R1000" s="8" t="s">
        <v>1561</v>
      </c>
      <c r="S1000" s="8" t="s">
        <v>1542</v>
      </c>
      <c r="T1000" s="8" t="s">
        <v>1574</v>
      </c>
      <c r="U1000" s="8" t="s">
        <v>1575</v>
      </c>
      <c r="V1000">
        <v>11200</v>
      </c>
      <c r="W1000">
        <v>8300</v>
      </c>
      <c r="X1000">
        <v>0</v>
      </c>
      <c r="Y1000">
        <v>-16600</v>
      </c>
    </row>
    <row r="1001" spans="1:25" x14ac:dyDescent="0.3">
      <c r="A1001" s="8" t="s">
        <v>1340</v>
      </c>
      <c r="B1001" s="14">
        <v>46129</v>
      </c>
      <c r="C1001" s="8" t="s">
        <v>811</v>
      </c>
      <c r="D1001" s="8" t="s">
        <v>168</v>
      </c>
      <c r="E1001" s="8" t="s">
        <v>16</v>
      </c>
      <c r="F1001">
        <v>1</v>
      </c>
      <c r="G1001">
        <v>650</v>
      </c>
      <c r="H1001">
        <v>0.05</v>
      </c>
      <c r="I1001" s="8" t="s">
        <v>66</v>
      </c>
      <c r="J1001" s="8" t="s">
        <v>71</v>
      </c>
      <c r="K1001" s="8" t="s">
        <v>25</v>
      </c>
      <c r="L1001">
        <v>617.5</v>
      </c>
      <c r="M1001" s="8" t="s">
        <v>32</v>
      </c>
      <c r="N1001">
        <v>617.5</v>
      </c>
      <c r="O1001" s="8" t="s">
        <v>1701</v>
      </c>
      <c r="P1001" s="8" t="s">
        <v>1540</v>
      </c>
      <c r="Q1001" s="8" t="s">
        <v>1541</v>
      </c>
      <c r="R1001" s="8" t="s">
        <v>20</v>
      </c>
      <c r="S1001" s="8" t="s">
        <v>1542</v>
      </c>
      <c r="T1001" s="8" t="s">
        <v>1570</v>
      </c>
      <c r="U1001" s="8" t="s">
        <v>1571</v>
      </c>
      <c r="V1001">
        <v>650</v>
      </c>
      <c r="W1001">
        <v>390</v>
      </c>
      <c r="X1001">
        <v>0</v>
      </c>
      <c r="Y1001">
        <v>-390</v>
      </c>
    </row>
    <row r="1002" spans="1:25" x14ac:dyDescent="0.3">
      <c r="A1002" s="8" t="s">
        <v>1341</v>
      </c>
      <c r="B1002" s="14">
        <v>46084</v>
      </c>
      <c r="C1002" s="8" t="s">
        <v>522</v>
      </c>
      <c r="D1002" s="8" t="s">
        <v>152</v>
      </c>
      <c r="E1002" s="8" t="s">
        <v>161</v>
      </c>
      <c r="F1002">
        <v>1</v>
      </c>
      <c r="G1002">
        <v>2470</v>
      </c>
      <c r="H1002">
        <v>0.2</v>
      </c>
      <c r="I1002" s="8" t="s">
        <v>17</v>
      </c>
      <c r="J1002" s="8" t="s">
        <v>71</v>
      </c>
      <c r="K1002" s="8" t="s">
        <v>55</v>
      </c>
      <c r="L1002">
        <v>1976</v>
      </c>
      <c r="M1002" s="8" t="s">
        <v>59</v>
      </c>
      <c r="N1002">
        <v>1976</v>
      </c>
      <c r="O1002" s="8" t="s">
        <v>1701</v>
      </c>
      <c r="P1002" s="8" t="s">
        <v>1553</v>
      </c>
      <c r="Q1002" s="8" t="s">
        <v>1554</v>
      </c>
      <c r="R1002" s="8" t="s">
        <v>59</v>
      </c>
      <c r="S1002" s="8" t="s">
        <v>1542</v>
      </c>
      <c r="T1002" s="8" t="s">
        <v>1578</v>
      </c>
      <c r="U1002" s="8" t="s">
        <v>1571</v>
      </c>
      <c r="V1002">
        <v>2600</v>
      </c>
      <c r="W1002">
        <v>1750</v>
      </c>
      <c r="X1002">
        <v>1976</v>
      </c>
      <c r="Y1002">
        <v>226</v>
      </c>
    </row>
    <row r="1003" spans="1:25" x14ac:dyDescent="0.3">
      <c r="A1003" s="8" t="s">
        <v>1342</v>
      </c>
      <c r="B1003" s="14">
        <v>46126</v>
      </c>
      <c r="C1003" s="8" t="s">
        <v>317</v>
      </c>
      <c r="D1003" s="8" t="s">
        <v>77</v>
      </c>
      <c r="E1003" s="8" t="s">
        <v>36</v>
      </c>
      <c r="G1003">
        <v>1400</v>
      </c>
      <c r="H1003">
        <v>0.1</v>
      </c>
      <c r="I1003" s="8" t="s">
        <v>17</v>
      </c>
      <c r="J1003" s="8" t="s">
        <v>31</v>
      </c>
      <c r="K1003" s="8" t="s">
        <v>25</v>
      </c>
      <c r="L1003">
        <v>2520</v>
      </c>
      <c r="M1003" s="8" t="s">
        <v>32</v>
      </c>
      <c r="O1003" s="8" t="s">
        <v>1703</v>
      </c>
      <c r="P1003" s="8" t="s">
        <v>1564</v>
      </c>
      <c r="Q1003" s="8" t="s">
        <v>1563</v>
      </c>
      <c r="R1003" s="8" t="s">
        <v>1565</v>
      </c>
      <c r="S1003" s="8" t="s">
        <v>1542</v>
      </c>
      <c r="T1003" s="8" t="s">
        <v>1577</v>
      </c>
      <c r="U1003" s="8" t="s">
        <v>1571</v>
      </c>
      <c r="V1003">
        <v>1400</v>
      </c>
      <c r="W1003">
        <v>780</v>
      </c>
      <c r="X1003">
        <v>0</v>
      </c>
      <c r="Y1003">
        <v>0</v>
      </c>
    </row>
    <row r="1004" spans="1:25" x14ac:dyDescent="0.3">
      <c r="A1004" s="8" t="s">
        <v>1343</v>
      </c>
      <c r="B1004" s="14">
        <v>46183</v>
      </c>
      <c r="C1004" s="8" t="s">
        <v>146</v>
      </c>
      <c r="D1004" s="8" t="s">
        <v>77</v>
      </c>
      <c r="E1004" s="8" t="s">
        <v>135</v>
      </c>
      <c r="F1004">
        <v>4</v>
      </c>
      <c r="G1004">
        <v>16800</v>
      </c>
      <c r="H1004">
        <v>0</v>
      </c>
      <c r="I1004" s="8" t="s">
        <v>80</v>
      </c>
      <c r="J1004" s="8" t="s">
        <v>31</v>
      </c>
      <c r="K1004" s="8" t="s">
        <v>1698</v>
      </c>
      <c r="L1004">
        <v>67200</v>
      </c>
      <c r="M1004" s="8" t="s">
        <v>32</v>
      </c>
      <c r="N1004">
        <v>67200</v>
      </c>
      <c r="O1004" s="8" t="s">
        <v>1701</v>
      </c>
      <c r="P1004" s="8" t="s">
        <v>1564</v>
      </c>
      <c r="Q1004" s="8" t="s">
        <v>1563</v>
      </c>
      <c r="R1004" s="8" t="s">
        <v>1565</v>
      </c>
      <c r="S1004" s="8" t="s">
        <v>1542</v>
      </c>
      <c r="T1004" s="8" t="s">
        <v>1576</v>
      </c>
      <c r="U1004" s="8" t="s">
        <v>1575</v>
      </c>
      <c r="V1004">
        <v>16800</v>
      </c>
      <c r="W1004">
        <v>12600</v>
      </c>
      <c r="X1004">
        <v>0</v>
      </c>
      <c r="Y1004">
        <v>-50400</v>
      </c>
    </row>
    <row r="1005" spans="1:25" x14ac:dyDescent="0.3">
      <c r="A1005" s="8" t="s">
        <v>1344</v>
      </c>
      <c r="B1005" s="14">
        <v>46025</v>
      </c>
      <c r="C1005" s="8" t="s">
        <v>258</v>
      </c>
      <c r="D1005" s="8" t="s">
        <v>95</v>
      </c>
      <c r="E1005" s="8" t="s">
        <v>183</v>
      </c>
      <c r="F1005">
        <v>1</v>
      </c>
      <c r="G1005">
        <v>3040</v>
      </c>
      <c r="H1005">
        <v>0.15</v>
      </c>
      <c r="I1005" s="8" t="s">
        <v>17</v>
      </c>
      <c r="J1005" s="8" t="s">
        <v>31</v>
      </c>
      <c r="K1005" s="8" t="s">
        <v>41</v>
      </c>
      <c r="L1005">
        <v>2584</v>
      </c>
      <c r="M1005" s="8" t="s">
        <v>56</v>
      </c>
      <c r="N1005">
        <v>2584</v>
      </c>
      <c r="O1005" s="8" t="s">
        <v>1701</v>
      </c>
      <c r="P1005" s="8" t="s">
        <v>1556</v>
      </c>
      <c r="Q1005" s="8" t="s">
        <v>1554</v>
      </c>
      <c r="R1005" s="8" t="s">
        <v>1557</v>
      </c>
      <c r="S1005" s="8" t="s">
        <v>1542</v>
      </c>
      <c r="T1005" s="8" t="s">
        <v>1582</v>
      </c>
      <c r="U1005" s="8" t="s">
        <v>1583</v>
      </c>
      <c r="V1005">
        <v>3200</v>
      </c>
      <c r="W1005">
        <v>2050</v>
      </c>
      <c r="X1005">
        <v>2584</v>
      </c>
      <c r="Y1005">
        <v>534</v>
      </c>
    </row>
    <row r="1006" spans="1:25" x14ac:dyDescent="0.3">
      <c r="A1006" s="8" t="s">
        <v>1345</v>
      </c>
      <c r="B1006" s="14">
        <v>46185</v>
      </c>
      <c r="C1006" s="8" t="s">
        <v>391</v>
      </c>
      <c r="D1006" s="8" t="s">
        <v>95</v>
      </c>
      <c r="E1006" s="8" t="s">
        <v>36</v>
      </c>
      <c r="F1006">
        <v>1</v>
      </c>
      <c r="G1006">
        <v>1400</v>
      </c>
      <c r="H1006">
        <v>0.2</v>
      </c>
      <c r="I1006" s="8" t="s">
        <v>66</v>
      </c>
      <c r="J1006" s="8" t="s">
        <v>71</v>
      </c>
      <c r="K1006" s="8" t="s">
        <v>55</v>
      </c>
      <c r="L1006">
        <v>1120</v>
      </c>
      <c r="M1006" s="8" t="s">
        <v>26</v>
      </c>
      <c r="N1006">
        <v>1120</v>
      </c>
      <c r="O1006" s="8" t="s">
        <v>1701</v>
      </c>
      <c r="P1006" s="8" t="s">
        <v>1556</v>
      </c>
      <c r="Q1006" s="8" t="s">
        <v>1554</v>
      </c>
      <c r="R1006" s="8" t="s">
        <v>1557</v>
      </c>
      <c r="S1006" s="8" t="s">
        <v>1542</v>
      </c>
      <c r="T1006" s="8" t="s">
        <v>1577</v>
      </c>
      <c r="U1006" s="8" t="s">
        <v>1571</v>
      </c>
      <c r="V1006">
        <v>1400</v>
      </c>
      <c r="W1006">
        <v>780</v>
      </c>
      <c r="X1006">
        <v>0</v>
      </c>
      <c r="Y1006">
        <v>-780</v>
      </c>
    </row>
    <row r="1007" spans="1:25" x14ac:dyDescent="0.3">
      <c r="A1007" s="8" t="s">
        <v>1346</v>
      </c>
      <c r="B1007" s="14">
        <v>46191</v>
      </c>
      <c r="C1007" s="8" t="s">
        <v>294</v>
      </c>
      <c r="D1007" s="8" t="s">
        <v>168</v>
      </c>
      <c r="E1007" s="8" t="s">
        <v>135</v>
      </c>
      <c r="F1007">
        <v>1</v>
      </c>
      <c r="G1007">
        <v>15960</v>
      </c>
      <c r="H1007">
        <v>0</v>
      </c>
      <c r="I1007" s="8" t="s">
        <v>17</v>
      </c>
      <c r="J1007" s="8" t="s">
        <v>18</v>
      </c>
      <c r="K1007" s="8" t="s">
        <v>25</v>
      </c>
      <c r="L1007">
        <v>15960</v>
      </c>
      <c r="M1007" s="8" t="s">
        <v>42</v>
      </c>
      <c r="N1007">
        <v>15960</v>
      </c>
      <c r="O1007" s="8" t="s">
        <v>1701</v>
      </c>
      <c r="P1007" s="8" t="s">
        <v>1540</v>
      </c>
      <c r="Q1007" s="8" t="s">
        <v>1541</v>
      </c>
      <c r="R1007" s="8" t="s">
        <v>20</v>
      </c>
      <c r="S1007" s="8" t="s">
        <v>1542</v>
      </c>
      <c r="T1007" s="8" t="s">
        <v>1576</v>
      </c>
      <c r="U1007" s="8" t="s">
        <v>1575</v>
      </c>
      <c r="V1007">
        <v>16800</v>
      </c>
      <c r="W1007">
        <v>12600</v>
      </c>
      <c r="X1007">
        <v>15960</v>
      </c>
      <c r="Y1007">
        <v>3360</v>
      </c>
    </row>
    <row r="1008" spans="1:25" x14ac:dyDescent="0.3">
      <c r="A1008" s="8" t="s">
        <v>1347</v>
      </c>
      <c r="B1008" s="14">
        <v>46050</v>
      </c>
      <c r="C1008" s="8" t="s">
        <v>361</v>
      </c>
      <c r="D1008" s="8" t="s">
        <v>50</v>
      </c>
      <c r="E1008" s="8" t="s">
        <v>135</v>
      </c>
      <c r="F1008">
        <v>1</v>
      </c>
      <c r="G1008">
        <v>17640</v>
      </c>
      <c r="H1008">
        <v>0</v>
      </c>
      <c r="I1008" s="8" t="s">
        <v>17</v>
      </c>
      <c r="J1008" s="8" t="s">
        <v>71</v>
      </c>
      <c r="K1008" s="8" t="s">
        <v>55</v>
      </c>
      <c r="L1008">
        <v>17640</v>
      </c>
      <c r="M1008" s="8" t="s">
        <v>42</v>
      </c>
      <c r="N1008">
        <v>17640</v>
      </c>
      <c r="O1008" s="8" t="s">
        <v>1701</v>
      </c>
      <c r="P1008" s="8" t="s">
        <v>1544</v>
      </c>
      <c r="Q1008" s="8" t="s">
        <v>1541</v>
      </c>
      <c r="R1008" s="8" t="s">
        <v>26</v>
      </c>
      <c r="S1008" s="8" t="s">
        <v>1542</v>
      </c>
      <c r="T1008" s="8" t="s">
        <v>1576</v>
      </c>
      <c r="U1008" s="8" t="s">
        <v>1575</v>
      </c>
      <c r="V1008">
        <v>16800</v>
      </c>
      <c r="W1008">
        <v>12600</v>
      </c>
      <c r="X1008">
        <v>17640</v>
      </c>
      <c r="Y1008">
        <v>5040</v>
      </c>
    </row>
    <row r="1009" spans="1:25" x14ac:dyDescent="0.3">
      <c r="A1009" s="8" t="s">
        <v>1348</v>
      </c>
      <c r="B1009" s="14">
        <v>46148</v>
      </c>
      <c r="C1009" s="8" t="s">
        <v>44</v>
      </c>
      <c r="D1009" s="8" t="s">
        <v>29</v>
      </c>
      <c r="E1009" s="8" t="s">
        <v>16</v>
      </c>
      <c r="F1009">
        <v>2</v>
      </c>
      <c r="G1009">
        <v>617.5</v>
      </c>
      <c r="H1009">
        <v>0.1</v>
      </c>
      <c r="I1009" s="8" t="s">
        <v>80</v>
      </c>
      <c r="J1009" s="8" t="s">
        <v>18</v>
      </c>
      <c r="K1009" s="8" t="s">
        <v>55</v>
      </c>
      <c r="L1009">
        <v>1111.5</v>
      </c>
      <c r="M1009" s="8" t="s">
        <v>138</v>
      </c>
      <c r="N1009">
        <v>1111.5</v>
      </c>
      <c r="O1009" s="8" t="s">
        <v>1701</v>
      </c>
      <c r="P1009" s="8" t="s">
        <v>1560</v>
      </c>
      <c r="Q1009" s="8" t="s">
        <v>1559</v>
      </c>
      <c r="R1009" s="8" t="s">
        <v>1561</v>
      </c>
      <c r="S1009" s="8" t="s">
        <v>1542</v>
      </c>
      <c r="T1009" s="8" t="s">
        <v>1570</v>
      </c>
      <c r="U1009" s="8" t="s">
        <v>1571</v>
      </c>
      <c r="V1009">
        <v>650</v>
      </c>
      <c r="W1009">
        <v>390</v>
      </c>
      <c r="X1009">
        <v>0</v>
      </c>
      <c r="Y1009">
        <v>-780</v>
      </c>
    </row>
    <row r="1010" spans="1:25" x14ac:dyDescent="0.3">
      <c r="A1010" s="8" t="s">
        <v>1349</v>
      </c>
      <c r="B1010" s="14">
        <v>46185</v>
      </c>
      <c r="C1010" s="8" t="s">
        <v>444</v>
      </c>
      <c r="D1010" s="8" t="s">
        <v>77</v>
      </c>
      <c r="E1010" s="8" t="s">
        <v>46</v>
      </c>
      <c r="F1010">
        <v>4</v>
      </c>
      <c r="G1010">
        <v>7800</v>
      </c>
      <c r="H1010">
        <v>0</v>
      </c>
      <c r="I1010" s="8" t="s">
        <v>17</v>
      </c>
      <c r="J1010" s="8" t="s">
        <v>31</v>
      </c>
      <c r="K1010" s="8" t="s">
        <v>67</v>
      </c>
      <c r="L1010">
        <v>31200</v>
      </c>
      <c r="M1010" s="8" t="s">
        <v>138</v>
      </c>
      <c r="N1010">
        <v>31200</v>
      </c>
      <c r="O1010" s="8" t="s">
        <v>1701</v>
      </c>
      <c r="P1010" s="8" t="s">
        <v>1564</v>
      </c>
      <c r="Q1010" s="8" t="s">
        <v>1563</v>
      </c>
      <c r="R1010" s="8" t="s">
        <v>1565</v>
      </c>
      <c r="S1010" s="8" t="s">
        <v>1542</v>
      </c>
      <c r="T1010" s="8" t="s">
        <v>1579</v>
      </c>
      <c r="U1010" s="8" t="s">
        <v>1580</v>
      </c>
      <c r="V1010">
        <v>7800</v>
      </c>
      <c r="W1010">
        <v>5200</v>
      </c>
      <c r="X1010">
        <v>31200</v>
      </c>
      <c r="Y1010">
        <v>10400</v>
      </c>
    </row>
    <row r="1011" spans="1:25" x14ac:dyDescent="0.3">
      <c r="A1011" s="8" t="s">
        <v>1350</v>
      </c>
      <c r="B1011" s="14">
        <v>46146</v>
      </c>
      <c r="C1011" s="8" t="s">
        <v>221</v>
      </c>
      <c r="D1011" s="8" t="s">
        <v>40</v>
      </c>
      <c r="E1011" s="8" t="s">
        <v>183</v>
      </c>
      <c r="F1011">
        <v>2</v>
      </c>
      <c r="G1011">
        <v>3200</v>
      </c>
      <c r="H1011">
        <v>0</v>
      </c>
      <c r="I1011" s="8" t="s">
        <v>17</v>
      </c>
      <c r="J1011" s="8" t="s">
        <v>71</v>
      </c>
      <c r="K1011" s="8" t="s">
        <v>25</v>
      </c>
      <c r="L1011">
        <v>6400</v>
      </c>
      <c r="M1011" s="8" t="s">
        <v>20</v>
      </c>
      <c r="N1011">
        <v>6400</v>
      </c>
      <c r="O1011" s="8" t="s">
        <v>1701</v>
      </c>
      <c r="P1011" s="8" t="s">
        <v>1555</v>
      </c>
      <c r="Q1011" s="8" t="s">
        <v>1554</v>
      </c>
      <c r="R1011" s="8" t="s">
        <v>82</v>
      </c>
      <c r="S1011" s="8" t="s">
        <v>1542</v>
      </c>
      <c r="T1011" s="8" t="s">
        <v>1582</v>
      </c>
      <c r="U1011" s="8" t="s">
        <v>1583</v>
      </c>
      <c r="V1011">
        <v>3200</v>
      </c>
      <c r="W1011">
        <v>2050</v>
      </c>
      <c r="X1011">
        <v>6400</v>
      </c>
      <c r="Y1011">
        <v>2300</v>
      </c>
    </row>
    <row r="1012" spans="1:25" x14ac:dyDescent="0.3">
      <c r="A1012" s="8" t="s">
        <v>1351</v>
      </c>
      <c r="B1012" s="14">
        <v>46160</v>
      </c>
      <c r="C1012" s="8" t="s">
        <v>65</v>
      </c>
      <c r="D1012" s="8" t="s">
        <v>168</v>
      </c>
      <c r="E1012" s="8" t="s">
        <v>51</v>
      </c>
      <c r="F1012">
        <v>2</v>
      </c>
      <c r="G1012">
        <v>18500</v>
      </c>
      <c r="H1012">
        <v>0</v>
      </c>
      <c r="I1012" s="8" t="s">
        <v>17</v>
      </c>
      <c r="J1012" s="8" t="s">
        <v>71</v>
      </c>
      <c r="K1012" s="8" t="s">
        <v>1698</v>
      </c>
      <c r="L1012">
        <v>37000</v>
      </c>
      <c r="M1012" s="8" t="s">
        <v>138</v>
      </c>
      <c r="N1012">
        <v>37000</v>
      </c>
      <c r="O1012" s="8" t="s">
        <v>1701</v>
      </c>
      <c r="P1012" s="8" t="s">
        <v>1540</v>
      </c>
      <c r="Q1012" s="8" t="s">
        <v>1541</v>
      </c>
      <c r="R1012" s="8" t="s">
        <v>20</v>
      </c>
      <c r="S1012" s="8" t="s">
        <v>1542</v>
      </c>
      <c r="T1012" s="8" t="s">
        <v>1581</v>
      </c>
      <c r="U1012" s="8" t="s">
        <v>1580</v>
      </c>
      <c r="V1012">
        <v>18500</v>
      </c>
      <c r="W1012">
        <v>13900</v>
      </c>
      <c r="X1012">
        <v>37000</v>
      </c>
      <c r="Y1012">
        <v>9200</v>
      </c>
    </row>
    <row r="1013" spans="1:25" x14ac:dyDescent="0.3">
      <c r="A1013" s="8" t="s">
        <v>1352</v>
      </c>
      <c r="B1013" s="14">
        <v>46058</v>
      </c>
      <c r="C1013" s="8" t="s">
        <v>332</v>
      </c>
      <c r="D1013" s="8" t="s">
        <v>23</v>
      </c>
      <c r="E1013" s="8" t="s">
        <v>63</v>
      </c>
      <c r="F1013">
        <v>3</v>
      </c>
      <c r="G1013">
        <v>2310</v>
      </c>
      <c r="H1013">
        <v>0</v>
      </c>
      <c r="I1013" s="8" t="s">
        <v>17</v>
      </c>
      <c r="J1013" s="8" t="s">
        <v>31</v>
      </c>
      <c r="K1013" s="8" t="s">
        <v>67</v>
      </c>
      <c r="L1013">
        <v>6930</v>
      </c>
      <c r="M1013" s="8" t="s">
        <v>82</v>
      </c>
      <c r="N1013">
        <v>6930</v>
      </c>
      <c r="O1013" s="8" t="s">
        <v>1701</v>
      </c>
      <c r="P1013" s="8" t="s">
        <v>1545</v>
      </c>
      <c r="Q1013" s="8" t="s">
        <v>1541</v>
      </c>
      <c r="R1013" s="8" t="s">
        <v>1546</v>
      </c>
      <c r="S1013" s="8" t="s">
        <v>1542</v>
      </c>
      <c r="T1013" s="8" t="s">
        <v>1572</v>
      </c>
      <c r="U1013" s="8" t="s">
        <v>1571</v>
      </c>
      <c r="V1013">
        <v>2200</v>
      </c>
      <c r="W1013">
        <v>1450</v>
      </c>
      <c r="X1013">
        <v>6930</v>
      </c>
      <c r="Y1013">
        <v>2580</v>
      </c>
    </row>
    <row r="1014" spans="1:25" x14ac:dyDescent="0.3">
      <c r="A1014" s="8" t="s">
        <v>1353</v>
      </c>
      <c r="B1014" s="14">
        <v>46189</v>
      </c>
      <c r="C1014" s="8" t="s">
        <v>801</v>
      </c>
      <c r="D1014" s="8" t="s">
        <v>45</v>
      </c>
      <c r="E1014" s="8" t="s">
        <v>46</v>
      </c>
      <c r="F1014">
        <v>4</v>
      </c>
      <c r="G1014">
        <v>8190</v>
      </c>
      <c r="H1014">
        <v>0.1</v>
      </c>
      <c r="I1014" s="8" t="s">
        <v>17</v>
      </c>
      <c r="J1014" s="8" t="s">
        <v>47</v>
      </c>
      <c r="K1014" s="8" t="s">
        <v>41</v>
      </c>
      <c r="L1014">
        <v>29484</v>
      </c>
      <c r="M1014" s="8" t="s">
        <v>52</v>
      </c>
      <c r="N1014">
        <v>29484</v>
      </c>
      <c r="O1014" s="8" t="s">
        <v>1701</v>
      </c>
      <c r="P1014" s="8" t="s">
        <v>1547</v>
      </c>
      <c r="Q1014" s="8" t="s">
        <v>1541</v>
      </c>
      <c r="R1014" s="8" t="s">
        <v>56</v>
      </c>
      <c r="S1014" s="8" t="s">
        <v>1542</v>
      </c>
      <c r="T1014" s="8" t="s">
        <v>1579</v>
      </c>
      <c r="U1014" s="8" t="s">
        <v>1580</v>
      </c>
      <c r="V1014">
        <v>7800</v>
      </c>
      <c r="W1014">
        <v>5200</v>
      </c>
      <c r="X1014">
        <v>29484</v>
      </c>
      <c r="Y1014">
        <v>8684</v>
      </c>
    </row>
    <row r="1015" spans="1:25" x14ac:dyDescent="0.3">
      <c r="A1015" s="8" t="s">
        <v>1354</v>
      </c>
      <c r="B1015" s="14">
        <v>46198</v>
      </c>
      <c r="C1015" s="8" t="s">
        <v>165</v>
      </c>
      <c r="D1015" s="8" t="s">
        <v>90</v>
      </c>
      <c r="E1015" s="8" t="s">
        <v>85</v>
      </c>
      <c r="F1015">
        <v>1</v>
      </c>
      <c r="G1015">
        <v>48500</v>
      </c>
      <c r="H1015">
        <v>0.1</v>
      </c>
      <c r="I1015" s="8" t="s">
        <v>17</v>
      </c>
      <c r="J1015" s="8" t="s">
        <v>71</v>
      </c>
      <c r="K1015" s="8" t="s">
        <v>55</v>
      </c>
      <c r="L1015">
        <v>43650</v>
      </c>
      <c r="M1015" s="8" t="s">
        <v>32</v>
      </c>
      <c r="N1015">
        <v>43650</v>
      </c>
      <c r="O1015" s="8" t="s">
        <v>1701</v>
      </c>
      <c r="P1015" s="8" t="s">
        <v>1562</v>
      </c>
      <c r="Q1015" s="8" t="s">
        <v>1563</v>
      </c>
      <c r="R1015" s="8" t="s">
        <v>48</v>
      </c>
      <c r="S1015" s="8" t="s">
        <v>1542</v>
      </c>
      <c r="T1015" s="8" t="s">
        <v>1585</v>
      </c>
      <c r="U1015" s="8" t="s">
        <v>1586</v>
      </c>
      <c r="V1015">
        <v>48500</v>
      </c>
      <c r="W1015">
        <v>41200</v>
      </c>
      <c r="X1015">
        <v>43650</v>
      </c>
      <c r="Y1015">
        <v>2450</v>
      </c>
    </row>
    <row r="1016" spans="1:25" x14ac:dyDescent="0.3">
      <c r="A1016" s="8" t="s">
        <v>1355</v>
      </c>
      <c r="B1016" s="14">
        <v>46137</v>
      </c>
      <c r="C1016" s="8" t="s">
        <v>522</v>
      </c>
      <c r="D1016" s="8" t="s">
        <v>70</v>
      </c>
      <c r="E1016" s="8" t="s">
        <v>183</v>
      </c>
      <c r="F1016">
        <v>4</v>
      </c>
      <c r="G1016">
        <v>3360</v>
      </c>
      <c r="H1016">
        <v>0.05</v>
      </c>
      <c r="I1016" s="8" t="s">
        <v>17</v>
      </c>
      <c r="J1016" s="8" t="s">
        <v>71</v>
      </c>
      <c r="K1016" s="8" t="s">
        <v>25</v>
      </c>
      <c r="L1016">
        <v>12768</v>
      </c>
      <c r="M1016" s="8" t="s">
        <v>138</v>
      </c>
      <c r="N1016">
        <v>12768</v>
      </c>
      <c r="O1016" s="8" t="s">
        <v>1701</v>
      </c>
      <c r="P1016" s="8" t="s">
        <v>1550</v>
      </c>
      <c r="Q1016" s="8" t="s">
        <v>1549</v>
      </c>
      <c r="R1016" s="8" t="s">
        <v>32</v>
      </c>
      <c r="S1016" s="8" t="s">
        <v>1542</v>
      </c>
      <c r="T1016" s="8" t="s">
        <v>1582</v>
      </c>
      <c r="U1016" s="8" t="s">
        <v>1583</v>
      </c>
      <c r="V1016">
        <v>3200</v>
      </c>
      <c r="W1016">
        <v>2050</v>
      </c>
      <c r="X1016">
        <v>12768</v>
      </c>
      <c r="Y1016">
        <v>4568</v>
      </c>
    </row>
    <row r="1017" spans="1:25" x14ac:dyDescent="0.3">
      <c r="A1017" s="8" t="s">
        <v>1356</v>
      </c>
      <c r="B1017" s="14">
        <v>46118</v>
      </c>
      <c r="C1017" s="8" t="s">
        <v>700</v>
      </c>
      <c r="D1017" s="8" t="s">
        <v>77</v>
      </c>
      <c r="E1017" s="8" t="s">
        <v>74</v>
      </c>
      <c r="F1017">
        <v>4</v>
      </c>
      <c r="G1017">
        <v>2280</v>
      </c>
      <c r="H1017">
        <v>0.1</v>
      </c>
      <c r="I1017" s="8" t="s">
        <v>17</v>
      </c>
      <c r="J1017" s="8" t="s">
        <v>18</v>
      </c>
      <c r="K1017" s="8" t="s">
        <v>67</v>
      </c>
      <c r="L1017">
        <v>8208</v>
      </c>
      <c r="M1017" s="8" t="s">
        <v>48</v>
      </c>
      <c r="N1017">
        <v>8208</v>
      </c>
      <c r="O1017" s="8" t="s">
        <v>1701</v>
      </c>
      <c r="P1017" s="8" t="s">
        <v>1564</v>
      </c>
      <c r="Q1017" s="8" t="s">
        <v>1563</v>
      </c>
      <c r="R1017" s="8" t="s">
        <v>1565</v>
      </c>
      <c r="S1017" s="8" t="s">
        <v>1542</v>
      </c>
      <c r="T1017" s="8" t="s">
        <v>1584</v>
      </c>
      <c r="U1017" s="8" t="s">
        <v>1583</v>
      </c>
      <c r="V1017">
        <v>2400</v>
      </c>
      <c r="W1017">
        <v>1480</v>
      </c>
      <c r="X1017">
        <v>8208</v>
      </c>
      <c r="Y1017">
        <v>2288</v>
      </c>
    </row>
    <row r="1018" spans="1:25" x14ac:dyDescent="0.3">
      <c r="A1018" s="8" t="s">
        <v>1357</v>
      </c>
      <c r="B1018" s="14">
        <v>46188</v>
      </c>
      <c r="C1018" s="8" t="s">
        <v>522</v>
      </c>
      <c r="D1018" s="8" t="s">
        <v>152</v>
      </c>
      <c r="E1018" s="8" t="s">
        <v>36</v>
      </c>
      <c r="F1018">
        <v>2</v>
      </c>
      <c r="G1018">
        <v>1400</v>
      </c>
      <c r="H1018">
        <v>0</v>
      </c>
      <c r="I1018" s="8" t="s">
        <v>17</v>
      </c>
      <c r="J1018" s="8" t="s">
        <v>71</v>
      </c>
      <c r="K1018" s="8" t="s">
        <v>67</v>
      </c>
      <c r="L1018">
        <v>2800</v>
      </c>
      <c r="M1018" s="8" t="s">
        <v>52</v>
      </c>
      <c r="N1018">
        <v>2800</v>
      </c>
      <c r="O1018" s="8" t="s">
        <v>1701</v>
      </c>
      <c r="P1018" s="8" t="s">
        <v>1553</v>
      </c>
      <c r="Q1018" s="8" t="s">
        <v>1554</v>
      </c>
      <c r="R1018" s="8" t="s">
        <v>59</v>
      </c>
      <c r="S1018" s="8" t="s">
        <v>1542</v>
      </c>
      <c r="T1018" s="8" t="s">
        <v>1577</v>
      </c>
      <c r="U1018" s="8" t="s">
        <v>1571</v>
      </c>
      <c r="V1018">
        <v>1400</v>
      </c>
      <c r="W1018">
        <v>780</v>
      </c>
      <c r="X1018">
        <v>2800</v>
      </c>
      <c r="Y1018">
        <v>1240</v>
      </c>
    </row>
    <row r="1019" spans="1:25" x14ac:dyDescent="0.3">
      <c r="A1019" s="8" t="s">
        <v>1358</v>
      </c>
      <c r="B1019" s="14">
        <v>46041</v>
      </c>
      <c r="C1019" s="8" t="s">
        <v>111</v>
      </c>
      <c r="D1019" s="8" t="s">
        <v>23</v>
      </c>
      <c r="E1019" s="8" t="s">
        <v>74</v>
      </c>
      <c r="F1019">
        <v>2</v>
      </c>
      <c r="G1019">
        <v>2280</v>
      </c>
      <c r="H1019">
        <v>0</v>
      </c>
      <c r="I1019" s="8" t="s">
        <v>17</v>
      </c>
      <c r="J1019" s="8" t="s">
        <v>47</v>
      </c>
      <c r="K1019" s="8" t="s">
        <v>1698</v>
      </c>
      <c r="L1019">
        <v>4560</v>
      </c>
      <c r="M1019" s="8" t="s">
        <v>138</v>
      </c>
      <c r="N1019">
        <v>4560</v>
      </c>
      <c r="O1019" s="8" t="s">
        <v>1701</v>
      </c>
      <c r="P1019" s="8" t="s">
        <v>1545</v>
      </c>
      <c r="Q1019" s="8" t="s">
        <v>1541</v>
      </c>
      <c r="R1019" s="8" t="s">
        <v>1546</v>
      </c>
      <c r="S1019" s="8" t="s">
        <v>1542</v>
      </c>
      <c r="T1019" s="8" t="s">
        <v>1584</v>
      </c>
      <c r="U1019" s="8" t="s">
        <v>1583</v>
      </c>
      <c r="V1019">
        <v>2400</v>
      </c>
      <c r="W1019">
        <v>1480</v>
      </c>
      <c r="X1019">
        <v>4560</v>
      </c>
      <c r="Y1019">
        <v>1600</v>
      </c>
    </row>
    <row r="1020" spans="1:25" x14ac:dyDescent="0.3">
      <c r="A1020" s="8" t="s">
        <v>1359</v>
      </c>
      <c r="B1020" s="14">
        <v>46077</v>
      </c>
      <c r="C1020" s="8" t="s">
        <v>321</v>
      </c>
      <c r="D1020" s="8" t="s">
        <v>62</v>
      </c>
      <c r="E1020" s="8" t="s">
        <v>183</v>
      </c>
      <c r="F1020">
        <v>4</v>
      </c>
      <c r="G1020">
        <v>3360</v>
      </c>
      <c r="H1020">
        <v>0</v>
      </c>
      <c r="I1020" s="8" t="s">
        <v>17</v>
      </c>
      <c r="J1020" s="8" t="s">
        <v>71</v>
      </c>
      <c r="K1020" s="8" t="s">
        <v>25</v>
      </c>
      <c r="L1020">
        <v>13440</v>
      </c>
      <c r="M1020" s="8" t="s">
        <v>52</v>
      </c>
      <c r="N1020">
        <v>13440</v>
      </c>
      <c r="O1020" s="8" t="s">
        <v>1701</v>
      </c>
      <c r="P1020" s="8" t="s">
        <v>1551</v>
      </c>
      <c r="Q1020" s="8" t="s">
        <v>1549</v>
      </c>
      <c r="R1020" s="8" t="s">
        <v>1552</v>
      </c>
      <c r="S1020" s="8" t="s">
        <v>1542</v>
      </c>
      <c r="T1020" s="8" t="s">
        <v>1582</v>
      </c>
      <c r="U1020" s="8" t="s">
        <v>1583</v>
      </c>
      <c r="V1020">
        <v>3200</v>
      </c>
      <c r="W1020">
        <v>2050</v>
      </c>
      <c r="X1020">
        <v>13440</v>
      </c>
      <c r="Y1020">
        <v>5240</v>
      </c>
    </row>
    <row r="1021" spans="1:25" x14ac:dyDescent="0.3">
      <c r="A1021" s="8" t="s">
        <v>1360</v>
      </c>
      <c r="B1021" s="14">
        <v>46049</v>
      </c>
      <c r="C1021" s="8" t="s">
        <v>607</v>
      </c>
      <c r="D1021" s="8" t="s">
        <v>152</v>
      </c>
      <c r="E1021" s="8" t="s">
        <v>135</v>
      </c>
      <c r="F1021">
        <v>3</v>
      </c>
      <c r="G1021">
        <v>17640</v>
      </c>
      <c r="H1021">
        <v>0.2</v>
      </c>
      <c r="I1021" s="8" t="s">
        <v>17</v>
      </c>
      <c r="J1021" s="8" t="s">
        <v>47</v>
      </c>
      <c r="K1021" s="8" t="s">
        <v>67</v>
      </c>
      <c r="L1021">
        <v>42336</v>
      </c>
      <c r="M1021" s="8" t="s">
        <v>52</v>
      </c>
      <c r="N1021">
        <v>42336</v>
      </c>
      <c r="O1021" s="8" t="s">
        <v>1701</v>
      </c>
      <c r="P1021" s="8" t="s">
        <v>1553</v>
      </c>
      <c r="Q1021" s="8" t="s">
        <v>1554</v>
      </c>
      <c r="R1021" s="8" t="s">
        <v>59</v>
      </c>
      <c r="S1021" s="8" t="s">
        <v>1542</v>
      </c>
      <c r="T1021" s="8" t="s">
        <v>1576</v>
      </c>
      <c r="U1021" s="8" t="s">
        <v>1575</v>
      </c>
      <c r="V1021">
        <v>16800</v>
      </c>
      <c r="W1021">
        <v>12600</v>
      </c>
      <c r="X1021">
        <v>42336</v>
      </c>
      <c r="Y1021">
        <v>4536</v>
      </c>
    </row>
    <row r="1022" spans="1:25" x14ac:dyDescent="0.3">
      <c r="A1022" s="8" t="s">
        <v>1361</v>
      </c>
      <c r="B1022" s="14">
        <v>46073</v>
      </c>
      <c r="C1022" s="8" t="s">
        <v>84</v>
      </c>
      <c r="D1022" s="8" t="s">
        <v>168</v>
      </c>
      <c r="E1022" s="8" t="s">
        <v>46</v>
      </c>
      <c r="F1022">
        <v>2</v>
      </c>
      <c r="G1022">
        <v>7410</v>
      </c>
      <c r="H1022">
        <v>0.05</v>
      </c>
      <c r="I1022" s="8" t="s">
        <v>17</v>
      </c>
      <c r="J1022" s="8" t="s">
        <v>71</v>
      </c>
      <c r="K1022" s="8" t="s">
        <v>25</v>
      </c>
      <c r="L1022">
        <v>14079</v>
      </c>
      <c r="M1022" s="8" t="s">
        <v>138</v>
      </c>
      <c r="N1022">
        <v>14079</v>
      </c>
      <c r="O1022" s="8" t="s">
        <v>1701</v>
      </c>
      <c r="P1022" s="8" t="s">
        <v>1540</v>
      </c>
      <c r="Q1022" s="8" t="s">
        <v>1541</v>
      </c>
      <c r="R1022" s="8" t="s">
        <v>20</v>
      </c>
      <c r="S1022" s="8" t="s">
        <v>1542</v>
      </c>
      <c r="T1022" s="8" t="s">
        <v>1579</v>
      </c>
      <c r="U1022" s="8" t="s">
        <v>1580</v>
      </c>
      <c r="V1022">
        <v>7800</v>
      </c>
      <c r="W1022">
        <v>5200</v>
      </c>
      <c r="X1022">
        <v>14079</v>
      </c>
      <c r="Y1022">
        <v>3679</v>
      </c>
    </row>
    <row r="1023" spans="1:25" x14ac:dyDescent="0.3">
      <c r="A1023" s="8" t="s">
        <v>1362</v>
      </c>
      <c r="B1023" s="14">
        <v>46174</v>
      </c>
      <c r="C1023" s="8" t="s">
        <v>224</v>
      </c>
      <c r="D1023" s="8" t="s">
        <v>70</v>
      </c>
      <c r="E1023" s="8" t="s">
        <v>24</v>
      </c>
      <c r="F1023">
        <v>3</v>
      </c>
      <c r="G1023">
        <v>10640</v>
      </c>
      <c r="H1023">
        <v>0.05</v>
      </c>
      <c r="I1023" s="8" t="s">
        <v>17</v>
      </c>
      <c r="J1023" s="8" t="s">
        <v>47</v>
      </c>
      <c r="K1023" s="8" t="s">
        <v>41</v>
      </c>
      <c r="L1023">
        <v>30324</v>
      </c>
      <c r="M1023" s="8" t="s">
        <v>32</v>
      </c>
      <c r="N1023">
        <v>30324</v>
      </c>
      <c r="O1023" s="8" t="s">
        <v>1701</v>
      </c>
      <c r="P1023" s="8" t="s">
        <v>1550</v>
      </c>
      <c r="Q1023" s="8" t="s">
        <v>1549</v>
      </c>
      <c r="R1023" s="8" t="s">
        <v>32</v>
      </c>
      <c r="S1023" s="8" t="s">
        <v>1542</v>
      </c>
      <c r="T1023" s="8" t="s">
        <v>1574</v>
      </c>
      <c r="U1023" s="8" t="s">
        <v>1575</v>
      </c>
      <c r="V1023">
        <v>11200</v>
      </c>
      <c r="W1023">
        <v>8300</v>
      </c>
      <c r="X1023">
        <v>30324</v>
      </c>
      <c r="Y1023">
        <v>5424</v>
      </c>
    </row>
    <row r="1024" spans="1:25" x14ac:dyDescent="0.3">
      <c r="A1024" s="8" t="s">
        <v>1363</v>
      </c>
      <c r="B1024" s="14">
        <v>46032</v>
      </c>
      <c r="C1024" s="8" t="s">
        <v>113</v>
      </c>
      <c r="D1024" s="8" t="s">
        <v>77</v>
      </c>
      <c r="E1024" s="8" t="s">
        <v>51</v>
      </c>
      <c r="F1024">
        <v>5</v>
      </c>
      <c r="G1024">
        <v>17575</v>
      </c>
      <c r="H1024">
        <v>0</v>
      </c>
      <c r="I1024" s="8" t="s">
        <v>17</v>
      </c>
      <c r="J1024" s="8" t="s">
        <v>18</v>
      </c>
      <c r="K1024" s="8" t="s">
        <v>1698</v>
      </c>
      <c r="L1024">
        <v>87875</v>
      </c>
      <c r="M1024" s="8" t="s">
        <v>32</v>
      </c>
      <c r="N1024">
        <v>87875</v>
      </c>
      <c r="O1024" s="8" t="s">
        <v>1701</v>
      </c>
      <c r="P1024" s="8" t="s">
        <v>1564</v>
      </c>
      <c r="Q1024" s="8" t="s">
        <v>1563</v>
      </c>
      <c r="R1024" s="8" t="s">
        <v>1565</v>
      </c>
      <c r="S1024" s="8" t="s">
        <v>1542</v>
      </c>
      <c r="T1024" s="8" t="s">
        <v>1581</v>
      </c>
      <c r="U1024" s="8" t="s">
        <v>1580</v>
      </c>
      <c r="V1024">
        <v>18500</v>
      </c>
      <c r="W1024">
        <v>13900</v>
      </c>
      <c r="X1024">
        <v>87875</v>
      </c>
      <c r="Y1024">
        <v>18375</v>
      </c>
    </row>
    <row r="1025" spans="1:25" x14ac:dyDescent="0.3">
      <c r="A1025" s="8" t="s">
        <v>1364</v>
      </c>
      <c r="B1025" s="14">
        <v>46100</v>
      </c>
      <c r="C1025" s="8" t="s">
        <v>851</v>
      </c>
      <c r="D1025" s="8" t="s">
        <v>45</v>
      </c>
      <c r="E1025" s="8" t="s">
        <v>36</v>
      </c>
      <c r="F1025">
        <v>4</v>
      </c>
      <c r="G1025">
        <v>1400</v>
      </c>
      <c r="H1025">
        <v>0.1</v>
      </c>
      <c r="I1025" s="8" t="s">
        <v>17</v>
      </c>
      <c r="J1025" s="8" t="s">
        <v>31</v>
      </c>
      <c r="K1025" s="8" t="s">
        <v>55</v>
      </c>
      <c r="L1025">
        <v>5040</v>
      </c>
      <c r="M1025" s="8" t="s">
        <v>26</v>
      </c>
      <c r="N1025">
        <v>5040</v>
      </c>
      <c r="O1025" s="8" t="s">
        <v>1701</v>
      </c>
      <c r="P1025" s="8" t="s">
        <v>1547</v>
      </c>
      <c r="Q1025" s="8" t="s">
        <v>1541</v>
      </c>
      <c r="R1025" s="8" t="s">
        <v>56</v>
      </c>
      <c r="S1025" s="8" t="s">
        <v>1542</v>
      </c>
      <c r="T1025" s="8" t="s">
        <v>1577</v>
      </c>
      <c r="U1025" s="8" t="s">
        <v>1571</v>
      </c>
      <c r="V1025">
        <v>1400</v>
      </c>
      <c r="W1025">
        <v>780</v>
      </c>
      <c r="X1025">
        <v>5040</v>
      </c>
      <c r="Y1025">
        <v>1920</v>
      </c>
    </row>
    <row r="1026" spans="1:25" x14ac:dyDescent="0.3">
      <c r="A1026" s="8" t="s">
        <v>1365</v>
      </c>
      <c r="B1026" s="14">
        <v>46201</v>
      </c>
      <c r="C1026" s="8" t="s">
        <v>378</v>
      </c>
      <c r="D1026" s="8" t="s">
        <v>62</v>
      </c>
      <c r="E1026" s="8" t="s">
        <v>46</v>
      </c>
      <c r="F1026">
        <v>4</v>
      </c>
      <c r="G1026">
        <v>7410</v>
      </c>
      <c r="H1026">
        <v>0</v>
      </c>
      <c r="I1026" s="8" t="s">
        <v>66</v>
      </c>
      <c r="J1026" s="8" t="s">
        <v>71</v>
      </c>
      <c r="K1026" s="8" t="s">
        <v>1698</v>
      </c>
      <c r="L1026">
        <v>29640</v>
      </c>
      <c r="M1026" s="8" t="s">
        <v>20</v>
      </c>
      <c r="N1026">
        <v>29640</v>
      </c>
      <c r="O1026" s="8" t="s">
        <v>1701</v>
      </c>
      <c r="P1026" s="8" t="s">
        <v>1551</v>
      </c>
      <c r="Q1026" s="8" t="s">
        <v>1549</v>
      </c>
      <c r="R1026" s="8" t="s">
        <v>1552</v>
      </c>
      <c r="S1026" s="8" t="s">
        <v>1542</v>
      </c>
      <c r="T1026" s="8" t="s">
        <v>1579</v>
      </c>
      <c r="U1026" s="8" t="s">
        <v>1580</v>
      </c>
      <c r="V1026">
        <v>7800</v>
      </c>
      <c r="W1026">
        <v>5200</v>
      </c>
      <c r="X1026">
        <v>0</v>
      </c>
      <c r="Y1026">
        <v>-20800</v>
      </c>
    </row>
    <row r="1027" spans="1:25" x14ac:dyDescent="0.3">
      <c r="A1027" s="8" t="s">
        <v>1366</v>
      </c>
      <c r="B1027" s="14">
        <v>46058</v>
      </c>
      <c r="C1027" s="8" t="s">
        <v>304</v>
      </c>
      <c r="D1027" s="8" t="s">
        <v>15</v>
      </c>
      <c r="E1027" s="8" t="s">
        <v>36</v>
      </c>
      <c r="F1027">
        <v>5</v>
      </c>
      <c r="G1027">
        <v>1400</v>
      </c>
      <c r="H1027">
        <v>0.2</v>
      </c>
      <c r="I1027" s="8" t="s">
        <v>17</v>
      </c>
      <c r="J1027" s="8" t="s">
        <v>71</v>
      </c>
      <c r="K1027" s="8" t="s">
        <v>67</v>
      </c>
      <c r="L1027">
        <v>5600</v>
      </c>
      <c r="M1027" s="8" t="s">
        <v>82</v>
      </c>
      <c r="N1027">
        <v>5600</v>
      </c>
      <c r="O1027" s="8" t="s">
        <v>1701</v>
      </c>
      <c r="P1027" s="8" t="s">
        <v>1543</v>
      </c>
      <c r="Q1027" s="8" t="s">
        <v>1541</v>
      </c>
      <c r="R1027" s="8" t="s">
        <v>52</v>
      </c>
      <c r="S1027" s="8" t="s">
        <v>1542</v>
      </c>
      <c r="T1027" s="8" t="s">
        <v>1577</v>
      </c>
      <c r="U1027" s="8" t="s">
        <v>1571</v>
      </c>
      <c r="V1027">
        <v>1400</v>
      </c>
      <c r="W1027">
        <v>780</v>
      </c>
      <c r="X1027">
        <v>5600</v>
      </c>
      <c r="Y1027">
        <v>1700</v>
      </c>
    </row>
    <row r="1028" spans="1:25" x14ac:dyDescent="0.3">
      <c r="A1028" s="8" t="s">
        <v>1367</v>
      </c>
      <c r="B1028" s="14">
        <v>46024</v>
      </c>
      <c r="C1028" s="8" t="s">
        <v>294</v>
      </c>
      <c r="D1028" s="8" t="s">
        <v>77</v>
      </c>
      <c r="E1028" s="8" t="s">
        <v>85</v>
      </c>
      <c r="F1028">
        <v>5</v>
      </c>
      <c r="G1028">
        <v>46075</v>
      </c>
      <c r="H1028">
        <v>0.05</v>
      </c>
      <c r="I1028" s="8" t="s">
        <v>66</v>
      </c>
      <c r="J1028" s="8" t="s">
        <v>31</v>
      </c>
      <c r="K1028" s="8" t="s">
        <v>67</v>
      </c>
      <c r="L1028">
        <v>218856.25</v>
      </c>
      <c r="M1028" s="8" t="s">
        <v>42</v>
      </c>
      <c r="N1028">
        <v>218856.25</v>
      </c>
      <c r="O1028" s="8" t="s">
        <v>1701</v>
      </c>
      <c r="P1028" s="8" t="s">
        <v>1564</v>
      </c>
      <c r="Q1028" s="8" t="s">
        <v>1563</v>
      </c>
      <c r="R1028" s="8" t="s">
        <v>1565</v>
      </c>
      <c r="S1028" s="8" t="s">
        <v>1542</v>
      </c>
      <c r="T1028" s="8" t="s">
        <v>1585</v>
      </c>
      <c r="U1028" s="8" t="s">
        <v>1586</v>
      </c>
      <c r="V1028">
        <v>48500</v>
      </c>
      <c r="W1028">
        <v>41200</v>
      </c>
      <c r="X1028">
        <v>0</v>
      </c>
      <c r="Y1028">
        <v>-206000</v>
      </c>
    </row>
    <row r="1029" spans="1:25" x14ac:dyDescent="0.3">
      <c r="A1029" s="8" t="s">
        <v>1368</v>
      </c>
      <c r="B1029" s="14">
        <v>46090</v>
      </c>
      <c r="C1029" s="8" t="s">
        <v>363</v>
      </c>
      <c r="D1029" s="8" t="s">
        <v>35</v>
      </c>
      <c r="E1029" s="8" t="s">
        <v>85</v>
      </c>
      <c r="F1029">
        <v>3</v>
      </c>
      <c r="G1029">
        <v>48500</v>
      </c>
      <c r="H1029">
        <v>0.1</v>
      </c>
      <c r="I1029" s="8" t="s">
        <v>17</v>
      </c>
      <c r="J1029" s="8" t="s">
        <v>18</v>
      </c>
      <c r="K1029" s="8" t="s">
        <v>1698</v>
      </c>
      <c r="L1029">
        <v>130950</v>
      </c>
      <c r="M1029" s="8" t="s">
        <v>59</v>
      </c>
      <c r="N1029">
        <v>130950</v>
      </c>
      <c r="O1029" s="8" t="s">
        <v>1701</v>
      </c>
      <c r="P1029" s="8" t="s">
        <v>1548</v>
      </c>
      <c r="Q1029" s="8" t="s">
        <v>1549</v>
      </c>
      <c r="R1029" s="8" t="s">
        <v>42</v>
      </c>
      <c r="S1029" s="8" t="s">
        <v>1542</v>
      </c>
      <c r="T1029" s="8" t="s">
        <v>1585</v>
      </c>
      <c r="U1029" s="8" t="s">
        <v>1586</v>
      </c>
      <c r="V1029">
        <v>48500</v>
      </c>
      <c r="W1029">
        <v>41200</v>
      </c>
      <c r="X1029">
        <v>130950</v>
      </c>
      <c r="Y1029">
        <v>7350</v>
      </c>
    </row>
    <row r="1030" spans="1:25" x14ac:dyDescent="0.3">
      <c r="A1030" s="8" t="s">
        <v>1369</v>
      </c>
      <c r="B1030" s="14">
        <v>46104</v>
      </c>
      <c r="C1030" s="8" t="s">
        <v>388</v>
      </c>
      <c r="D1030" s="8" t="s">
        <v>90</v>
      </c>
      <c r="E1030" s="8" t="s">
        <v>30</v>
      </c>
      <c r="F1030">
        <v>4</v>
      </c>
      <c r="G1030">
        <v>1710</v>
      </c>
      <c r="H1030">
        <v>0.1</v>
      </c>
      <c r="I1030" s="8" t="s">
        <v>17</v>
      </c>
      <c r="J1030" s="8" t="s">
        <v>18</v>
      </c>
      <c r="K1030" s="8" t="s">
        <v>55</v>
      </c>
      <c r="L1030">
        <v>6156</v>
      </c>
      <c r="M1030" s="8" t="s">
        <v>26</v>
      </c>
      <c r="N1030">
        <v>6156</v>
      </c>
      <c r="O1030" s="8" t="s">
        <v>1701</v>
      </c>
      <c r="P1030" s="8" t="s">
        <v>1562</v>
      </c>
      <c r="Q1030" s="8" t="s">
        <v>1563</v>
      </c>
      <c r="R1030" s="8" t="s">
        <v>48</v>
      </c>
      <c r="S1030" s="8" t="s">
        <v>1542</v>
      </c>
      <c r="T1030" s="8" t="s">
        <v>1573</v>
      </c>
      <c r="U1030" s="8" t="s">
        <v>1571</v>
      </c>
      <c r="V1030">
        <v>1800</v>
      </c>
      <c r="W1030">
        <v>1120</v>
      </c>
      <c r="X1030">
        <v>6156</v>
      </c>
      <c r="Y1030">
        <v>1676</v>
      </c>
    </row>
    <row r="1031" spans="1:25" x14ac:dyDescent="0.3">
      <c r="A1031" s="8" t="s">
        <v>1370</v>
      </c>
      <c r="B1031" s="14">
        <v>46105</v>
      </c>
      <c r="C1031" s="8" t="s">
        <v>1371</v>
      </c>
      <c r="D1031" s="8" t="s">
        <v>29</v>
      </c>
      <c r="E1031" s="8" t="s">
        <v>85</v>
      </c>
      <c r="F1031">
        <v>2</v>
      </c>
      <c r="G1031">
        <v>48500</v>
      </c>
      <c r="H1031">
        <v>0</v>
      </c>
      <c r="I1031" s="8" t="s">
        <v>17</v>
      </c>
      <c r="J1031" s="8" t="s">
        <v>71</v>
      </c>
      <c r="K1031" s="8" t="s">
        <v>25</v>
      </c>
      <c r="L1031">
        <v>97000</v>
      </c>
      <c r="M1031" s="8" t="s">
        <v>52</v>
      </c>
      <c r="N1031">
        <v>97000</v>
      </c>
      <c r="O1031" s="8" t="s">
        <v>1701</v>
      </c>
      <c r="P1031" s="8" t="s">
        <v>1560</v>
      </c>
      <c r="Q1031" s="8" t="s">
        <v>1559</v>
      </c>
      <c r="R1031" s="8" t="s">
        <v>1561</v>
      </c>
      <c r="S1031" s="8" t="s">
        <v>1542</v>
      </c>
      <c r="T1031" s="8" t="s">
        <v>1585</v>
      </c>
      <c r="U1031" s="8" t="s">
        <v>1586</v>
      </c>
      <c r="V1031">
        <v>48500</v>
      </c>
      <c r="W1031">
        <v>41200</v>
      </c>
      <c r="X1031">
        <v>97000</v>
      </c>
      <c r="Y1031">
        <v>14600</v>
      </c>
    </row>
    <row r="1032" spans="1:25" x14ac:dyDescent="0.3">
      <c r="A1032" s="8" t="s">
        <v>1373</v>
      </c>
      <c r="B1032" s="14">
        <v>46191</v>
      </c>
      <c r="C1032" s="8" t="s">
        <v>99</v>
      </c>
      <c r="D1032" s="8" t="s">
        <v>95</v>
      </c>
      <c r="E1032" s="8" t="s">
        <v>85</v>
      </c>
      <c r="F1032">
        <v>5</v>
      </c>
      <c r="G1032">
        <v>50925</v>
      </c>
      <c r="H1032">
        <v>0.2</v>
      </c>
      <c r="I1032" s="8" t="s">
        <v>17</v>
      </c>
      <c r="J1032" s="8" t="s">
        <v>71</v>
      </c>
      <c r="K1032" s="8" t="s">
        <v>1698</v>
      </c>
      <c r="L1032">
        <v>203700</v>
      </c>
      <c r="M1032" s="8" t="s">
        <v>52</v>
      </c>
      <c r="N1032">
        <v>203700</v>
      </c>
      <c r="O1032" s="8" t="s">
        <v>1701</v>
      </c>
      <c r="P1032" s="8" t="s">
        <v>1556</v>
      </c>
      <c r="Q1032" s="8" t="s">
        <v>1554</v>
      </c>
      <c r="R1032" s="8" t="s">
        <v>1557</v>
      </c>
      <c r="S1032" s="8" t="s">
        <v>1542</v>
      </c>
      <c r="T1032" s="8" t="s">
        <v>1585</v>
      </c>
      <c r="U1032" s="8" t="s">
        <v>1586</v>
      </c>
      <c r="V1032">
        <v>48500</v>
      </c>
      <c r="W1032">
        <v>41200</v>
      </c>
      <c r="X1032">
        <v>203700</v>
      </c>
      <c r="Y1032">
        <v>-2300</v>
      </c>
    </row>
    <row r="1033" spans="1:25" x14ac:dyDescent="0.3">
      <c r="A1033" s="8" t="s">
        <v>1374</v>
      </c>
      <c r="B1033" s="14">
        <v>46142</v>
      </c>
      <c r="C1033" s="8" t="s">
        <v>781</v>
      </c>
      <c r="D1033" s="8" t="s">
        <v>90</v>
      </c>
      <c r="E1033" s="8" t="s">
        <v>161</v>
      </c>
      <c r="F1033">
        <v>1</v>
      </c>
      <c r="G1033">
        <v>2600</v>
      </c>
      <c r="H1033">
        <v>0</v>
      </c>
      <c r="I1033" s="8" t="s">
        <v>17</v>
      </c>
      <c r="J1033" s="8" t="s">
        <v>18</v>
      </c>
      <c r="K1033" s="8" t="s">
        <v>41</v>
      </c>
      <c r="L1033">
        <v>2600</v>
      </c>
      <c r="M1033" s="8" t="s">
        <v>82</v>
      </c>
      <c r="N1033">
        <v>2600</v>
      </c>
      <c r="O1033" s="8" t="s">
        <v>1701</v>
      </c>
      <c r="P1033" s="8" t="s">
        <v>1562</v>
      </c>
      <c r="Q1033" s="8" t="s">
        <v>1563</v>
      </c>
      <c r="R1033" s="8" t="s">
        <v>48</v>
      </c>
      <c r="S1033" s="8" t="s">
        <v>1542</v>
      </c>
      <c r="T1033" s="8" t="s">
        <v>1578</v>
      </c>
      <c r="U1033" s="8" t="s">
        <v>1571</v>
      </c>
      <c r="V1033">
        <v>2600</v>
      </c>
      <c r="W1033">
        <v>1750</v>
      </c>
      <c r="X1033">
        <v>2600</v>
      </c>
      <c r="Y1033">
        <v>850</v>
      </c>
    </row>
    <row r="1034" spans="1:25" x14ac:dyDescent="0.3">
      <c r="A1034" s="8" t="s">
        <v>1375</v>
      </c>
      <c r="B1034" s="14">
        <v>46050</v>
      </c>
      <c r="C1034" s="8" t="s">
        <v>724</v>
      </c>
      <c r="D1034" s="8" t="s">
        <v>77</v>
      </c>
      <c r="E1034" s="8" t="s">
        <v>30</v>
      </c>
      <c r="F1034">
        <v>1</v>
      </c>
      <c r="G1034">
        <v>1890</v>
      </c>
      <c r="H1034">
        <v>0.05</v>
      </c>
      <c r="I1034" s="8" t="s">
        <v>17</v>
      </c>
      <c r="J1034" s="8" t="s">
        <v>18</v>
      </c>
      <c r="K1034" s="8" t="s">
        <v>41</v>
      </c>
      <c r="L1034">
        <v>1795.5</v>
      </c>
      <c r="M1034" s="8" t="s">
        <v>42</v>
      </c>
      <c r="N1034">
        <v>1795.5</v>
      </c>
      <c r="O1034" s="8" t="s">
        <v>1701</v>
      </c>
      <c r="P1034" s="8" t="s">
        <v>1564</v>
      </c>
      <c r="Q1034" s="8" t="s">
        <v>1563</v>
      </c>
      <c r="R1034" s="8" t="s">
        <v>1565</v>
      </c>
      <c r="S1034" s="8" t="s">
        <v>1542</v>
      </c>
      <c r="T1034" s="8" t="s">
        <v>1573</v>
      </c>
      <c r="U1034" s="8" t="s">
        <v>1571</v>
      </c>
      <c r="V1034">
        <v>1800</v>
      </c>
      <c r="W1034">
        <v>1120</v>
      </c>
      <c r="X1034">
        <v>1795.5</v>
      </c>
      <c r="Y1034">
        <v>675.5</v>
      </c>
    </row>
    <row r="1035" spans="1:25" x14ac:dyDescent="0.3">
      <c r="A1035" s="8" t="s">
        <v>1376</v>
      </c>
      <c r="B1035" s="14">
        <v>46094</v>
      </c>
      <c r="C1035" s="8" t="s">
        <v>224</v>
      </c>
      <c r="D1035" s="8" t="s">
        <v>70</v>
      </c>
      <c r="E1035" s="8" t="s">
        <v>30</v>
      </c>
      <c r="F1035">
        <v>3</v>
      </c>
      <c r="G1035">
        <v>1800</v>
      </c>
      <c r="H1035">
        <v>0.15</v>
      </c>
      <c r="I1035" s="8" t="s">
        <v>17</v>
      </c>
      <c r="J1035" s="8" t="s">
        <v>31</v>
      </c>
      <c r="K1035" s="8" t="s">
        <v>1698</v>
      </c>
      <c r="L1035">
        <v>4590</v>
      </c>
      <c r="M1035" s="8" t="s">
        <v>52</v>
      </c>
      <c r="N1035">
        <v>4590</v>
      </c>
      <c r="O1035" s="8" t="s">
        <v>1701</v>
      </c>
      <c r="P1035" s="8" t="s">
        <v>1550</v>
      </c>
      <c r="Q1035" s="8" t="s">
        <v>1549</v>
      </c>
      <c r="R1035" s="8" t="s">
        <v>32</v>
      </c>
      <c r="S1035" s="8" t="s">
        <v>1542</v>
      </c>
      <c r="T1035" s="8" t="s">
        <v>1573</v>
      </c>
      <c r="U1035" s="8" t="s">
        <v>1571</v>
      </c>
      <c r="V1035">
        <v>1800</v>
      </c>
      <c r="W1035">
        <v>1120</v>
      </c>
      <c r="X1035">
        <v>4590</v>
      </c>
      <c r="Y1035">
        <v>1230</v>
      </c>
    </row>
    <row r="1036" spans="1:25" x14ac:dyDescent="0.3">
      <c r="A1036" s="8" t="s">
        <v>1377</v>
      </c>
      <c r="B1036" s="14">
        <v>46027</v>
      </c>
      <c r="C1036" s="8" t="s">
        <v>581</v>
      </c>
      <c r="D1036" s="8" t="s">
        <v>77</v>
      </c>
      <c r="E1036" s="8" t="s">
        <v>46</v>
      </c>
      <c r="F1036">
        <v>1</v>
      </c>
      <c r="G1036">
        <v>8190</v>
      </c>
      <c r="H1036">
        <v>0</v>
      </c>
      <c r="I1036" s="8" t="s">
        <v>17</v>
      </c>
      <c r="J1036" s="8" t="s">
        <v>47</v>
      </c>
      <c r="K1036" s="8" t="s">
        <v>1698</v>
      </c>
      <c r="L1036">
        <v>8190</v>
      </c>
      <c r="M1036" s="8" t="s">
        <v>82</v>
      </c>
      <c r="N1036">
        <v>8190</v>
      </c>
      <c r="O1036" s="8" t="s">
        <v>1701</v>
      </c>
      <c r="P1036" s="8" t="s">
        <v>1564</v>
      </c>
      <c r="Q1036" s="8" t="s">
        <v>1563</v>
      </c>
      <c r="R1036" s="8" t="s">
        <v>1565</v>
      </c>
      <c r="S1036" s="8" t="s">
        <v>1542</v>
      </c>
      <c r="T1036" s="8" t="s">
        <v>1579</v>
      </c>
      <c r="U1036" s="8" t="s">
        <v>1580</v>
      </c>
      <c r="V1036">
        <v>7800</v>
      </c>
      <c r="W1036">
        <v>5200</v>
      </c>
      <c r="X1036">
        <v>8190</v>
      </c>
      <c r="Y1036">
        <v>2990</v>
      </c>
    </row>
    <row r="1037" spans="1:25" x14ac:dyDescent="0.3">
      <c r="A1037" s="8" t="s">
        <v>1378</v>
      </c>
      <c r="B1037" s="14">
        <v>46044</v>
      </c>
      <c r="C1037" s="8" t="s">
        <v>196</v>
      </c>
      <c r="D1037" s="8" t="s">
        <v>35</v>
      </c>
      <c r="E1037" s="8" t="s">
        <v>161</v>
      </c>
      <c r="F1037">
        <v>1</v>
      </c>
      <c r="G1037">
        <v>2600</v>
      </c>
      <c r="H1037">
        <v>0.1</v>
      </c>
      <c r="I1037" s="8" t="s">
        <v>17</v>
      </c>
      <c r="J1037" s="8" t="s">
        <v>18</v>
      </c>
      <c r="K1037" s="8" t="s">
        <v>67</v>
      </c>
      <c r="L1037">
        <v>2340</v>
      </c>
      <c r="M1037" s="8" t="s">
        <v>138</v>
      </c>
      <c r="N1037">
        <v>2340</v>
      </c>
      <c r="O1037" s="8" t="s">
        <v>1701</v>
      </c>
      <c r="P1037" s="8" t="s">
        <v>1548</v>
      </c>
      <c r="Q1037" s="8" t="s">
        <v>1549</v>
      </c>
      <c r="R1037" s="8" t="s">
        <v>42</v>
      </c>
      <c r="S1037" s="8" t="s">
        <v>1542</v>
      </c>
      <c r="T1037" s="8" t="s">
        <v>1578</v>
      </c>
      <c r="U1037" s="8" t="s">
        <v>1571</v>
      </c>
      <c r="V1037">
        <v>2600</v>
      </c>
      <c r="W1037">
        <v>1750</v>
      </c>
      <c r="X1037">
        <v>2340</v>
      </c>
      <c r="Y1037">
        <v>590</v>
      </c>
    </row>
    <row r="1038" spans="1:25" x14ac:dyDescent="0.3">
      <c r="A1038" s="8" t="s">
        <v>1379</v>
      </c>
      <c r="B1038" s="14">
        <v>46048</v>
      </c>
      <c r="C1038" s="8" t="s">
        <v>106</v>
      </c>
      <c r="D1038" s="8" t="s">
        <v>168</v>
      </c>
      <c r="E1038" s="8" t="s">
        <v>74</v>
      </c>
      <c r="F1038">
        <v>2</v>
      </c>
      <c r="G1038">
        <v>2400</v>
      </c>
      <c r="H1038">
        <v>0.1</v>
      </c>
      <c r="I1038" s="8" t="s">
        <v>17</v>
      </c>
      <c r="J1038" s="8" t="s">
        <v>71</v>
      </c>
      <c r="K1038" s="8" t="s">
        <v>25</v>
      </c>
      <c r="L1038">
        <v>4320</v>
      </c>
      <c r="M1038" s="8" t="s">
        <v>26</v>
      </c>
      <c r="N1038">
        <v>4320</v>
      </c>
      <c r="O1038" s="8" t="s">
        <v>1701</v>
      </c>
      <c r="P1038" s="8" t="s">
        <v>1540</v>
      </c>
      <c r="Q1038" s="8" t="s">
        <v>1541</v>
      </c>
      <c r="R1038" s="8" t="s">
        <v>20</v>
      </c>
      <c r="S1038" s="8" t="s">
        <v>1542</v>
      </c>
      <c r="T1038" s="8" t="s">
        <v>1584</v>
      </c>
      <c r="U1038" s="8" t="s">
        <v>1583</v>
      </c>
      <c r="V1038">
        <v>2400</v>
      </c>
      <c r="W1038">
        <v>1480</v>
      </c>
      <c r="X1038">
        <v>4320</v>
      </c>
      <c r="Y1038">
        <v>1360</v>
      </c>
    </row>
    <row r="1039" spans="1:25" x14ac:dyDescent="0.3">
      <c r="A1039" s="8" t="s">
        <v>1380</v>
      </c>
      <c r="B1039" s="14">
        <v>46158</v>
      </c>
      <c r="C1039" s="8" t="s">
        <v>294</v>
      </c>
      <c r="D1039" s="8" t="s">
        <v>40</v>
      </c>
      <c r="E1039" s="8" t="s">
        <v>46</v>
      </c>
      <c r="F1039">
        <v>2</v>
      </c>
      <c r="G1039">
        <v>7800</v>
      </c>
      <c r="H1039">
        <v>0</v>
      </c>
      <c r="I1039" s="8" t="s">
        <v>17</v>
      </c>
      <c r="J1039" s="8" t="s">
        <v>71</v>
      </c>
      <c r="K1039" s="8" t="s">
        <v>1698</v>
      </c>
      <c r="L1039">
        <v>15600</v>
      </c>
      <c r="M1039" s="8" t="s">
        <v>20</v>
      </c>
      <c r="N1039">
        <v>15600</v>
      </c>
      <c r="O1039" s="8" t="s">
        <v>1701</v>
      </c>
      <c r="P1039" s="8" t="s">
        <v>1555</v>
      </c>
      <c r="Q1039" s="8" t="s">
        <v>1554</v>
      </c>
      <c r="R1039" s="8" t="s">
        <v>82</v>
      </c>
      <c r="S1039" s="8" t="s">
        <v>1542</v>
      </c>
      <c r="T1039" s="8" t="s">
        <v>1579</v>
      </c>
      <c r="U1039" s="8" t="s">
        <v>1580</v>
      </c>
      <c r="V1039">
        <v>7800</v>
      </c>
      <c r="W1039">
        <v>5200</v>
      </c>
      <c r="X1039">
        <v>15600</v>
      </c>
      <c r="Y1039">
        <v>5200</v>
      </c>
    </row>
    <row r="1040" spans="1:25" x14ac:dyDescent="0.3">
      <c r="A1040" s="8" t="s">
        <v>1381</v>
      </c>
      <c r="B1040" s="14">
        <v>46032</v>
      </c>
      <c r="C1040" s="8" t="s">
        <v>1194</v>
      </c>
      <c r="D1040" s="8" t="s">
        <v>40</v>
      </c>
      <c r="E1040" s="8" t="s">
        <v>135</v>
      </c>
      <c r="F1040">
        <v>1</v>
      </c>
      <c r="G1040">
        <v>16800</v>
      </c>
      <c r="H1040">
        <v>0.15</v>
      </c>
      <c r="I1040" s="8" t="s">
        <v>17</v>
      </c>
      <c r="J1040" s="8" t="s">
        <v>18</v>
      </c>
      <c r="K1040" s="8" t="s">
        <v>55</v>
      </c>
      <c r="L1040">
        <v>14280</v>
      </c>
      <c r="M1040" s="8" t="s">
        <v>42</v>
      </c>
      <c r="N1040">
        <v>14280</v>
      </c>
      <c r="O1040" s="8" t="s">
        <v>1701</v>
      </c>
      <c r="P1040" s="8" t="s">
        <v>1555</v>
      </c>
      <c r="Q1040" s="8" t="s">
        <v>1554</v>
      </c>
      <c r="R1040" s="8" t="s">
        <v>82</v>
      </c>
      <c r="S1040" s="8" t="s">
        <v>1542</v>
      </c>
      <c r="T1040" s="8" t="s">
        <v>1576</v>
      </c>
      <c r="U1040" s="8" t="s">
        <v>1575</v>
      </c>
      <c r="V1040">
        <v>16800</v>
      </c>
      <c r="W1040">
        <v>12600</v>
      </c>
      <c r="X1040">
        <v>14280</v>
      </c>
      <c r="Y1040">
        <v>1680</v>
      </c>
    </row>
    <row r="1041" spans="1:25" x14ac:dyDescent="0.3">
      <c r="A1041" s="8" t="s">
        <v>1382</v>
      </c>
      <c r="B1041" s="14">
        <v>46079</v>
      </c>
      <c r="C1041" s="8" t="s">
        <v>367</v>
      </c>
      <c r="D1041" s="8" t="s">
        <v>123</v>
      </c>
      <c r="E1041" s="8" t="s">
        <v>85</v>
      </c>
      <c r="F1041">
        <v>1</v>
      </c>
      <c r="G1041">
        <v>48500</v>
      </c>
      <c r="H1041">
        <v>0</v>
      </c>
      <c r="I1041" s="8" t="s">
        <v>17</v>
      </c>
      <c r="J1041" s="8" t="s">
        <v>47</v>
      </c>
      <c r="K1041" s="8" t="s">
        <v>25</v>
      </c>
      <c r="L1041">
        <v>48500</v>
      </c>
      <c r="M1041" s="8" t="s">
        <v>26</v>
      </c>
      <c r="N1041">
        <v>48500</v>
      </c>
      <c r="O1041" s="8" t="s">
        <v>1701</v>
      </c>
      <c r="P1041" s="8" t="s">
        <v>1558</v>
      </c>
      <c r="Q1041" s="8" t="s">
        <v>1559</v>
      </c>
      <c r="R1041" s="8" t="s">
        <v>138</v>
      </c>
      <c r="S1041" s="8" t="s">
        <v>1542</v>
      </c>
      <c r="T1041" s="8" t="s">
        <v>1585</v>
      </c>
      <c r="U1041" s="8" t="s">
        <v>1586</v>
      </c>
      <c r="V1041">
        <v>48500</v>
      </c>
      <c r="W1041">
        <v>41200</v>
      </c>
      <c r="X1041">
        <v>48500</v>
      </c>
      <c r="Y1041">
        <v>7300</v>
      </c>
    </row>
    <row r="1042" spans="1:25" x14ac:dyDescent="0.3">
      <c r="A1042" s="8" t="s">
        <v>1383</v>
      </c>
      <c r="B1042" s="14">
        <v>46023</v>
      </c>
      <c r="C1042" s="8" t="s">
        <v>156</v>
      </c>
      <c r="D1042" s="8" t="s">
        <v>15</v>
      </c>
      <c r="E1042" s="8" t="s">
        <v>30</v>
      </c>
      <c r="F1042">
        <v>2</v>
      </c>
      <c r="G1042">
        <v>1800</v>
      </c>
      <c r="H1042">
        <v>0.2</v>
      </c>
      <c r="I1042" s="8" t="s">
        <v>17</v>
      </c>
      <c r="J1042" s="8" t="s">
        <v>71</v>
      </c>
      <c r="K1042" s="8" t="s">
        <v>67</v>
      </c>
      <c r="L1042">
        <v>2880</v>
      </c>
      <c r="M1042" s="8" t="s">
        <v>1702</v>
      </c>
      <c r="N1042">
        <v>2880</v>
      </c>
      <c r="O1042" s="8" t="s">
        <v>1701</v>
      </c>
      <c r="P1042" s="8" t="s">
        <v>1543</v>
      </c>
      <c r="Q1042" s="8" t="s">
        <v>1541</v>
      </c>
      <c r="R1042" s="8" t="s">
        <v>52</v>
      </c>
      <c r="S1042" s="8" t="s">
        <v>1542</v>
      </c>
      <c r="T1042" s="8" t="s">
        <v>1573</v>
      </c>
      <c r="U1042" s="8" t="s">
        <v>1571</v>
      </c>
      <c r="V1042">
        <v>1800</v>
      </c>
      <c r="W1042">
        <v>1120</v>
      </c>
      <c r="X1042">
        <v>2880</v>
      </c>
      <c r="Y1042">
        <v>640</v>
      </c>
    </row>
    <row r="1043" spans="1:25" x14ac:dyDescent="0.3">
      <c r="A1043" s="8" t="s">
        <v>1384</v>
      </c>
      <c r="B1043" s="14">
        <v>46065</v>
      </c>
      <c r="C1043" s="8" t="s">
        <v>522</v>
      </c>
      <c r="D1043" s="8" t="s">
        <v>50</v>
      </c>
      <c r="E1043" s="8" t="s">
        <v>36</v>
      </c>
      <c r="F1043">
        <v>5</v>
      </c>
      <c r="G1043">
        <v>1470</v>
      </c>
      <c r="H1043">
        <v>0</v>
      </c>
      <c r="I1043" s="8" t="s">
        <v>116</v>
      </c>
      <c r="J1043" s="8" t="s">
        <v>47</v>
      </c>
      <c r="K1043" s="8" t="s">
        <v>1698</v>
      </c>
      <c r="L1043">
        <v>7350</v>
      </c>
      <c r="M1043" s="8" t="s">
        <v>59</v>
      </c>
      <c r="N1043">
        <v>7350</v>
      </c>
      <c r="O1043" s="8" t="s">
        <v>1701</v>
      </c>
      <c r="P1043" s="8" t="s">
        <v>1544</v>
      </c>
      <c r="Q1043" s="8" t="s">
        <v>1541</v>
      </c>
      <c r="R1043" s="8" t="s">
        <v>26</v>
      </c>
      <c r="S1043" s="8" t="s">
        <v>1542</v>
      </c>
      <c r="T1043" s="8" t="s">
        <v>1577</v>
      </c>
      <c r="U1043" s="8" t="s">
        <v>1571</v>
      </c>
      <c r="V1043">
        <v>1400</v>
      </c>
      <c r="W1043">
        <v>780</v>
      </c>
      <c r="X1043">
        <v>0</v>
      </c>
      <c r="Y1043">
        <v>-3900</v>
      </c>
    </row>
    <row r="1044" spans="1:25" x14ac:dyDescent="0.3">
      <c r="A1044" s="8" t="s">
        <v>1385</v>
      </c>
      <c r="B1044" s="14">
        <v>46090</v>
      </c>
      <c r="C1044" s="8" t="s">
        <v>73</v>
      </c>
      <c r="D1044" s="8" t="s">
        <v>77</v>
      </c>
      <c r="E1044" s="8" t="s">
        <v>63</v>
      </c>
      <c r="F1044">
        <v>1</v>
      </c>
      <c r="G1044">
        <v>2310</v>
      </c>
      <c r="H1044">
        <v>0</v>
      </c>
      <c r="I1044" s="8" t="s">
        <v>17</v>
      </c>
      <c r="J1044" s="8" t="s">
        <v>18</v>
      </c>
      <c r="K1044" s="8" t="s">
        <v>41</v>
      </c>
      <c r="L1044">
        <v>2310</v>
      </c>
      <c r="M1044" s="8" t="s">
        <v>56</v>
      </c>
      <c r="N1044">
        <v>2310</v>
      </c>
      <c r="O1044" s="8" t="s">
        <v>1701</v>
      </c>
      <c r="P1044" s="8" t="s">
        <v>1564</v>
      </c>
      <c r="Q1044" s="8" t="s">
        <v>1563</v>
      </c>
      <c r="R1044" s="8" t="s">
        <v>1565</v>
      </c>
      <c r="S1044" s="8" t="s">
        <v>1542</v>
      </c>
      <c r="T1044" s="8" t="s">
        <v>1572</v>
      </c>
      <c r="U1044" s="8" t="s">
        <v>1571</v>
      </c>
      <c r="V1044">
        <v>2200</v>
      </c>
      <c r="W1044">
        <v>1450</v>
      </c>
      <c r="X1044">
        <v>2310</v>
      </c>
      <c r="Y1044">
        <v>860</v>
      </c>
    </row>
    <row r="1045" spans="1:25" x14ac:dyDescent="0.3">
      <c r="A1045" s="8" t="s">
        <v>1386</v>
      </c>
      <c r="B1045" s="14">
        <v>46054</v>
      </c>
      <c r="C1045" s="8" t="s">
        <v>401</v>
      </c>
      <c r="D1045" s="8" t="s">
        <v>168</v>
      </c>
      <c r="E1045" s="8" t="s">
        <v>16</v>
      </c>
      <c r="F1045">
        <v>3</v>
      </c>
      <c r="G1045">
        <v>650</v>
      </c>
      <c r="H1045">
        <v>0.05</v>
      </c>
      <c r="I1045" s="8" t="s">
        <v>66</v>
      </c>
      <c r="J1045" s="8" t="s">
        <v>31</v>
      </c>
      <c r="K1045" s="8" t="s">
        <v>1698</v>
      </c>
      <c r="L1045">
        <v>1852.5</v>
      </c>
      <c r="M1045" s="8" t="s">
        <v>26</v>
      </c>
      <c r="N1045">
        <v>1852.5</v>
      </c>
      <c r="O1045" s="8" t="s">
        <v>1701</v>
      </c>
      <c r="P1045" s="8" t="s">
        <v>1540</v>
      </c>
      <c r="Q1045" s="8" t="s">
        <v>1541</v>
      </c>
      <c r="R1045" s="8" t="s">
        <v>20</v>
      </c>
      <c r="S1045" s="8" t="s">
        <v>1542</v>
      </c>
      <c r="T1045" s="8" t="s">
        <v>1570</v>
      </c>
      <c r="U1045" s="8" t="s">
        <v>1571</v>
      </c>
      <c r="V1045">
        <v>650</v>
      </c>
      <c r="W1045">
        <v>390</v>
      </c>
      <c r="X1045">
        <v>0</v>
      </c>
      <c r="Y1045">
        <v>-1170</v>
      </c>
    </row>
    <row r="1046" spans="1:25" x14ac:dyDescent="0.3">
      <c r="A1046" s="8" t="s">
        <v>1388</v>
      </c>
      <c r="B1046" s="14">
        <v>46108</v>
      </c>
      <c r="C1046" s="8" t="s">
        <v>700</v>
      </c>
      <c r="D1046" s="8" t="s">
        <v>62</v>
      </c>
      <c r="E1046" s="8" t="s">
        <v>46</v>
      </c>
      <c r="F1046">
        <v>4</v>
      </c>
      <c r="G1046">
        <v>8190</v>
      </c>
      <c r="H1046">
        <v>0.15</v>
      </c>
      <c r="I1046" s="8" t="s">
        <v>17</v>
      </c>
      <c r="J1046" s="8" t="s">
        <v>47</v>
      </c>
      <c r="K1046" s="8" t="s">
        <v>55</v>
      </c>
      <c r="L1046">
        <v>27846</v>
      </c>
      <c r="M1046" s="8" t="s">
        <v>20</v>
      </c>
      <c r="N1046">
        <v>27846</v>
      </c>
      <c r="O1046" s="8" t="s">
        <v>1701</v>
      </c>
      <c r="P1046" s="8" t="s">
        <v>1551</v>
      </c>
      <c r="Q1046" s="8" t="s">
        <v>1549</v>
      </c>
      <c r="R1046" s="8" t="s">
        <v>1552</v>
      </c>
      <c r="S1046" s="8" t="s">
        <v>1542</v>
      </c>
      <c r="T1046" s="8" t="s">
        <v>1579</v>
      </c>
      <c r="U1046" s="8" t="s">
        <v>1580</v>
      </c>
      <c r="V1046">
        <v>7800</v>
      </c>
      <c r="W1046">
        <v>5200</v>
      </c>
      <c r="X1046">
        <v>27846</v>
      </c>
      <c r="Y1046">
        <v>7046</v>
      </c>
    </row>
    <row r="1047" spans="1:25" x14ac:dyDescent="0.3">
      <c r="A1047" s="8" t="s">
        <v>1389</v>
      </c>
      <c r="B1047" s="14">
        <v>46113</v>
      </c>
      <c r="C1047" s="8" t="s">
        <v>655</v>
      </c>
      <c r="D1047" s="8" t="s">
        <v>45</v>
      </c>
      <c r="E1047" s="8" t="s">
        <v>85</v>
      </c>
      <c r="F1047">
        <v>2</v>
      </c>
      <c r="G1047">
        <v>50925</v>
      </c>
      <c r="H1047">
        <v>0.15</v>
      </c>
      <c r="I1047" s="8" t="s">
        <v>17</v>
      </c>
      <c r="J1047" s="8" t="s">
        <v>47</v>
      </c>
      <c r="K1047" s="8" t="s">
        <v>41</v>
      </c>
      <c r="L1047">
        <v>86572.5</v>
      </c>
      <c r="M1047" s="8" t="s">
        <v>20</v>
      </c>
      <c r="N1047">
        <v>86572.5</v>
      </c>
      <c r="O1047" s="8" t="s">
        <v>1701</v>
      </c>
      <c r="P1047" s="8" t="s">
        <v>1547</v>
      </c>
      <c r="Q1047" s="8" t="s">
        <v>1541</v>
      </c>
      <c r="R1047" s="8" t="s">
        <v>56</v>
      </c>
      <c r="S1047" s="8" t="s">
        <v>1542</v>
      </c>
      <c r="T1047" s="8" t="s">
        <v>1585</v>
      </c>
      <c r="U1047" s="8" t="s">
        <v>1586</v>
      </c>
      <c r="V1047">
        <v>48500</v>
      </c>
      <c r="W1047">
        <v>41200</v>
      </c>
      <c r="X1047">
        <v>86572.5</v>
      </c>
      <c r="Y1047">
        <v>4172.5</v>
      </c>
    </row>
    <row r="1048" spans="1:25" x14ac:dyDescent="0.3">
      <c r="A1048" s="8" t="s">
        <v>1390</v>
      </c>
      <c r="B1048" s="14">
        <v>46060</v>
      </c>
      <c r="C1048" s="8" t="s">
        <v>446</v>
      </c>
      <c r="D1048" s="8" t="s">
        <v>70</v>
      </c>
      <c r="E1048" s="8" t="s">
        <v>24</v>
      </c>
      <c r="F1048">
        <v>3</v>
      </c>
      <c r="G1048">
        <v>10640</v>
      </c>
      <c r="H1048">
        <v>0</v>
      </c>
      <c r="I1048" s="8" t="s">
        <v>17</v>
      </c>
      <c r="J1048" s="8" t="s">
        <v>18</v>
      </c>
      <c r="K1048" s="8" t="s">
        <v>67</v>
      </c>
      <c r="L1048">
        <v>31920</v>
      </c>
      <c r="M1048" s="8" t="s">
        <v>52</v>
      </c>
      <c r="N1048">
        <v>31920</v>
      </c>
      <c r="O1048" s="8" t="s">
        <v>1701</v>
      </c>
      <c r="P1048" s="8" t="s">
        <v>1550</v>
      </c>
      <c r="Q1048" s="8" t="s">
        <v>1549</v>
      </c>
      <c r="R1048" s="8" t="s">
        <v>32</v>
      </c>
      <c r="S1048" s="8" t="s">
        <v>1542</v>
      </c>
      <c r="T1048" s="8" t="s">
        <v>1574</v>
      </c>
      <c r="U1048" s="8" t="s">
        <v>1575</v>
      </c>
      <c r="V1048">
        <v>11200</v>
      </c>
      <c r="W1048">
        <v>8300</v>
      </c>
      <c r="X1048">
        <v>31920</v>
      </c>
      <c r="Y1048">
        <v>7020</v>
      </c>
    </row>
    <row r="1049" spans="1:25" x14ac:dyDescent="0.3">
      <c r="A1049" s="8" t="s">
        <v>1391</v>
      </c>
      <c r="B1049" s="14">
        <v>46045</v>
      </c>
      <c r="C1049" s="8" t="s">
        <v>298</v>
      </c>
      <c r="D1049" s="8" t="s">
        <v>23</v>
      </c>
      <c r="E1049" s="8" t="s">
        <v>161</v>
      </c>
      <c r="F1049">
        <v>3</v>
      </c>
      <c r="G1049">
        <v>2730</v>
      </c>
      <c r="H1049">
        <v>0.05</v>
      </c>
      <c r="I1049" s="8" t="s">
        <v>66</v>
      </c>
      <c r="J1049" s="8" t="s">
        <v>47</v>
      </c>
      <c r="K1049" s="8" t="s">
        <v>67</v>
      </c>
      <c r="L1049">
        <v>7780.5</v>
      </c>
      <c r="M1049" s="8" t="s">
        <v>138</v>
      </c>
      <c r="N1049">
        <v>7780.5</v>
      </c>
      <c r="O1049" s="8" t="s">
        <v>1701</v>
      </c>
      <c r="P1049" s="8" t="s">
        <v>1545</v>
      </c>
      <c r="Q1049" s="8" t="s">
        <v>1541</v>
      </c>
      <c r="R1049" s="8" t="s">
        <v>1546</v>
      </c>
      <c r="S1049" s="8" t="s">
        <v>1542</v>
      </c>
      <c r="T1049" s="8" t="s">
        <v>1578</v>
      </c>
      <c r="U1049" s="8" t="s">
        <v>1571</v>
      </c>
      <c r="V1049">
        <v>2600</v>
      </c>
      <c r="W1049">
        <v>1750</v>
      </c>
      <c r="X1049">
        <v>0</v>
      </c>
      <c r="Y1049">
        <v>-5250</v>
      </c>
    </row>
    <row r="1050" spans="1:25" x14ac:dyDescent="0.3">
      <c r="A1050" s="8" t="s">
        <v>1392</v>
      </c>
      <c r="B1050" s="14">
        <v>46123</v>
      </c>
      <c r="C1050" s="8" t="s">
        <v>118</v>
      </c>
      <c r="D1050" s="8" t="s">
        <v>40</v>
      </c>
      <c r="E1050" s="8" t="s">
        <v>161</v>
      </c>
      <c r="F1050">
        <v>8</v>
      </c>
      <c r="G1050">
        <v>2470</v>
      </c>
      <c r="H1050">
        <v>0.05</v>
      </c>
      <c r="I1050" s="8" t="s">
        <v>17</v>
      </c>
      <c r="J1050" s="8" t="s">
        <v>31</v>
      </c>
      <c r="K1050" s="8" t="s">
        <v>55</v>
      </c>
      <c r="L1050">
        <v>18772</v>
      </c>
      <c r="M1050" s="8" t="s">
        <v>56</v>
      </c>
      <c r="N1050">
        <v>18772</v>
      </c>
      <c r="O1050" s="8" t="s">
        <v>1701</v>
      </c>
      <c r="P1050" s="8" t="s">
        <v>1555</v>
      </c>
      <c r="Q1050" s="8" t="s">
        <v>1554</v>
      </c>
      <c r="R1050" s="8" t="s">
        <v>82</v>
      </c>
      <c r="S1050" s="8" t="s">
        <v>1542</v>
      </c>
      <c r="T1050" s="8" t="s">
        <v>1578</v>
      </c>
      <c r="U1050" s="8" t="s">
        <v>1571</v>
      </c>
      <c r="V1050">
        <v>2600</v>
      </c>
      <c r="W1050">
        <v>1750</v>
      </c>
      <c r="X1050">
        <v>18772</v>
      </c>
      <c r="Y1050">
        <v>4772</v>
      </c>
    </row>
    <row r="1051" spans="1:25" x14ac:dyDescent="0.3">
      <c r="A1051" s="8" t="s">
        <v>1393</v>
      </c>
      <c r="B1051" s="14">
        <v>46168</v>
      </c>
      <c r="C1051" s="8" t="s">
        <v>144</v>
      </c>
      <c r="D1051" s="8" t="s">
        <v>29</v>
      </c>
      <c r="E1051" s="8" t="s">
        <v>36</v>
      </c>
      <c r="F1051">
        <v>1</v>
      </c>
      <c r="G1051">
        <v>1400</v>
      </c>
      <c r="H1051">
        <v>0</v>
      </c>
      <c r="I1051" s="8" t="s">
        <v>17</v>
      </c>
      <c r="J1051" s="8" t="s">
        <v>71</v>
      </c>
      <c r="K1051" s="8" t="s">
        <v>25</v>
      </c>
      <c r="L1051">
        <v>1400</v>
      </c>
      <c r="M1051" s="8" t="s">
        <v>26</v>
      </c>
      <c r="N1051">
        <v>1400</v>
      </c>
      <c r="O1051" s="8" t="s">
        <v>1701</v>
      </c>
      <c r="P1051" s="8" t="s">
        <v>1560</v>
      </c>
      <c r="Q1051" s="8" t="s">
        <v>1559</v>
      </c>
      <c r="R1051" s="8" t="s">
        <v>1561</v>
      </c>
      <c r="S1051" s="8" t="s">
        <v>1542</v>
      </c>
      <c r="T1051" s="8" t="s">
        <v>1577</v>
      </c>
      <c r="U1051" s="8" t="s">
        <v>1571</v>
      </c>
      <c r="V1051">
        <v>1400</v>
      </c>
      <c r="W1051">
        <v>780</v>
      </c>
      <c r="X1051">
        <v>1400</v>
      </c>
      <c r="Y1051">
        <v>620</v>
      </c>
    </row>
    <row r="1052" spans="1:25" x14ac:dyDescent="0.3">
      <c r="A1052" s="8" t="s">
        <v>1394</v>
      </c>
      <c r="B1052" s="14">
        <v>46182</v>
      </c>
      <c r="C1052" s="8" t="s">
        <v>234</v>
      </c>
      <c r="D1052" s="8" t="s">
        <v>152</v>
      </c>
      <c r="E1052" s="8" t="s">
        <v>74</v>
      </c>
      <c r="F1052">
        <v>1</v>
      </c>
      <c r="G1052">
        <v>2400</v>
      </c>
      <c r="H1052">
        <v>0.1</v>
      </c>
      <c r="I1052" s="8" t="s">
        <v>17</v>
      </c>
      <c r="J1052" s="8" t="s">
        <v>31</v>
      </c>
      <c r="K1052" s="8" t="s">
        <v>1698</v>
      </c>
      <c r="L1052">
        <v>2160</v>
      </c>
      <c r="M1052" s="8" t="s">
        <v>52</v>
      </c>
      <c r="N1052">
        <v>2160</v>
      </c>
      <c r="O1052" s="8" t="s">
        <v>1701</v>
      </c>
      <c r="P1052" s="8" t="s">
        <v>1553</v>
      </c>
      <c r="Q1052" s="8" t="s">
        <v>1554</v>
      </c>
      <c r="R1052" s="8" t="s">
        <v>59</v>
      </c>
      <c r="S1052" s="8" t="s">
        <v>1542</v>
      </c>
      <c r="T1052" s="8" t="s">
        <v>1584</v>
      </c>
      <c r="U1052" s="8" t="s">
        <v>1583</v>
      </c>
      <c r="V1052">
        <v>2400</v>
      </c>
      <c r="W1052">
        <v>1480</v>
      </c>
      <c r="X1052">
        <v>2160</v>
      </c>
      <c r="Y1052">
        <v>680</v>
      </c>
    </row>
    <row r="1053" spans="1:25" x14ac:dyDescent="0.3">
      <c r="A1053" s="8" t="s">
        <v>1395</v>
      </c>
      <c r="B1053" s="14">
        <v>46095</v>
      </c>
      <c r="C1053" s="8" t="s">
        <v>581</v>
      </c>
      <c r="D1053" s="8" t="s">
        <v>90</v>
      </c>
      <c r="E1053" s="8" t="s">
        <v>183</v>
      </c>
      <c r="F1053">
        <v>1</v>
      </c>
      <c r="G1053">
        <v>3360</v>
      </c>
      <c r="H1053">
        <v>0.1</v>
      </c>
      <c r="I1053" s="8" t="s">
        <v>17</v>
      </c>
      <c r="J1053" s="8" t="s">
        <v>31</v>
      </c>
      <c r="K1053" s="8" t="s">
        <v>1698</v>
      </c>
      <c r="L1053">
        <v>3024</v>
      </c>
      <c r="M1053" s="8" t="s">
        <v>26</v>
      </c>
      <c r="N1053">
        <v>3024</v>
      </c>
      <c r="O1053" s="8" t="s">
        <v>1701</v>
      </c>
      <c r="P1053" s="8" t="s">
        <v>1562</v>
      </c>
      <c r="Q1053" s="8" t="s">
        <v>1563</v>
      </c>
      <c r="R1053" s="8" t="s">
        <v>48</v>
      </c>
      <c r="S1053" s="8" t="s">
        <v>1542</v>
      </c>
      <c r="T1053" s="8" t="s">
        <v>1582</v>
      </c>
      <c r="U1053" s="8" t="s">
        <v>1583</v>
      </c>
      <c r="V1053">
        <v>3200</v>
      </c>
      <c r="W1053">
        <v>2050</v>
      </c>
      <c r="X1053">
        <v>3024</v>
      </c>
      <c r="Y1053">
        <v>974</v>
      </c>
    </row>
    <row r="1054" spans="1:25" x14ac:dyDescent="0.3">
      <c r="A1054" s="8" t="s">
        <v>1396</v>
      </c>
      <c r="B1054" s="14">
        <v>46058</v>
      </c>
      <c r="C1054" s="8" t="s">
        <v>14</v>
      </c>
      <c r="D1054" s="8" t="s">
        <v>35</v>
      </c>
      <c r="E1054" s="8" t="s">
        <v>135</v>
      </c>
      <c r="F1054">
        <v>4</v>
      </c>
      <c r="G1054">
        <v>16800</v>
      </c>
      <c r="H1054">
        <v>0.15</v>
      </c>
      <c r="I1054" s="8" t="s">
        <v>17</v>
      </c>
      <c r="J1054" s="8" t="s">
        <v>47</v>
      </c>
      <c r="K1054" s="8" t="s">
        <v>41</v>
      </c>
      <c r="L1054">
        <v>57120</v>
      </c>
      <c r="M1054" s="8" t="s">
        <v>52</v>
      </c>
      <c r="N1054">
        <v>57120</v>
      </c>
      <c r="O1054" s="8" t="s">
        <v>1701</v>
      </c>
      <c r="P1054" s="8" t="s">
        <v>1548</v>
      </c>
      <c r="Q1054" s="8" t="s">
        <v>1549</v>
      </c>
      <c r="R1054" s="8" t="s">
        <v>42</v>
      </c>
      <c r="S1054" s="8" t="s">
        <v>1542</v>
      </c>
      <c r="T1054" s="8" t="s">
        <v>1576</v>
      </c>
      <c r="U1054" s="8" t="s">
        <v>1575</v>
      </c>
      <c r="V1054">
        <v>16800</v>
      </c>
      <c r="W1054">
        <v>12600</v>
      </c>
      <c r="X1054">
        <v>57120</v>
      </c>
      <c r="Y1054">
        <v>6720</v>
      </c>
    </row>
    <row r="1055" spans="1:25" x14ac:dyDescent="0.3">
      <c r="A1055" s="8" t="s">
        <v>1397</v>
      </c>
      <c r="B1055" s="14">
        <v>46133</v>
      </c>
      <c r="C1055" s="8" t="s">
        <v>747</v>
      </c>
      <c r="D1055" s="8" t="s">
        <v>40</v>
      </c>
      <c r="E1055" s="8" t="s">
        <v>63</v>
      </c>
      <c r="F1055">
        <v>1</v>
      </c>
      <c r="G1055">
        <v>2200</v>
      </c>
      <c r="H1055">
        <v>0</v>
      </c>
      <c r="I1055" s="8" t="s">
        <v>17</v>
      </c>
      <c r="J1055" s="8" t="s">
        <v>18</v>
      </c>
      <c r="K1055" s="8" t="s">
        <v>55</v>
      </c>
      <c r="L1055">
        <v>2200</v>
      </c>
      <c r="M1055" s="8" t="s">
        <v>32</v>
      </c>
      <c r="N1055">
        <v>2200</v>
      </c>
      <c r="O1055" s="8" t="s">
        <v>1701</v>
      </c>
      <c r="P1055" s="8" t="s">
        <v>1555</v>
      </c>
      <c r="Q1055" s="8" t="s">
        <v>1554</v>
      </c>
      <c r="R1055" s="8" t="s">
        <v>82</v>
      </c>
      <c r="S1055" s="8" t="s">
        <v>1542</v>
      </c>
      <c r="T1055" s="8" t="s">
        <v>1572</v>
      </c>
      <c r="U1055" s="8" t="s">
        <v>1571</v>
      </c>
      <c r="V1055">
        <v>2200</v>
      </c>
      <c r="W1055">
        <v>1450</v>
      </c>
      <c r="X1055">
        <v>2200</v>
      </c>
      <c r="Y1055">
        <v>750</v>
      </c>
    </row>
    <row r="1056" spans="1:25" x14ac:dyDescent="0.3">
      <c r="A1056" s="8" t="s">
        <v>1398</v>
      </c>
      <c r="B1056" s="14">
        <v>46048</v>
      </c>
      <c r="C1056" s="8" t="s">
        <v>271</v>
      </c>
      <c r="D1056" s="8" t="s">
        <v>77</v>
      </c>
      <c r="E1056" s="8" t="s">
        <v>135</v>
      </c>
      <c r="F1056">
        <v>8</v>
      </c>
      <c r="G1056">
        <v>17640</v>
      </c>
      <c r="H1056">
        <v>0.15</v>
      </c>
      <c r="I1056" s="8" t="s">
        <v>17</v>
      </c>
      <c r="J1056" s="8" t="s">
        <v>71</v>
      </c>
      <c r="K1056" s="8" t="s">
        <v>41</v>
      </c>
      <c r="L1056">
        <v>119952</v>
      </c>
      <c r="M1056" s="8" t="s">
        <v>26</v>
      </c>
      <c r="N1056">
        <v>119952</v>
      </c>
      <c r="O1056" s="8" t="s">
        <v>1701</v>
      </c>
      <c r="P1056" s="8" t="s">
        <v>1564</v>
      </c>
      <c r="Q1056" s="8" t="s">
        <v>1563</v>
      </c>
      <c r="R1056" s="8" t="s">
        <v>1565</v>
      </c>
      <c r="S1056" s="8" t="s">
        <v>1542</v>
      </c>
      <c r="T1056" s="8" t="s">
        <v>1576</v>
      </c>
      <c r="U1056" s="8" t="s">
        <v>1575</v>
      </c>
      <c r="V1056">
        <v>16800</v>
      </c>
      <c r="W1056">
        <v>12600</v>
      </c>
      <c r="X1056">
        <v>119952</v>
      </c>
      <c r="Y1056">
        <v>19152</v>
      </c>
    </row>
    <row r="1057" spans="1:25" x14ac:dyDescent="0.3">
      <c r="A1057" s="8" t="s">
        <v>1399</v>
      </c>
      <c r="B1057" s="14">
        <v>46057</v>
      </c>
      <c r="C1057" s="8" t="s">
        <v>348</v>
      </c>
      <c r="D1057" s="8" t="s">
        <v>70</v>
      </c>
      <c r="E1057" s="8" t="s">
        <v>51</v>
      </c>
      <c r="F1057">
        <v>1</v>
      </c>
      <c r="G1057">
        <v>19425</v>
      </c>
      <c r="H1057">
        <v>0.05</v>
      </c>
      <c r="I1057" s="8" t="s">
        <v>17</v>
      </c>
      <c r="J1057" s="8" t="s">
        <v>18</v>
      </c>
      <c r="K1057" s="8" t="s">
        <v>55</v>
      </c>
      <c r="L1057">
        <v>18453.75</v>
      </c>
      <c r="M1057" s="8" t="s">
        <v>42</v>
      </c>
      <c r="N1057">
        <v>18453.75</v>
      </c>
      <c r="O1057" s="8" t="s">
        <v>1701</v>
      </c>
      <c r="P1057" s="8" t="s">
        <v>1550</v>
      </c>
      <c r="Q1057" s="8" t="s">
        <v>1549</v>
      </c>
      <c r="R1057" s="8" t="s">
        <v>32</v>
      </c>
      <c r="S1057" s="8" t="s">
        <v>1542</v>
      </c>
      <c r="T1057" s="8" t="s">
        <v>1581</v>
      </c>
      <c r="U1057" s="8" t="s">
        <v>1580</v>
      </c>
      <c r="V1057">
        <v>18500</v>
      </c>
      <c r="W1057">
        <v>13900</v>
      </c>
      <c r="X1057">
        <v>18453.75</v>
      </c>
      <c r="Y1057">
        <v>4553.75</v>
      </c>
    </row>
    <row r="1058" spans="1:25" x14ac:dyDescent="0.3">
      <c r="A1058" s="8" t="s">
        <v>1400</v>
      </c>
      <c r="B1058" s="14">
        <v>46058</v>
      </c>
      <c r="C1058" s="8" t="s">
        <v>798</v>
      </c>
      <c r="D1058" s="8" t="s">
        <v>152</v>
      </c>
      <c r="E1058" s="8" t="s">
        <v>46</v>
      </c>
      <c r="F1058">
        <v>3</v>
      </c>
      <c r="G1058">
        <v>7800</v>
      </c>
      <c r="H1058">
        <v>0.15</v>
      </c>
      <c r="I1058" s="8" t="s">
        <v>80</v>
      </c>
      <c r="J1058" s="8" t="s">
        <v>47</v>
      </c>
      <c r="K1058" s="8" t="s">
        <v>55</v>
      </c>
      <c r="L1058">
        <v>19890</v>
      </c>
      <c r="M1058" s="8" t="s">
        <v>56</v>
      </c>
      <c r="N1058">
        <v>19890</v>
      </c>
      <c r="O1058" s="8" t="s">
        <v>1701</v>
      </c>
      <c r="P1058" s="8" t="s">
        <v>1553</v>
      </c>
      <c r="Q1058" s="8" t="s">
        <v>1554</v>
      </c>
      <c r="R1058" s="8" t="s">
        <v>59</v>
      </c>
      <c r="S1058" s="8" t="s">
        <v>1542</v>
      </c>
      <c r="T1058" s="8" t="s">
        <v>1579</v>
      </c>
      <c r="U1058" s="8" t="s">
        <v>1580</v>
      </c>
      <c r="V1058">
        <v>7800</v>
      </c>
      <c r="W1058">
        <v>5200</v>
      </c>
      <c r="X1058">
        <v>0</v>
      </c>
      <c r="Y1058">
        <v>-15600</v>
      </c>
    </row>
    <row r="1059" spans="1:25" x14ac:dyDescent="0.3">
      <c r="A1059" s="8" t="s">
        <v>1401</v>
      </c>
      <c r="B1059" s="14">
        <v>46130</v>
      </c>
      <c r="C1059" s="8" t="s">
        <v>304</v>
      </c>
      <c r="D1059" s="8" t="s">
        <v>70</v>
      </c>
      <c r="E1059" s="8" t="s">
        <v>46</v>
      </c>
      <c r="F1059">
        <v>1</v>
      </c>
      <c r="G1059">
        <v>8190</v>
      </c>
      <c r="H1059">
        <v>0.15</v>
      </c>
      <c r="I1059" s="8" t="s">
        <v>17</v>
      </c>
      <c r="J1059" s="8" t="s">
        <v>71</v>
      </c>
      <c r="K1059" s="8" t="s">
        <v>25</v>
      </c>
      <c r="L1059">
        <v>6961.5</v>
      </c>
      <c r="M1059" s="8" t="s">
        <v>26</v>
      </c>
      <c r="N1059">
        <v>6961.5</v>
      </c>
      <c r="O1059" s="8" t="s">
        <v>1701</v>
      </c>
      <c r="P1059" s="8" t="s">
        <v>1550</v>
      </c>
      <c r="Q1059" s="8" t="s">
        <v>1549</v>
      </c>
      <c r="R1059" s="8" t="s">
        <v>32</v>
      </c>
      <c r="S1059" s="8" t="s">
        <v>1542</v>
      </c>
      <c r="T1059" s="8" t="s">
        <v>1579</v>
      </c>
      <c r="U1059" s="8" t="s">
        <v>1580</v>
      </c>
      <c r="V1059">
        <v>7800</v>
      </c>
      <c r="W1059">
        <v>5200</v>
      </c>
      <c r="X1059">
        <v>6961.5</v>
      </c>
      <c r="Y1059">
        <v>1761.5</v>
      </c>
    </row>
    <row r="1060" spans="1:25" x14ac:dyDescent="0.3">
      <c r="A1060" s="8" t="s">
        <v>1402</v>
      </c>
      <c r="B1060" s="14">
        <v>46085</v>
      </c>
      <c r="C1060" s="8" t="s">
        <v>196</v>
      </c>
      <c r="D1060" s="8" t="s">
        <v>40</v>
      </c>
      <c r="E1060" s="8" t="s">
        <v>51</v>
      </c>
      <c r="F1060">
        <v>2</v>
      </c>
      <c r="G1060">
        <v>18500</v>
      </c>
      <c r="H1060">
        <v>0.15</v>
      </c>
      <c r="I1060" s="8" t="s">
        <v>17</v>
      </c>
      <c r="J1060" s="8" t="s">
        <v>18</v>
      </c>
      <c r="K1060" s="8" t="s">
        <v>41</v>
      </c>
      <c r="L1060">
        <v>31450</v>
      </c>
      <c r="M1060" s="8" t="s">
        <v>32</v>
      </c>
      <c r="N1060">
        <v>31450</v>
      </c>
      <c r="O1060" s="8" t="s">
        <v>1701</v>
      </c>
      <c r="P1060" s="8" t="s">
        <v>1555</v>
      </c>
      <c r="Q1060" s="8" t="s">
        <v>1554</v>
      </c>
      <c r="R1060" s="8" t="s">
        <v>82</v>
      </c>
      <c r="S1060" s="8" t="s">
        <v>1542</v>
      </c>
      <c r="T1060" s="8" t="s">
        <v>1581</v>
      </c>
      <c r="U1060" s="8" t="s">
        <v>1580</v>
      </c>
      <c r="V1060">
        <v>18500</v>
      </c>
      <c r="W1060">
        <v>13900</v>
      </c>
      <c r="X1060">
        <v>31450</v>
      </c>
      <c r="Y1060">
        <v>3650</v>
      </c>
    </row>
    <row r="1061" spans="1:25" x14ac:dyDescent="0.3">
      <c r="A1061" s="8" t="s">
        <v>1403</v>
      </c>
      <c r="B1061" s="14">
        <v>46194</v>
      </c>
      <c r="C1061" s="8" t="s">
        <v>480</v>
      </c>
      <c r="D1061" s="8" t="s">
        <v>168</v>
      </c>
      <c r="E1061" s="8" t="s">
        <v>46</v>
      </c>
      <c r="F1061">
        <v>4</v>
      </c>
      <c r="G1061">
        <v>7410</v>
      </c>
      <c r="H1061">
        <v>0.15</v>
      </c>
      <c r="I1061" s="8" t="s">
        <v>17</v>
      </c>
      <c r="J1061" s="8" t="s">
        <v>31</v>
      </c>
      <c r="K1061" s="8" t="s">
        <v>67</v>
      </c>
      <c r="L1061">
        <v>25194</v>
      </c>
      <c r="M1061" s="8" t="s">
        <v>42</v>
      </c>
      <c r="N1061">
        <v>25194</v>
      </c>
      <c r="O1061" s="8" t="s">
        <v>1701</v>
      </c>
      <c r="P1061" s="8" t="s">
        <v>1540</v>
      </c>
      <c r="Q1061" s="8" t="s">
        <v>1541</v>
      </c>
      <c r="R1061" s="8" t="s">
        <v>20</v>
      </c>
      <c r="S1061" s="8" t="s">
        <v>1542</v>
      </c>
      <c r="T1061" s="8" t="s">
        <v>1579</v>
      </c>
      <c r="U1061" s="8" t="s">
        <v>1580</v>
      </c>
      <c r="V1061">
        <v>7800</v>
      </c>
      <c r="W1061">
        <v>5200</v>
      </c>
      <c r="X1061">
        <v>25194</v>
      </c>
      <c r="Y1061">
        <v>4394</v>
      </c>
    </row>
    <row r="1062" spans="1:25" x14ac:dyDescent="0.3">
      <c r="A1062" s="8" t="s">
        <v>1404</v>
      </c>
      <c r="B1062" s="14">
        <v>46108</v>
      </c>
      <c r="C1062" s="8" t="s">
        <v>426</v>
      </c>
      <c r="D1062" s="8" t="s">
        <v>40</v>
      </c>
      <c r="E1062" s="8" t="s">
        <v>63</v>
      </c>
      <c r="F1062">
        <v>4</v>
      </c>
      <c r="G1062">
        <v>2200</v>
      </c>
      <c r="H1062">
        <v>0.15</v>
      </c>
      <c r="I1062" s="8" t="s">
        <v>17</v>
      </c>
      <c r="J1062" s="8" t="s">
        <v>31</v>
      </c>
      <c r="K1062" s="8" t="s">
        <v>25</v>
      </c>
      <c r="L1062">
        <v>7480</v>
      </c>
      <c r="M1062" s="8" t="s">
        <v>82</v>
      </c>
      <c r="N1062">
        <v>7480</v>
      </c>
      <c r="O1062" s="8" t="s">
        <v>1701</v>
      </c>
      <c r="P1062" s="8" t="s">
        <v>1555</v>
      </c>
      <c r="Q1062" s="8" t="s">
        <v>1554</v>
      </c>
      <c r="R1062" s="8" t="s">
        <v>82</v>
      </c>
      <c r="S1062" s="8" t="s">
        <v>1542</v>
      </c>
      <c r="T1062" s="8" t="s">
        <v>1572</v>
      </c>
      <c r="U1062" s="8" t="s">
        <v>1571</v>
      </c>
      <c r="V1062">
        <v>2200</v>
      </c>
      <c r="W1062">
        <v>1450</v>
      </c>
      <c r="X1062">
        <v>7480</v>
      </c>
      <c r="Y1062">
        <v>1680</v>
      </c>
    </row>
    <row r="1063" spans="1:25" x14ac:dyDescent="0.3">
      <c r="A1063" s="8" t="s">
        <v>1405</v>
      </c>
      <c r="B1063" s="14">
        <v>46036</v>
      </c>
      <c r="C1063" s="8" t="s">
        <v>167</v>
      </c>
      <c r="D1063" s="8" t="s">
        <v>123</v>
      </c>
      <c r="E1063" s="8" t="s">
        <v>24</v>
      </c>
      <c r="F1063">
        <v>2</v>
      </c>
      <c r="G1063">
        <v>11760</v>
      </c>
      <c r="H1063">
        <v>0.15</v>
      </c>
      <c r="I1063" s="8" t="s">
        <v>17</v>
      </c>
      <c r="J1063" s="8" t="s">
        <v>71</v>
      </c>
      <c r="K1063" s="8" t="s">
        <v>41</v>
      </c>
      <c r="L1063">
        <v>19992</v>
      </c>
      <c r="M1063" s="8" t="s">
        <v>26</v>
      </c>
      <c r="N1063">
        <v>19992</v>
      </c>
      <c r="O1063" s="8" t="s">
        <v>1701</v>
      </c>
      <c r="P1063" s="8" t="s">
        <v>1558</v>
      </c>
      <c r="Q1063" s="8" t="s">
        <v>1559</v>
      </c>
      <c r="R1063" s="8" t="s">
        <v>138</v>
      </c>
      <c r="S1063" s="8" t="s">
        <v>1542</v>
      </c>
      <c r="T1063" s="8" t="s">
        <v>1574</v>
      </c>
      <c r="U1063" s="8" t="s">
        <v>1575</v>
      </c>
      <c r="V1063">
        <v>11200</v>
      </c>
      <c r="W1063">
        <v>8300</v>
      </c>
      <c r="X1063">
        <v>19992</v>
      </c>
      <c r="Y1063">
        <v>3392</v>
      </c>
    </row>
    <row r="1064" spans="1:25" x14ac:dyDescent="0.3">
      <c r="A1064" s="8" t="s">
        <v>1406</v>
      </c>
      <c r="B1064" s="14">
        <v>46183</v>
      </c>
      <c r="C1064" s="8" t="s">
        <v>65</v>
      </c>
      <c r="D1064" s="8" t="s">
        <v>45</v>
      </c>
      <c r="E1064" s="8" t="s">
        <v>85</v>
      </c>
      <c r="F1064">
        <v>10</v>
      </c>
      <c r="G1064">
        <v>48500</v>
      </c>
      <c r="H1064">
        <v>0</v>
      </c>
      <c r="I1064" s="8" t="s">
        <v>17</v>
      </c>
      <c r="J1064" s="8" t="s">
        <v>31</v>
      </c>
      <c r="K1064" s="8" t="s">
        <v>1698</v>
      </c>
      <c r="L1064">
        <v>485000</v>
      </c>
      <c r="M1064" s="8" t="s">
        <v>59</v>
      </c>
      <c r="N1064">
        <v>485000</v>
      </c>
      <c r="O1064" s="8" t="s">
        <v>1701</v>
      </c>
      <c r="P1064" s="8" t="s">
        <v>1547</v>
      </c>
      <c r="Q1064" s="8" t="s">
        <v>1541</v>
      </c>
      <c r="R1064" s="8" t="s">
        <v>56</v>
      </c>
      <c r="S1064" s="8" t="s">
        <v>1542</v>
      </c>
      <c r="T1064" s="8" t="s">
        <v>1585</v>
      </c>
      <c r="U1064" s="8" t="s">
        <v>1586</v>
      </c>
      <c r="V1064">
        <v>48500</v>
      </c>
      <c r="W1064">
        <v>41200</v>
      </c>
      <c r="X1064">
        <v>485000</v>
      </c>
      <c r="Y1064">
        <v>73000</v>
      </c>
    </row>
    <row r="1065" spans="1:25" x14ac:dyDescent="0.3">
      <c r="A1065" s="8" t="s">
        <v>1407</v>
      </c>
      <c r="B1065" s="14">
        <v>46177</v>
      </c>
      <c r="C1065" s="8" t="s">
        <v>922</v>
      </c>
      <c r="D1065" s="8" t="s">
        <v>77</v>
      </c>
      <c r="E1065" s="8" t="s">
        <v>63</v>
      </c>
      <c r="F1065">
        <v>2</v>
      </c>
      <c r="G1065">
        <v>2310</v>
      </c>
      <c r="H1065">
        <v>0</v>
      </c>
      <c r="I1065" s="8" t="s">
        <v>17</v>
      </c>
      <c r="J1065" s="8" t="s">
        <v>18</v>
      </c>
      <c r="K1065" s="8" t="s">
        <v>55</v>
      </c>
      <c r="L1065">
        <v>4620</v>
      </c>
      <c r="M1065" s="8" t="s">
        <v>1702</v>
      </c>
      <c r="N1065">
        <v>4620</v>
      </c>
      <c r="O1065" s="8" t="s">
        <v>1701</v>
      </c>
      <c r="P1065" s="8" t="s">
        <v>1564</v>
      </c>
      <c r="Q1065" s="8" t="s">
        <v>1563</v>
      </c>
      <c r="R1065" s="8" t="s">
        <v>1565</v>
      </c>
      <c r="S1065" s="8" t="s">
        <v>1542</v>
      </c>
      <c r="T1065" s="8" t="s">
        <v>1572</v>
      </c>
      <c r="U1065" s="8" t="s">
        <v>1571</v>
      </c>
      <c r="V1065">
        <v>2200</v>
      </c>
      <c r="W1065">
        <v>1450</v>
      </c>
      <c r="X1065">
        <v>4620</v>
      </c>
      <c r="Y1065">
        <v>1720</v>
      </c>
    </row>
    <row r="1066" spans="1:25" x14ac:dyDescent="0.3">
      <c r="A1066" s="8" t="s">
        <v>1408</v>
      </c>
      <c r="B1066" s="14">
        <v>46054</v>
      </c>
      <c r="C1066" s="8" t="s">
        <v>696</v>
      </c>
      <c r="D1066" s="8" t="s">
        <v>45</v>
      </c>
      <c r="E1066" s="8" t="s">
        <v>161</v>
      </c>
      <c r="F1066">
        <v>2</v>
      </c>
      <c r="G1066">
        <v>2600</v>
      </c>
      <c r="H1066">
        <v>0</v>
      </c>
      <c r="I1066" s="8" t="s">
        <v>17</v>
      </c>
      <c r="J1066" s="8" t="s">
        <v>31</v>
      </c>
      <c r="K1066" s="8" t="s">
        <v>55</v>
      </c>
      <c r="L1066">
        <v>5200</v>
      </c>
      <c r="M1066" s="8" t="s">
        <v>59</v>
      </c>
      <c r="N1066">
        <v>5200</v>
      </c>
      <c r="O1066" s="8" t="s">
        <v>1701</v>
      </c>
      <c r="P1066" s="8" t="s">
        <v>1547</v>
      </c>
      <c r="Q1066" s="8" t="s">
        <v>1541</v>
      </c>
      <c r="R1066" s="8" t="s">
        <v>56</v>
      </c>
      <c r="S1066" s="8" t="s">
        <v>1542</v>
      </c>
      <c r="T1066" s="8" t="s">
        <v>1578</v>
      </c>
      <c r="U1066" s="8" t="s">
        <v>1571</v>
      </c>
      <c r="V1066">
        <v>2600</v>
      </c>
      <c r="W1066">
        <v>1750</v>
      </c>
      <c r="X1066">
        <v>5200</v>
      </c>
      <c r="Y1066">
        <v>1700</v>
      </c>
    </row>
    <row r="1067" spans="1:25" x14ac:dyDescent="0.3">
      <c r="A1067" s="8" t="s">
        <v>1409</v>
      </c>
      <c r="B1067" s="14">
        <v>46185</v>
      </c>
      <c r="C1067" s="8" t="s">
        <v>332</v>
      </c>
      <c r="D1067" s="8" t="s">
        <v>168</v>
      </c>
      <c r="E1067" s="8" t="s">
        <v>30</v>
      </c>
      <c r="F1067">
        <v>1</v>
      </c>
      <c r="G1067">
        <v>1800</v>
      </c>
      <c r="H1067">
        <v>0.2</v>
      </c>
      <c r="I1067" s="8" t="s">
        <v>17</v>
      </c>
      <c r="J1067" s="8" t="s">
        <v>18</v>
      </c>
      <c r="K1067" s="8" t="s">
        <v>55</v>
      </c>
      <c r="L1067">
        <v>1440</v>
      </c>
      <c r="M1067" s="8" t="s">
        <v>26</v>
      </c>
      <c r="N1067">
        <v>1440</v>
      </c>
      <c r="O1067" s="8" t="s">
        <v>1701</v>
      </c>
      <c r="P1067" s="8" t="s">
        <v>1540</v>
      </c>
      <c r="Q1067" s="8" t="s">
        <v>1541</v>
      </c>
      <c r="R1067" s="8" t="s">
        <v>20</v>
      </c>
      <c r="S1067" s="8" t="s">
        <v>1542</v>
      </c>
      <c r="T1067" s="8" t="s">
        <v>1573</v>
      </c>
      <c r="U1067" s="8" t="s">
        <v>1571</v>
      </c>
      <c r="V1067">
        <v>1800</v>
      </c>
      <c r="W1067">
        <v>1120</v>
      </c>
      <c r="X1067">
        <v>1440</v>
      </c>
      <c r="Y1067">
        <v>320</v>
      </c>
    </row>
    <row r="1068" spans="1:25" x14ac:dyDescent="0.3">
      <c r="A1068" s="8" t="s">
        <v>1410</v>
      </c>
      <c r="B1068" s="14">
        <v>46097</v>
      </c>
      <c r="C1068" s="8" t="s">
        <v>1312</v>
      </c>
      <c r="D1068" s="8" t="s">
        <v>95</v>
      </c>
      <c r="E1068" s="8" t="s">
        <v>63</v>
      </c>
      <c r="F1068">
        <v>8</v>
      </c>
      <c r="G1068">
        <v>2200</v>
      </c>
      <c r="H1068">
        <v>0.1</v>
      </c>
      <c r="I1068" s="8" t="s">
        <v>17</v>
      </c>
      <c r="J1068" s="8" t="s">
        <v>18</v>
      </c>
      <c r="K1068" s="8" t="s">
        <v>1698</v>
      </c>
      <c r="L1068">
        <v>15840</v>
      </c>
      <c r="M1068" s="8" t="s">
        <v>56</v>
      </c>
      <c r="N1068">
        <v>15840</v>
      </c>
      <c r="O1068" s="8" t="s">
        <v>1701</v>
      </c>
      <c r="P1068" s="8" t="s">
        <v>1556</v>
      </c>
      <c r="Q1068" s="8" t="s">
        <v>1554</v>
      </c>
      <c r="R1068" s="8" t="s">
        <v>1557</v>
      </c>
      <c r="S1068" s="8" t="s">
        <v>1542</v>
      </c>
      <c r="T1068" s="8" t="s">
        <v>1572</v>
      </c>
      <c r="U1068" s="8" t="s">
        <v>1571</v>
      </c>
      <c r="V1068">
        <v>2200</v>
      </c>
      <c r="W1068">
        <v>1450</v>
      </c>
      <c r="X1068">
        <v>15840</v>
      </c>
      <c r="Y1068">
        <v>4240</v>
      </c>
    </row>
    <row r="1069" spans="1:25" x14ac:dyDescent="0.3">
      <c r="A1069" s="8" t="s">
        <v>1411</v>
      </c>
      <c r="B1069" s="14">
        <v>46129</v>
      </c>
      <c r="C1069" s="8" t="s">
        <v>186</v>
      </c>
      <c r="D1069" s="8" t="s">
        <v>90</v>
      </c>
      <c r="E1069" s="8" t="s">
        <v>161</v>
      </c>
      <c r="F1069">
        <v>1</v>
      </c>
      <c r="G1069">
        <v>2730</v>
      </c>
      <c r="H1069">
        <v>0.05</v>
      </c>
      <c r="I1069" s="8" t="s">
        <v>17</v>
      </c>
      <c r="J1069" s="8" t="s">
        <v>47</v>
      </c>
      <c r="K1069" s="8" t="s">
        <v>1698</v>
      </c>
      <c r="L1069">
        <v>2593.5</v>
      </c>
      <c r="M1069" s="8" t="s">
        <v>48</v>
      </c>
      <c r="N1069">
        <v>2593.5</v>
      </c>
      <c r="O1069" s="8" t="s">
        <v>1701</v>
      </c>
      <c r="P1069" s="8" t="s">
        <v>1562</v>
      </c>
      <c r="Q1069" s="8" t="s">
        <v>1563</v>
      </c>
      <c r="R1069" s="8" t="s">
        <v>48</v>
      </c>
      <c r="S1069" s="8" t="s">
        <v>1542</v>
      </c>
      <c r="T1069" s="8" t="s">
        <v>1578</v>
      </c>
      <c r="U1069" s="8" t="s">
        <v>1571</v>
      </c>
      <c r="V1069">
        <v>2600</v>
      </c>
      <c r="W1069">
        <v>1750</v>
      </c>
      <c r="X1069">
        <v>2593.5</v>
      </c>
      <c r="Y1069">
        <v>843.5</v>
      </c>
    </row>
    <row r="1070" spans="1:25" x14ac:dyDescent="0.3">
      <c r="A1070" s="8" t="s">
        <v>1412</v>
      </c>
      <c r="B1070" s="14">
        <v>46136</v>
      </c>
      <c r="C1070" s="8" t="s">
        <v>705</v>
      </c>
      <c r="D1070" s="8" t="s">
        <v>168</v>
      </c>
      <c r="E1070" s="8" t="s">
        <v>36</v>
      </c>
      <c r="F1070">
        <v>8</v>
      </c>
      <c r="G1070">
        <v>1470</v>
      </c>
      <c r="H1070">
        <v>0.1</v>
      </c>
      <c r="I1070" s="8" t="s">
        <v>66</v>
      </c>
      <c r="J1070" s="8" t="s">
        <v>31</v>
      </c>
      <c r="K1070" s="8" t="s">
        <v>41</v>
      </c>
      <c r="L1070">
        <v>10584</v>
      </c>
      <c r="M1070" s="8" t="s">
        <v>138</v>
      </c>
      <c r="N1070">
        <v>10584</v>
      </c>
      <c r="O1070" s="8" t="s">
        <v>1701</v>
      </c>
      <c r="P1070" s="8" t="s">
        <v>1540</v>
      </c>
      <c r="Q1070" s="8" t="s">
        <v>1541</v>
      </c>
      <c r="R1070" s="8" t="s">
        <v>20</v>
      </c>
      <c r="S1070" s="8" t="s">
        <v>1542</v>
      </c>
      <c r="T1070" s="8" t="s">
        <v>1577</v>
      </c>
      <c r="U1070" s="8" t="s">
        <v>1571</v>
      </c>
      <c r="V1070">
        <v>1400</v>
      </c>
      <c r="W1070">
        <v>780</v>
      </c>
      <c r="X1070">
        <v>0</v>
      </c>
      <c r="Y1070">
        <v>-6240</v>
      </c>
    </row>
    <row r="1071" spans="1:25" x14ac:dyDescent="0.3">
      <c r="A1071" s="8" t="s">
        <v>1413</v>
      </c>
      <c r="B1071" s="14">
        <v>46151</v>
      </c>
      <c r="C1071" s="8" t="s">
        <v>298</v>
      </c>
      <c r="D1071" s="8" t="s">
        <v>90</v>
      </c>
      <c r="E1071" s="8" t="s">
        <v>51</v>
      </c>
      <c r="F1071">
        <v>1</v>
      </c>
      <c r="G1071">
        <v>17575</v>
      </c>
      <c r="H1071">
        <v>0.2</v>
      </c>
      <c r="I1071" s="8" t="s">
        <v>17</v>
      </c>
      <c r="J1071" s="8" t="s">
        <v>71</v>
      </c>
      <c r="K1071" s="8" t="s">
        <v>67</v>
      </c>
      <c r="L1071">
        <v>14060</v>
      </c>
      <c r="M1071" s="8" t="s">
        <v>48</v>
      </c>
      <c r="N1071">
        <v>14060</v>
      </c>
      <c r="O1071" s="8" t="s">
        <v>1701</v>
      </c>
      <c r="P1071" s="8" t="s">
        <v>1562</v>
      </c>
      <c r="Q1071" s="8" t="s">
        <v>1563</v>
      </c>
      <c r="R1071" s="8" t="s">
        <v>48</v>
      </c>
      <c r="S1071" s="8" t="s">
        <v>1542</v>
      </c>
      <c r="T1071" s="8" t="s">
        <v>1581</v>
      </c>
      <c r="U1071" s="8" t="s">
        <v>1580</v>
      </c>
      <c r="V1071">
        <v>18500</v>
      </c>
      <c r="W1071">
        <v>13900</v>
      </c>
      <c r="X1071">
        <v>14060</v>
      </c>
      <c r="Y1071">
        <v>160</v>
      </c>
    </row>
    <row r="1072" spans="1:25" x14ac:dyDescent="0.3">
      <c r="A1072" s="8" t="s">
        <v>1414</v>
      </c>
      <c r="B1072" s="14">
        <v>46109</v>
      </c>
      <c r="C1072" s="8" t="s">
        <v>494</v>
      </c>
      <c r="D1072" s="8" t="s">
        <v>62</v>
      </c>
      <c r="E1072" s="8" t="s">
        <v>85</v>
      </c>
      <c r="F1072">
        <v>5</v>
      </c>
      <c r="G1072">
        <v>48500</v>
      </c>
      <c r="H1072">
        <v>0</v>
      </c>
      <c r="I1072" s="8" t="s">
        <v>17</v>
      </c>
      <c r="J1072" s="8" t="s">
        <v>31</v>
      </c>
      <c r="K1072" s="8" t="s">
        <v>55</v>
      </c>
      <c r="L1072">
        <v>242500</v>
      </c>
      <c r="M1072" s="8" t="s">
        <v>32</v>
      </c>
      <c r="N1072">
        <v>242500</v>
      </c>
      <c r="O1072" s="8" t="s">
        <v>1701</v>
      </c>
      <c r="P1072" s="8" t="s">
        <v>1551</v>
      </c>
      <c r="Q1072" s="8" t="s">
        <v>1549</v>
      </c>
      <c r="R1072" s="8" t="s">
        <v>1552</v>
      </c>
      <c r="S1072" s="8" t="s">
        <v>1542</v>
      </c>
      <c r="T1072" s="8" t="s">
        <v>1585</v>
      </c>
      <c r="U1072" s="8" t="s">
        <v>1586</v>
      </c>
      <c r="V1072">
        <v>48500</v>
      </c>
      <c r="W1072">
        <v>41200</v>
      </c>
      <c r="X1072">
        <v>242500</v>
      </c>
      <c r="Y1072">
        <v>36500</v>
      </c>
    </row>
    <row r="1073" spans="1:25" x14ac:dyDescent="0.3">
      <c r="A1073" s="8" t="s">
        <v>1415</v>
      </c>
      <c r="B1073" s="14">
        <v>46143</v>
      </c>
      <c r="C1073" s="8" t="s">
        <v>269</v>
      </c>
      <c r="D1073" s="8" t="s">
        <v>40</v>
      </c>
      <c r="E1073" s="8" t="s">
        <v>74</v>
      </c>
      <c r="F1073">
        <v>1</v>
      </c>
      <c r="G1073">
        <v>2400</v>
      </c>
      <c r="H1073">
        <v>0.2</v>
      </c>
      <c r="I1073" s="8" t="s">
        <v>80</v>
      </c>
      <c r="J1073" s="8" t="s">
        <v>47</v>
      </c>
      <c r="K1073" s="8" t="s">
        <v>25</v>
      </c>
      <c r="L1073">
        <v>1920</v>
      </c>
      <c r="M1073" s="8" t="s">
        <v>48</v>
      </c>
      <c r="N1073">
        <v>1920</v>
      </c>
      <c r="O1073" s="8" t="s">
        <v>1701</v>
      </c>
      <c r="P1073" s="8" t="s">
        <v>1555</v>
      </c>
      <c r="Q1073" s="8" t="s">
        <v>1554</v>
      </c>
      <c r="R1073" s="8" t="s">
        <v>82</v>
      </c>
      <c r="S1073" s="8" t="s">
        <v>1542</v>
      </c>
      <c r="T1073" s="8" t="s">
        <v>1584</v>
      </c>
      <c r="U1073" s="8" t="s">
        <v>1583</v>
      </c>
      <c r="V1073">
        <v>2400</v>
      </c>
      <c r="W1073">
        <v>1480</v>
      </c>
      <c r="X1073">
        <v>0</v>
      </c>
      <c r="Y1073">
        <v>-1480</v>
      </c>
    </row>
    <row r="1074" spans="1:25" x14ac:dyDescent="0.3">
      <c r="A1074" s="8" t="s">
        <v>1416</v>
      </c>
      <c r="B1074" s="14">
        <v>46112</v>
      </c>
      <c r="C1074" s="8" t="s">
        <v>158</v>
      </c>
      <c r="D1074" s="8" t="s">
        <v>40</v>
      </c>
      <c r="E1074" s="8" t="s">
        <v>183</v>
      </c>
      <c r="F1074">
        <v>4</v>
      </c>
      <c r="G1074">
        <v>3200</v>
      </c>
      <c r="H1074">
        <v>0</v>
      </c>
      <c r="I1074" s="8" t="s">
        <v>17</v>
      </c>
      <c r="J1074" s="8" t="s">
        <v>31</v>
      </c>
      <c r="K1074" s="8" t="s">
        <v>1698</v>
      </c>
      <c r="L1074">
        <v>12800</v>
      </c>
      <c r="M1074" s="8" t="s">
        <v>56</v>
      </c>
      <c r="N1074">
        <v>12800</v>
      </c>
      <c r="O1074" s="8" t="s">
        <v>1701</v>
      </c>
      <c r="P1074" s="8" t="s">
        <v>1555</v>
      </c>
      <c r="Q1074" s="8" t="s">
        <v>1554</v>
      </c>
      <c r="R1074" s="8" t="s">
        <v>82</v>
      </c>
      <c r="S1074" s="8" t="s">
        <v>1542</v>
      </c>
      <c r="T1074" s="8" t="s">
        <v>1582</v>
      </c>
      <c r="U1074" s="8" t="s">
        <v>1583</v>
      </c>
      <c r="V1074">
        <v>3200</v>
      </c>
      <c r="W1074">
        <v>2050</v>
      </c>
      <c r="X1074">
        <v>12800</v>
      </c>
      <c r="Y1074">
        <v>4600</v>
      </c>
    </row>
    <row r="1075" spans="1:25" x14ac:dyDescent="0.3">
      <c r="A1075" s="8" t="s">
        <v>1417</v>
      </c>
      <c r="B1075" s="14">
        <v>46196</v>
      </c>
      <c r="C1075" s="8" t="s">
        <v>298</v>
      </c>
      <c r="D1075" s="8" t="s">
        <v>62</v>
      </c>
      <c r="E1075" s="8" t="s">
        <v>36</v>
      </c>
      <c r="F1075">
        <v>4</v>
      </c>
      <c r="G1075">
        <v>1330</v>
      </c>
      <c r="H1075">
        <v>0.2</v>
      </c>
      <c r="I1075" s="8" t="s">
        <v>17</v>
      </c>
      <c r="J1075" s="8" t="s">
        <v>18</v>
      </c>
      <c r="K1075" s="8" t="s">
        <v>55</v>
      </c>
      <c r="L1075">
        <v>4256</v>
      </c>
      <c r="M1075" s="8" t="s">
        <v>42</v>
      </c>
      <c r="N1075">
        <v>4256</v>
      </c>
      <c r="O1075" s="8" t="s">
        <v>1701</v>
      </c>
      <c r="P1075" s="8" t="s">
        <v>1551</v>
      </c>
      <c r="Q1075" s="8" t="s">
        <v>1549</v>
      </c>
      <c r="R1075" s="8" t="s">
        <v>1552</v>
      </c>
      <c r="S1075" s="8" t="s">
        <v>1542</v>
      </c>
      <c r="T1075" s="8" t="s">
        <v>1577</v>
      </c>
      <c r="U1075" s="8" t="s">
        <v>1571</v>
      </c>
      <c r="V1075">
        <v>1400</v>
      </c>
      <c r="W1075">
        <v>780</v>
      </c>
      <c r="X1075">
        <v>4256</v>
      </c>
      <c r="Y1075">
        <v>1136</v>
      </c>
    </row>
    <row r="1076" spans="1:25" x14ac:dyDescent="0.3">
      <c r="A1076" s="8" t="s">
        <v>1418</v>
      </c>
      <c r="B1076" s="14">
        <v>46038</v>
      </c>
      <c r="C1076" s="8" t="s">
        <v>568</v>
      </c>
      <c r="D1076" s="8" t="s">
        <v>40</v>
      </c>
      <c r="E1076" s="8" t="s">
        <v>135</v>
      </c>
      <c r="F1076">
        <v>1</v>
      </c>
      <c r="G1076">
        <v>16800</v>
      </c>
      <c r="H1076">
        <v>0.2</v>
      </c>
      <c r="I1076" s="8" t="s">
        <v>17</v>
      </c>
      <c r="J1076" s="8" t="s">
        <v>71</v>
      </c>
      <c r="K1076" s="8" t="s">
        <v>67</v>
      </c>
      <c r="L1076">
        <v>13440</v>
      </c>
      <c r="M1076" s="8" t="s">
        <v>42</v>
      </c>
      <c r="N1076">
        <v>13440</v>
      </c>
      <c r="O1076" s="8" t="s">
        <v>1701</v>
      </c>
      <c r="P1076" s="8" t="s">
        <v>1555</v>
      </c>
      <c r="Q1076" s="8" t="s">
        <v>1554</v>
      </c>
      <c r="R1076" s="8" t="s">
        <v>82</v>
      </c>
      <c r="S1076" s="8" t="s">
        <v>1542</v>
      </c>
      <c r="T1076" s="8" t="s">
        <v>1576</v>
      </c>
      <c r="U1076" s="8" t="s">
        <v>1575</v>
      </c>
      <c r="V1076">
        <v>16800</v>
      </c>
      <c r="W1076">
        <v>12600</v>
      </c>
      <c r="X1076">
        <v>13440</v>
      </c>
      <c r="Y1076">
        <v>840</v>
      </c>
    </row>
    <row r="1077" spans="1:25" x14ac:dyDescent="0.3">
      <c r="A1077" s="8" t="s">
        <v>1419</v>
      </c>
      <c r="B1077" s="14">
        <v>46201</v>
      </c>
      <c r="C1077" s="8" t="s">
        <v>1420</v>
      </c>
      <c r="D1077" s="8" t="s">
        <v>62</v>
      </c>
      <c r="E1077" s="8" t="s">
        <v>161</v>
      </c>
      <c r="F1077">
        <v>1</v>
      </c>
      <c r="G1077">
        <v>2600</v>
      </c>
      <c r="H1077">
        <v>0.2</v>
      </c>
      <c r="I1077" s="8" t="s">
        <v>17</v>
      </c>
      <c r="J1077" s="8" t="s">
        <v>47</v>
      </c>
      <c r="K1077" s="8" t="s">
        <v>55</v>
      </c>
      <c r="L1077">
        <v>2080</v>
      </c>
      <c r="M1077" s="8" t="s">
        <v>56</v>
      </c>
      <c r="N1077">
        <v>2080</v>
      </c>
      <c r="O1077" s="8" t="s">
        <v>1701</v>
      </c>
      <c r="P1077" s="8" t="s">
        <v>1551</v>
      </c>
      <c r="Q1077" s="8" t="s">
        <v>1549</v>
      </c>
      <c r="R1077" s="8" t="s">
        <v>1552</v>
      </c>
      <c r="S1077" s="8" t="s">
        <v>1542</v>
      </c>
      <c r="T1077" s="8" t="s">
        <v>1578</v>
      </c>
      <c r="U1077" s="8" t="s">
        <v>1571</v>
      </c>
      <c r="V1077">
        <v>2600</v>
      </c>
      <c r="W1077">
        <v>1750</v>
      </c>
      <c r="X1077">
        <v>2080</v>
      </c>
      <c r="Y1077">
        <v>330</v>
      </c>
    </row>
    <row r="1078" spans="1:25" x14ac:dyDescent="0.3">
      <c r="A1078" s="8" t="s">
        <v>1421</v>
      </c>
      <c r="B1078" s="14">
        <v>46196</v>
      </c>
      <c r="C1078" s="8" t="s">
        <v>14</v>
      </c>
      <c r="D1078" s="8" t="s">
        <v>45</v>
      </c>
      <c r="E1078" s="8" t="s">
        <v>24</v>
      </c>
      <c r="F1078">
        <v>1</v>
      </c>
      <c r="G1078">
        <v>11200</v>
      </c>
      <c r="H1078">
        <v>0</v>
      </c>
      <c r="I1078" s="8" t="s">
        <v>17</v>
      </c>
      <c r="J1078" s="8" t="s">
        <v>31</v>
      </c>
      <c r="K1078" s="8" t="s">
        <v>1698</v>
      </c>
      <c r="L1078">
        <v>11200</v>
      </c>
      <c r="M1078" s="8" t="s">
        <v>52</v>
      </c>
      <c r="N1078">
        <v>11200</v>
      </c>
      <c r="O1078" s="8" t="s">
        <v>1701</v>
      </c>
      <c r="P1078" s="8" t="s">
        <v>1547</v>
      </c>
      <c r="Q1078" s="8" t="s">
        <v>1541</v>
      </c>
      <c r="R1078" s="8" t="s">
        <v>56</v>
      </c>
      <c r="S1078" s="8" t="s">
        <v>1542</v>
      </c>
      <c r="T1078" s="8" t="s">
        <v>1574</v>
      </c>
      <c r="U1078" s="8" t="s">
        <v>1575</v>
      </c>
      <c r="V1078">
        <v>11200</v>
      </c>
      <c r="W1078">
        <v>8300</v>
      </c>
      <c r="X1078">
        <v>11200</v>
      </c>
      <c r="Y1078">
        <v>2900</v>
      </c>
    </row>
    <row r="1079" spans="1:25" x14ac:dyDescent="0.3">
      <c r="A1079" s="8" t="s">
        <v>1422</v>
      </c>
      <c r="B1079" s="14">
        <v>46031</v>
      </c>
      <c r="C1079" s="8" t="s">
        <v>227</v>
      </c>
      <c r="D1079" s="8" t="s">
        <v>29</v>
      </c>
      <c r="E1079" s="8" t="s">
        <v>30</v>
      </c>
      <c r="F1079">
        <v>5</v>
      </c>
      <c r="G1079">
        <v>1710</v>
      </c>
      <c r="H1079">
        <v>0.05</v>
      </c>
      <c r="I1079" s="8" t="s">
        <v>17</v>
      </c>
      <c r="J1079" s="8" t="s">
        <v>71</v>
      </c>
      <c r="K1079" s="8" t="s">
        <v>25</v>
      </c>
      <c r="L1079">
        <v>8122.5</v>
      </c>
      <c r="M1079" s="8" t="s">
        <v>56</v>
      </c>
      <c r="N1079">
        <v>8122.5</v>
      </c>
      <c r="O1079" s="8" t="s">
        <v>1701</v>
      </c>
      <c r="P1079" s="8" t="s">
        <v>1560</v>
      </c>
      <c r="Q1079" s="8" t="s">
        <v>1559</v>
      </c>
      <c r="R1079" s="8" t="s">
        <v>1561</v>
      </c>
      <c r="S1079" s="8" t="s">
        <v>1542</v>
      </c>
      <c r="T1079" s="8" t="s">
        <v>1573</v>
      </c>
      <c r="U1079" s="8" t="s">
        <v>1571</v>
      </c>
      <c r="V1079">
        <v>1800</v>
      </c>
      <c r="W1079">
        <v>1120</v>
      </c>
      <c r="X1079">
        <v>8122.5</v>
      </c>
      <c r="Y1079">
        <v>2522.5</v>
      </c>
    </row>
    <row r="1080" spans="1:25" x14ac:dyDescent="0.3">
      <c r="A1080" s="8" t="s">
        <v>1423</v>
      </c>
      <c r="B1080" s="14">
        <v>46071</v>
      </c>
      <c r="C1080" s="8" t="s">
        <v>363</v>
      </c>
      <c r="D1080" s="8" t="s">
        <v>90</v>
      </c>
      <c r="E1080" s="8" t="s">
        <v>24</v>
      </c>
      <c r="F1080">
        <v>3</v>
      </c>
      <c r="G1080">
        <v>11200</v>
      </c>
      <c r="H1080">
        <v>0.1</v>
      </c>
      <c r="I1080" s="8" t="s">
        <v>17</v>
      </c>
      <c r="J1080" s="8" t="s">
        <v>31</v>
      </c>
      <c r="K1080" s="8" t="s">
        <v>55</v>
      </c>
      <c r="L1080">
        <v>30240</v>
      </c>
      <c r="M1080" s="8" t="s">
        <v>32</v>
      </c>
      <c r="N1080">
        <v>30240</v>
      </c>
      <c r="O1080" s="8" t="s">
        <v>1701</v>
      </c>
      <c r="P1080" s="8" t="s">
        <v>1562</v>
      </c>
      <c r="Q1080" s="8" t="s">
        <v>1563</v>
      </c>
      <c r="R1080" s="8" t="s">
        <v>48</v>
      </c>
      <c r="S1080" s="8" t="s">
        <v>1542</v>
      </c>
      <c r="T1080" s="8" t="s">
        <v>1574</v>
      </c>
      <c r="U1080" s="8" t="s">
        <v>1575</v>
      </c>
      <c r="V1080">
        <v>11200</v>
      </c>
      <c r="W1080">
        <v>8300</v>
      </c>
      <c r="X1080">
        <v>30240</v>
      </c>
      <c r="Y1080">
        <v>5340</v>
      </c>
    </row>
    <row r="1081" spans="1:25" x14ac:dyDescent="0.3">
      <c r="A1081" s="8" t="s">
        <v>1425</v>
      </c>
      <c r="B1081" s="14">
        <v>46036</v>
      </c>
      <c r="C1081" s="8" t="s">
        <v>767</v>
      </c>
      <c r="D1081" s="8" t="s">
        <v>40</v>
      </c>
      <c r="E1081" s="8" t="s">
        <v>51</v>
      </c>
      <c r="F1081">
        <v>2</v>
      </c>
      <c r="G1081">
        <v>18500</v>
      </c>
      <c r="H1081">
        <v>0</v>
      </c>
      <c r="I1081" s="8" t="s">
        <v>17</v>
      </c>
      <c r="J1081" s="8" t="s">
        <v>18</v>
      </c>
      <c r="K1081" s="8" t="s">
        <v>67</v>
      </c>
      <c r="L1081">
        <v>37000</v>
      </c>
      <c r="M1081" s="8" t="s">
        <v>42</v>
      </c>
      <c r="N1081">
        <v>37000</v>
      </c>
      <c r="O1081" s="8" t="s">
        <v>1701</v>
      </c>
      <c r="P1081" s="8" t="s">
        <v>1555</v>
      </c>
      <c r="Q1081" s="8" t="s">
        <v>1554</v>
      </c>
      <c r="R1081" s="8" t="s">
        <v>82</v>
      </c>
      <c r="S1081" s="8" t="s">
        <v>1542</v>
      </c>
      <c r="T1081" s="8" t="s">
        <v>1581</v>
      </c>
      <c r="U1081" s="8" t="s">
        <v>1580</v>
      </c>
      <c r="V1081">
        <v>18500</v>
      </c>
      <c r="W1081">
        <v>13900</v>
      </c>
      <c r="X1081">
        <v>37000</v>
      </c>
      <c r="Y1081">
        <v>9200</v>
      </c>
    </row>
    <row r="1082" spans="1:25" x14ac:dyDescent="0.3">
      <c r="A1082" s="8" t="s">
        <v>1426</v>
      </c>
      <c r="B1082" s="14">
        <v>46063</v>
      </c>
      <c r="C1082" s="8" t="s">
        <v>58</v>
      </c>
      <c r="D1082" s="8" t="s">
        <v>45</v>
      </c>
      <c r="E1082" s="8" t="s">
        <v>63</v>
      </c>
      <c r="F1082">
        <v>2</v>
      </c>
      <c r="G1082">
        <v>2200</v>
      </c>
      <c r="H1082">
        <v>0</v>
      </c>
      <c r="I1082" s="8" t="s">
        <v>66</v>
      </c>
      <c r="J1082" s="8" t="s">
        <v>31</v>
      </c>
      <c r="K1082" s="8" t="s">
        <v>25</v>
      </c>
      <c r="L1082">
        <v>4400</v>
      </c>
      <c r="M1082" s="8" t="s">
        <v>42</v>
      </c>
      <c r="N1082">
        <v>4400</v>
      </c>
      <c r="O1082" s="8" t="s">
        <v>1701</v>
      </c>
      <c r="P1082" s="8" t="s">
        <v>1547</v>
      </c>
      <c r="Q1082" s="8" t="s">
        <v>1541</v>
      </c>
      <c r="R1082" s="8" t="s">
        <v>56</v>
      </c>
      <c r="S1082" s="8" t="s">
        <v>1542</v>
      </c>
      <c r="T1082" s="8" t="s">
        <v>1572</v>
      </c>
      <c r="U1082" s="8" t="s">
        <v>1571</v>
      </c>
      <c r="V1082">
        <v>2200</v>
      </c>
      <c r="W1082">
        <v>1450</v>
      </c>
      <c r="X1082">
        <v>0</v>
      </c>
      <c r="Y1082">
        <v>-2900</v>
      </c>
    </row>
    <row r="1083" spans="1:25" x14ac:dyDescent="0.3">
      <c r="A1083" s="8" t="s">
        <v>1427</v>
      </c>
      <c r="B1083" s="14">
        <v>46172</v>
      </c>
      <c r="C1083" s="8" t="s">
        <v>332</v>
      </c>
      <c r="D1083" s="8" t="s">
        <v>62</v>
      </c>
      <c r="E1083" s="8" t="s">
        <v>135</v>
      </c>
      <c r="F1083">
        <v>3</v>
      </c>
      <c r="G1083">
        <v>16800</v>
      </c>
      <c r="H1083">
        <v>0</v>
      </c>
      <c r="I1083" s="8" t="s">
        <v>17</v>
      </c>
      <c r="J1083" s="8" t="s">
        <v>47</v>
      </c>
      <c r="K1083" s="8" t="s">
        <v>1698</v>
      </c>
      <c r="L1083">
        <v>50400</v>
      </c>
      <c r="M1083" s="8" t="s">
        <v>59</v>
      </c>
      <c r="N1083">
        <v>50400</v>
      </c>
      <c r="O1083" s="8" t="s">
        <v>1701</v>
      </c>
      <c r="P1083" s="8" t="s">
        <v>1551</v>
      </c>
      <c r="Q1083" s="8" t="s">
        <v>1549</v>
      </c>
      <c r="R1083" s="8" t="s">
        <v>1552</v>
      </c>
      <c r="S1083" s="8" t="s">
        <v>1542</v>
      </c>
      <c r="T1083" s="8" t="s">
        <v>1576</v>
      </c>
      <c r="U1083" s="8" t="s">
        <v>1575</v>
      </c>
      <c r="V1083">
        <v>16800</v>
      </c>
      <c r="W1083">
        <v>12600</v>
      </c>
      <c r="X1083">
        <v>50400</v>
      </c>
      <c r="Y1083">
        <v>12600</v>
      </c>
    </row>
    <row r="1084" spans="1:25" x14ac:dyDescent="0.3">
      <c r="A1084" s="8" t="s">
        <v>1428</v>
      </c>
      <c r="B1084" s="14">
        <v>46075</v>
      </c>
      <c r="C1084" s="8" t="s">
        <v>264</v>
      </c>
      <c r="D1084" s="8" t="s">
        <v>152</v>
      </c>
      <c r="E1084" s="8" t="s">
        <v>85</v>
      </c>
      <c r="F1084">
        <v>2</v>
      </c>
      <c r="G1084">
        <v>46075</v>
      </c>
      <c r="H1084">
        <v>0.2</v>
      </c>
      <c r="I1084" s="8" t="s">
        <v>80</v>
      </c>
      <c r="J1084" s="8" t="s">
        <v>18</v>
      </c>
      <c r="K1084" s="8" t="s">
        <v>1698</v>
      </c>
      <c r="L1084">
        <v>73720</v>
      </c>
      <c r="M1084" s="8" t="s">
        <v>48</v>
      </c>
      <c r="N1084">
        <v>73720</v>
      </c>
      <c r="O1084" s="8" t="s">
        <v>1701</v>
      </c>
      <c r="P1084" s="8" t="s">
        <v>1553</v>
      </c>
      <c r="Q1084" s="8" t="s">
        <v>1554</v>
      </c>
      <c r="R1084" s="8" t="s">
        <v>59</v>
      </c>
      <c r="S1084" s="8" t="s">
        <v>1542</v>
      </c>
      <c r="T1084" s="8" t="s">
        <v>1585</v>
      </c>
      <c r="U1084" s="8" t="s">
        <v>1586</v>
      </c>
      <c r="V1084">
        <v>48500</v>
      </c>
      <c r="W1084">
        <v>41200</v>
      </c>
      <c r="X1084">
        <v>0</v>
      </c>
      <c r="Y1084">
        <v>-82400</v>
      </c>
    </row>
    <row r="1085" spans="1:25" x14ac:dyDescent="0.3">
      <c r="A1085" s="8" t="s">
        <v>1429</v>
      </c>
      <c r="B1085" s="14">
        <v>46179</v>
      </c>
      <c r="C1085" s="8" t="s">
        <v>457</v>
      </c>
      <c r="D1085" s="8" t="s">
        <v>123</v>
      </c>
      <c r="E1085" s="8" t="s">
        <v>16</v>
      </c>
      <c r="F1085">
        <v>2</v>
      </c>
      <c r="G1085">
        <v>617.5</v>
      </c>
      <c r="H1085">
        <v>0</v>
      </c>
      <c r="I1085" s="8" t="s">
        <v>80</v>
      </c>
      <c r="J1085" s="8" t="s">
        <v>71</v>
      </c>
      <c r="K1085" s="8" t="s">
        <v>67</v>
      </c>
      <c r="L1085">
        <v>1235</v>
      </c>
      <c r="M1085" s="8" t="s">
        <v>20</v>
      </c>
      <c r="N1085">
        <v>1235</v>
      </c>
      <c r="O1085" s="8" t="s">
        <v>1701</v>
      </c>
      <c r="P1085" s="8" t="s">
        <v>1558</v>
      </c>
      <c r="Q1085" s="8" t="s">
        <v>1559</v>
      </c>
      <c r="R1085" s="8" t="s">
        <v>138</v>
      </c>
      <c r="S1085" s="8" t="s">
        <v>1542</v>
      </c>
      <c r="T1085" s="8" t="s">
        <v>1570</v>
      </c>
      <c r="U1085" s="8" t="s">
        <v>1571</v>
      </c>
      <c r="V1085">
        <v>650</v>
      </c>
      <c r="W1085">
        <v>390</v>
      </c>
      <c r="X1085">
        <v>0</v>
      </c>
      <c r="Y1085">
        <v>-780</v>
      </c>
    </row>
    <row r="1086" spans="1:25" x14ac:dyDescent="0.3">
      <c r="A1086" s="8" t="s">
        <v>1430</v>
      </c>
      <c r="B1086" s="14">
        <v>46049</v>
      </c>
      <c r="C1086" s="8" t="s">
        <v>774</v>
      </c>
      <c r="D1086" s="8" t="s">
        <v>168</v>
      </c>
      <c r="E1086" s="8" t="s">
        <v>46</v>
      </c>
      <c r="F1086">
        <v>2</v>
      </c>
      <c r="G1086">
        <v>8190</v>
      </c>
      <c r="H1086">
        <v>0.2</v>
      </c>
      <c r="I1086" s="8" t="s">
        <v>17</v>
      </c>
      <c r="J1086" s="8" t="s">
        <v>71</v>
      </c>
      <c r="K1086" s="8" t="s">
        <v>1698</v>
      </c>
      <c r="L1086">
        <v>13104</v>
      </c>
      <c r="M1086" s="8" t="s">
        <v>20</v>
      </c>
      <c r="N1086">
        <v>13104</v>
      </c>
      <c r="O1086" s="8" t="s">
        <v>1701</v>
      </c>
      <c r="P1086" s="8" t="s">
        <v>1540</v>
      </c>
      <c r="Q1086" s="8" t="s">
        <v>1541</v>
      </c>
      <c r="R1086" s="8" t="s">
        <v>20</v>
      </c>
      <c r="S1086" s="8" t="s">
        <v>1542</v>
      </c>
      <c r="T1086" s="8" t="s">
        <v>1579</v>
      </c>
      <c r="U1086" s="8" t="s">
        <v>1580</v>
      </c>
      <c r="V1086">
        <v>7800</v>
      </c>
      <c r="W1086">
        <v>5200</v>
      </c>
      <c r="X1086">
        <v>13104</v>
      </c>
      <c r="Y1086">
        <v>2704</v>
      </c>
    </row>
    <row r="1087" spans="1:25" x14ac:dyDescent="0.3">
      <c r="A1087" s="8" t="s">
        <v>1432</v>
      </c>
      <c r="B1087" s="14">
        <v>46201</v>
      </c>
      <c r="C1087" s="8" t="s">
        <v>440</v>
      </c>
      <c r="D1087" s="8" t="s">
        <v>50</v>
      </c>
      <c r="E1087" s="8" t="s">
        <v>161</v>
      </c>
      <c r="F1087">
        <v>3</v>
      </c>
      <c r="G1087">
        <v>2730</v>
      </c>
      <c r="H1087">
        <v>0.15</v>
      </c>
      <c r="I1087" s="8" t="s">
        <v>17</v>
      </c>
      <c r="J1087" s="8" t="s">
        <v>47</v>
      </c>
      <c r="K1087" s="8" t="s">
        <v>67</v>
      </c>
      <c r="L1087">
        <v>6961.5</v>
      </c>
      <c r="M1087" s="8" t="s">
        <v>52</v>
      </c>
      <c r="N1087">
        <v>6961.5</v>
      </c>
      <c r="O1087" s="8" t="s">
        <v>1701</v>
      </c>
      <c r="P1087" s="8" t="s">
        <v>1544</v>
      </c>
      <c r="Q1087" s="8" t="s">
        <v>1541</v>
      </c>
      <c r="R1087" s="8" t="s">
        <v>26</v>
      </c>
      <c r="S1087" s="8" t="s">
        <v>1542</v>
      </c>
      <c r="T1087" s="8" t="s">
        <v>1578</v>
      </c>
      <c r="U1087" s="8" t="s">
        <v>1571</v>
      </c>
      <c r="V1087">
        <v>2600</v>
      </c>
      <c r="W1087">
        <v>1750</v>
      </c>
      <c r="X1087">
        <v>6961.5</v>
      </c>
      <c r="Y1087">
        <v>1711.5</v>
      </c>
    </row>
    <row r="1088" spans="1:25" x14ac:dyDescent="0.3">
      <c r="A1088" s="8" t="s">
        <v>1433</v>
      </c>
      <c r="B1088" s="14">
        <v>46110</v>
      </c>
      <c r="C1088" s="8" t="s">
        <v>450</v>
      </c>
      <c r="D1088" s="8" t="s">
        <v>70</v>
      </c>
      <c r="E1088" s="8" t="s">
        <v>16</v>
      </c>
      <c r="F1088">
        <v>1</v>
      </c>
      <c r="G1088">
        <v>650</v>
      </c>
      <c r="H1088">
        <v>0</v>
      </c>
      <c r="I1088" s="8" t="s">
        <v>17</v>
      </c>
      <c r="J1088" s="8" t="s">
        <v>31</v>
      </c>
      <c r="K1088" s="8" t="s">
        <v>1698</v>
      </c>
      <c r="L1088">
        <v>650</v>
      </c>
      <c r="M1088" s="8" t="s">
        <v>52</v>
      </c>
      <c r="N1088">
        <v>650</v>
      </c>
      <c r="O1088" s="8" t="s">
        <v>1701</v>
      </c>
      <c r="P1088" s="8" t="s">
        <v>1550</v>
      </c>
      <c r="Q1088" s="8" t="s">
        <v>1549</v>
      </c>
      <c r="R1088" s="8" t="s">
        <v>32</v>
      </c>
      <c r="S1088" s="8" t="s">
        <v>1542</v>
      </c>
      <c r="T1088" s="8" t="s">
        <v>1570</v>
      </c>
      <c r="U1088" s="8" t="s">
        <v>1571</v>
      </c>
      <c r="V1088">
        <v>650</v>
      </c>
      <c r="W1088">
        <v>390</v>
      </c>
      <c r="X1088">
        <v>650</v>
      </c>
      <c r="Y1088">
        <v>260</v>
      </c>
    </row>
    <row r="1089" spans="1:25" x14ac:dyDescent="0.3">
      <c r="A1089" s="8" t="s">
        <v>1434</v>
      </c>
      <c r="B1089" s="14">
        <v>46037</v>
      </c>
      <c r="C1089" s="8" t="s">
        <v>308</v>
      </c>
      <c r="D1089" s="8" t="s">
        <v>15</v>
      </c>
      <c r="E1089" s="8" t="s">
        <v>16</v>
      </c>
      <c r="F1089">
        <v>1</v>
      </c>
      <c r="G1089">
        <v>650</v>
      </c>
      <c r="H1089">
        <v>0</v>
      </c>
      <c r="I1089" s="8" t="s">
        <v>17</v>
      </c>
      <c r="J1089" s="8" t="s">
        <v>71</v>
      </c>
      <c r="K1089" s="8" t="s">
        <v>67</v>
      </c>
      <c r="L1089">
        <v>650</v>
      </c>
      <c r="M1089" s="8" t="s">
        <v>59</v>
      </c>
      <c r="N1089">
        <v>650</v>
      </c>
      <c r="O1089" s="8" t="s">
        <v>1701</v>
      </c>
      <c r="P1089" s="8" t="s">
        <v>1543</v>
      </c>
      <c r="Q1089" s="8" t="s">
        <v>1541</v>
      </c>
      <c r="R1089" s="8" t="s">
        <v>52</v>
      </c>
      <c r="S1089" s="8" t="s">
        <v>1542</v>
      </c>
      <c r="T1089" s="8" t="s">
        <v>1570</v>
      </c>
      <c r="U1089" s="8" t="s">
        <v>1571</v>
      </c>
      <c r="V1089">
        <v>650</v>
      </c>
      <c r="W1089">
        <v>390</v>
      </c>
      <c r="X1089">
        <v>650</v>
      </c>
      <c r="Y1089">
        <v>260</v>
      </c>
    </row>
    <row r="1090" spans="1:25" x14ac:dyDescent="0.3">
      <c r="A1090" s="8" t="s">
        <v>1435</v>
      </c>
      <c r="B1090" s="14">
        <v>46178</v>
      </c>
      <c r="C1090" s="8" t="s">
        <v>623</v>
      </c>
      <c r="D1090" s="8" t="s">
        <v>70</v>
      </c>
      <c r="E1090" s="8" t="s">
        <v>46</v>
      </c>
      <c r="F1090">
        <v>3</v>
      </c>
      <c r="G1090">
        <v>7800</v>
      </c>
      <c r="H1090">
        <v>0.2</v>
      </c>
      <c r="I1090" s="8" t="s">
        <v>17</v>
      </c>
      <c r="J1090" s="8" t="s">
        <v>18</v>
      </c>
      <c r="K1090" s="8" t="s">
        <v>67</v>
      </c>
      <c r="L1090">
        <v>18720</v>
      </c>
      <c r="M1090" s="8" t="s">
        <v>52</v>
      </c>
      <c r="N1090">
        <v>18720</v>
      </c>
      <c r="O1090" s="8" t="s">
        <v>1701</v>
      </c>
      <c r="P1090" s="8" t="s">
        <v>1550</v>
      </c>
      <c r="Q1090" s="8" t="s">
        <v>1549</v>
      </c>
      <c r="R1090" s="8" t="s">
        <v>32</v>
      </c>
      <c r="S1090" s="8" t="s">
        <v>1542</v>
      </c>
      <c r="T1090" s="8" t="s">
        <v>1579</v>
      </c>
      <c r="U1090" s="8" t="s">
        <v>1580</v>
      </c>
      <c r="V1090">
        <v>7800</v>
      </c>
      <c r="W1090">
        <v>5200</v>
      </c>
      <c r="X1090">
        <v>18720</v>
      </c>
      <c r="Y1090">
        <v>3120</v>
      </c>
    </row>
    <row r="1091" spans="1:25" x14ac:dyDescent="0.3">
      <c r="A1091" s="8" t="s">
        <v>1436</v>
      </c>
      <c r="B1091" s="14">
        <v>46136</v>
      </c>
      <c r="C1091" s="8" t="s">
        <v>129</v>
      </c>
      <c r="D1091" s="8" t="s">
        <v>123</v>
      </c>
      <c r="E1091" s="8" t="s">
        <v>135</v>
      </c>
      <c r="F1091">
        <v>8</v>
      </c>
      <c r="G1091">
        <v>16800</v>
      </c>
      <c r="H1091">
        <v>0.15</v>
      </c>
      <c r="I1091" s="8" t="s">
        <v>17</v>
      </c>
      <c r="J1091" s="8" t="s">
        <v>47</v>
      </c>
      <c r="K1091" s="8" t="s">
        <v>25</v>
      </c>
      <c r="L1091">
        <v>114240</v>
      </c>
      <c r="M1091" s="8" t="s">
        <v>82</v>
      </c>
      <c r="N1091">
        <v>114240</v>
      </c>
      <c r="O1091" s="8" t="s">
        <v>1701</v>
      </c>
      <c r="P1091" s="8" t="s">
        <v>1558</v>
      </c>
      <c r="Q1091" s="8" t="s">
        <v>1559</v>
      </c>
      <c r="R1091" s="8" t="s">
        <v>138</v>
      </c>
      <c r="S1091" s="8" t="s">
        <v>1542</v>
      </c>
      <c r="T1091" s="8" t="s">
        <v>1576</v>
      </c>
      <c r="U1091" s="8" t="s">
        <v>1575</v>
      </c>
      <c r="V1091">
        <v>16800</v>
      </c>
      <c r="W1091">
        <v>12600</v>
      </c>
      <c r="X1091">
        <v>114240</v>
      </c>
      <c r="Y1091">
        <v>13440</v>
      </c>
    </row>
    <row r="1092" spans="1:25" x14ac:dyDescent="0.3">
      <c r="A1092" s="8" t="s">
        <v>1437</v>
      </c>
      <c r="B1092" s="14">
        <v>46049</v>
      </c>
      <c r="C1092" s="8" t="s">
        <v>559</v>
      </c>
      <c r="D1092" s="8" t="s">
        <v>168</v>
      </c>
      <c r="E1092" s="8" t="s">
        <v>36</v>
      </c>
      <c r="F1092">
        <v>5</v>
      </c>
      <c r="G1092">
        <v>1470</v>
      </c>
      <c r="H1092">
        <v>0.2</v>
      </c>
      <c r="I1092" s="8" t="s">
        <v>80</v>
      </c>
      <c r="J1092" s="8" t="s">
        <v>31</v>
      </c>
      <c r="K1092" s="8" t="s">
        <v>41</v>
      </c>
      <c r="L1092">
        <v>5880</v>
      </c>
      <c r="M1092" s="8" t="s">
        <v>59</v>
      </c>
      <c r="N1092">
        <v>5880</v>
      </c>
      <c r="O1092" s="8" t="s">
        <v>1701</v>
      </c>
      <c r="P1092" s="8" t="s">
        <v>1540</v>
      </c>
      <c r="Q1092" s="8" t="s">
        <v>1541</v>
      </c>
      <c r="R1092" s="8" t="s">
        <v>20</v>
      </c>
      <c r="S1092" s="8" t="s">
        <v>1542</v>
      </c>
      <c r="T1092" s="8" t="s">
        <v>1577</v>
      </c>
      <c r="U1092" s="8" t="s">
        <v>1571</v>
      </c>
      <c r="V1092">
        <v>1400</v>
      </c>
      <c r="W1092">
        <v>780</v>
      </c>
      <c r="X1092">
        <v>0</v>
      </c>
      <c r="Y1092">
        <v>-3900</v>
      </c>
    </row>
    <row r="1093" spans="1:25" x14ac:dyDescent="0.3">
      <c r="A1093" s="8" t="s">
        <v>1438</v>
      </c>
      <c r="B1093" s="14">
        <v>46156</v>
      </c>
      <c r="C1093" s="8" t="s">
        <v>499</v>
      </c>
      <c r="D1093" s="8" t="s">
        <v>23</v>
      </c>
      <c r="E1093" s="8" t="s">
        <v>135</v>
      </c>
      <c r="F1093">
        <v>4</v>
      </c>
      <c r="G1093">
        <v>16800</v>
      </c>
      <c r="H1093">
        <v>0</v>
      </c>
      <c r="I1093" s="8" t="s">
        <v>17</v>
      </c>
      <c r="J1093" s="8" t="s">
        <v>71</v>
      </c>
      <c r="K1093" s="8" t="s">
        <v>55</v>
      </c>
      <c r="L1093">
        <v>67200</v>
      </c>
      <c r="M1093" s="8" t="s">
        <v>56</v>
      </c>
      <c r="N1093">
        <v>67200</v>
      </c>
      <c r="O1093" s="8" t="s">
        <v>1701</v>
      </c>
      <c r="P1093" s="8" t="s">
        <v>1545</v>
      </c>
      <c r="Q1093" s="8" t="s">
        <v>1541</v>
      </c>
      <c r="R1093" s="8" t="s">
        <v>1546</v>
      </c>
      <c r="S1093" s="8" t="s">
        <v>1542</v>
      </c>
      <c r="T1093" s="8" t="s">
        <v>1576</v>
      </c>
      <c r="U1093" s="8" t="s">
        <v>1575</v>
      </c>
      <c r="V1093">
        <v>16800</v>
      </c>
      <c r="W1093">
        <v>12600</v>
      </c>
      <c r="X1093">
        <v>67200</v>
      </c>
      <c r="Y1093">
        <v>16800</v>
      </c>
    </row>
    <row r="1094" spans="1:25" x14ac:dyDescent="0.3">
      <c r="A1094" s="8" t="s">
        <v>1439</v>
      </c>
      <c r="B1094" s="14">
        <v>46052</v>
      </c>
      <c r="C1094" s="8" t="s">
        <v>115</v>
      </c>
      <c r="D1094" s="8" t="s">
        <v>168</v>
      </c>
      <c r="E1094" s="8" t="s">
        <v>46</v>
      </c>
      <c r="F1094">
        <v>4</v>
      </c>
      <c r="G1094">
        <v>8190</v>
      </c>
      <c r="H1094">
        <v>0.05</v>
      </c>
      <c r="I1094" s="8" t="s">
        <v>17</v>
      </c>
      <c r="J1094" s="8" t="s">
        <v>31</v>
      </c>
      <c r="K1094" s="8" t="s">
        <v>1698</v>
      </c>
      <c r="L1094">
        <v>31122</v>
      </c>
      <c r="M1094" s="8" t="s">
        <v>26</v>
      </c>
      <c r="N1094">
        <v>31122</v>
      </c>
      <c r="O1094" s="8" t="s">
        <v>1701</v>
      </c>
      <c r="P1094" s="8" t="s">
        <v>1540</v>
      </c>
      <c r="Q1094" s="8" t="s">
        <v>1541</v>
      </c>
      <c r="R1094" s="8" t="s">
        <v>20</v>
      </c>
      <c r="S1094" s="8" t="s">
        <v>1542</v>
      </c>
      <c r="T1094" s="8" t="s">
        <v>1579</v>
      </c>
      <c r="U1094" s="8" t="s">
        <v>1580</v>
      </c>
      <c r="V1094">
        <v>7800</v>
      </c>
      <c r="W1094">
        <v>5200</v>
      </c>
      <c r="X1094">
        <v>31122</v>
      </c>
      <c r="Y1094">
        <v>10322</v>
      </c>
    </row>
    <row r="1095" spans="1:25" x14ac:dyDescent="0.3">
      <c r="A1095" s="8" t="s">
        <v>1440</v>
      </c>
      <c r="B1095" s="14">
        <v>46179</v>
      </c>
      <c r="C1095" s="8" t="s">
        <v>338</v>
      </c>
      <c r="D1095" s="8" t="s">
        <v>70</v>
      </c>
      <c r="E1095" s="8" t="s">
        <v>46</v>
      </c>
      <c r="F1095">
        <v>1</v>
      </c>
      <c r="G1095">
        <v>7410</v>
      </c>
      <c r="H1095">
        <v>0.1</v>
      </c>
      <c r="I1095" s="8" t="s">
        <v>17</v>
      </c>
      <c r="J1095" s="8" t="s">
        <v>71</v>
      </c>
      <c r="K1095" s="8" t="s">
        <v>55</v>
      </c>
      <c r="L1095">
        <v>6669</v>
      </c>
      <c r="M1095" s="8" t="s">
        <v>59</v>
      </c>
      <c r="N1095">
        <v>6669</v>
      </c>
      <c r="O1095" s="8" t="s">
        <v>1701</v>
      </c>
      <c r="P1095" s="8" t="s">
        <v>1550</v>
      </c>
      <c r="Q1095" s="8" t="s">
        <v>1549</v>
      </c>
      <c r="R1095" s="8" t="s">
        <v>32</v>
      </c>
      <c r="S1095" s="8" t="s">
        <v>1542</v>
      </c>
      <c r="T1095" s="8" t="s">
        <v>1579</v>
      </c>
      <c r="U1095" s="8" t="s">
        <v>1580</v>
      </c>
      <c r="V1095">
        <v>7800</v>
      </c>
      <c r="W1095">
        <v>5200</v>
      </c>
      <c r="X1095">
        <v>6669</v>
      </c>
      <c r="Y1095">
        <v>1469</v>
      </c>
    </row>
    <row r="1096" spans="1:25" x14ac:dyDescent="0.3">
      <c r="A1096" s="8" t="s">
        <v>1441</v>
      </c>
      <c r="B1096" s="14">
        <v>46191</v>
      </c>
      <c r="C1096" s="8" t="s">
        <v>175</v>
      </c>
      <c r="D1096" s="8" t="s">
        <v>70</v>
      </c>
      <c r="E1096" s="8" t="s">
        <v>51</v>
      </c>
      <c r="F1096">
        <v>1</v>
      </c>
      <c r="G1096">
        <v>18500</v>
      </c>
      <c r="H1096">
        <v>0.05</v>
      </c>
      <c r="I1096" s="8" t="s">
        <v>17</v>
      </c>
      <c r="J1096" s="8" t="s">
        <v>47</v>
      </c>
      <c r="K1096" s="8" t="s">
        <v>67</v>
      </c>
      <c r="L1096">
        <v>17575</v>
      </c>
      <c r="M1096" s="8" t="s">
        <v>48</v>
      </c>
      <c r="N1096">
        <v>17575</v>
      </c>
      <c r="O1096" s="8" t="s">
        <v>1701</v>
      </c>
      <c r="P1096" s="8" t="s">
        <v>1550</v>
      </c>
      <c r="Q1096" s="8" t="s">
        <v>1549</v>
      </c>
      <c r="R1096" s="8" t="s">
        <v>32</v>
      </c>
      <c r="S1096" s="8" t="s">
        <v>1542</v>
      </c>
      <c r="T1096" s="8" t="s">
        <v>1581</v>
      </c>
      <c r="U1096" s="8" t="s">
        <v>1580</v>
      </c>
      <c r="V1096">
        <v>18500</v>
      </c>
      <c r="W1096">
        <v>13900</v>
      </c>
      <c r="X1096">
        <v>17575</v>
      </c>
      <c r="Y1096">
        <v>3675</v>
      </c>
    </row>
    <row r="1097" spans="1:25" x14ac:dyDescent="0.3">
      <c r="A1097" s="8" t="s">
        <v>1442</v>
      </c>
      <c r="B1097" s="14">
        <v>46078</v>
      </c>
      <c r="C1097" s="8" t="s">
        <v>857</v>
      </c>
      <c r="D1097" s="8" t="s">
        <v>29</v>
      </c>
      <c r="E1097" s="8" t="s">
        <v>16</v>
      </c>
      <c r="F1097">
        <v>2</v>
      </c>
      <c r="G1097">
        <v>682.5</v>
      </c>
      <c r="H1097">
        <v>0.15</v>
      </c>
      <c r="I1097" s="8" t="s">
        <v>17</v>
      </c>
      <c r="J1097" s="8" t="s">
        <v>31</v>
      </c>
      <c r="K1097" s="8" t="s">
        <v>25</v>
      </c>
      <c r="L1097">
        <v>1160.25</v>
      </c>
      <c r="M1097" s="8" t="s">
        <v>32</v>
      </c>
      <c r="N1097">
        <v>1160.25</v>
      </c>
      <c r="O1097" s="8" t="s">
        <v>1701</v>
      </c>
      <c r="P1097" s="8" t="s">
        <v>1560</v>
      </c>
      <c r="Q1097" s="8" t="s">
        <v>1559</v>
      </c>
      <c r="R1097" s="8" t="s">
        <v>1561</v>
      </c>
      <c r="S1097" s="8" t="s">
        <v>1542</v>
      </c>
      <c r="T1097" s="8" t="s">
        <v>1570</v>
      </c>
      <c r="U1097" s="8" t="s">
        <v>1571</v>
      </c>
      <c r="V1097">
        <v>650</v>
      </c>
      <c r="W1097">
        <v>390</v>
      </c>
      <c r="X1097">
        <v>1160.25</v>
      </c>
      <c r="Y1097">
        <v>380.25</v>
      </c>
    </row>
    <row r="1098" spans="1:25" x14ac:dyDescent="0.3">
      <c r="A1098" s="8" t="s">
        <v>1443</v>
      </c>
      <c r="B1098" s="14">
        <v>46196</v>
      </c>
      <c r="C1098" s="8" t="s">
        <v>848</v>
      </c>
      <c r="D1098" s="8" t="s">
        <v>45</v>
      </c>
      <c r="E1098" s="8" t="s">
        <v>51</v>
      </c>
      <c r="F1098">
        <v>2</v>
      </c>
      <c r="G1098">
        <v>18500</v>
      </c>
      <c r="H1098">
        <v>0.15</v>
      </c>
      <c r="I1098" s="8" t="s">
        <v>17</v>
      </c>
      <c r="J1098" s="8" t="s">
        <v>18</v>
      </c>
      <c r="K1098" s="8" t="s">
        <v>55</v>
      </c>
      <c r="L1098">
        <v>31450</v>
      </c>
      <c r="M1098" s="8" t="s">
        <v>52</v>
      </c>
      <c r="N1098">
        <v>31450</v>
      </c>
      <c r="O1098" s="8" t="s">
        <v>1701</v>
      </c>
      <c r="P1098" s="8" t="s">
        <v>1547</v>
      </c>
      <c r="Q1098" s="8" t="s">
        <v>1541</v>
      </c>
      <c r="R1098" s="8" t="s">
        <v>56</v>
      </c>
      <c r="S1098" s="8" t="s">
        <v>1542</v>
      </c>
      <c r="T1098" s="8" t="s">
        <v>1581</v>
      </c>
      <c r="U1098" s="8" t="s">
        <v>1580</v>
      </c>
      <c r="V1098">
        <v>18500</v>
      </c>
      <c r="W1098">
        <v>13900</v>
      </c>
      <c r="X1098">
        <v>31450</v>
      </c>
      <c r="Y1098">
        <v>3650</v>
      </c>
    </row>
    <row r="1099" spans="1:25" x14ac:dyDescent="0.3">
      <c r="A1099" s="8" t="s">
        <v>1444</v>
      </c>
      <c r="B1099" s="14">
        <v>46056</v>
      </c>
      <c r="C1099" s="8" t="s">
        <v>747</v>
      </c>
      <c r="D1099" s="8" t="s">
        <v>77</v>
      </c>
      <c r="E1099" s="8" t="s">
        <v>16</v>
      </c>
      <c r="F1099">
        <v>1</v>
      </c>
      <c r="G1099">
        <v>617.5</v>
      </c>
      <c r="H1099">
        <v>0.2</v>
      </c>
      <c r="I1099" s="8" t="s">
        <v>80</v>
      </c>
      <c r="J1099" s="8" t="s">
        <v>47</v>
      </c>
      <c r="K1099" s="8" t="s">
        <v>67</v>
      </c>
      <c r="L1099">
        <v>494</v>
      </c>
      <c r="M1099" s="8" t="s">
        <v>48</v>
      </c>
      <c r="N1099">
        <v>494</v>
      </c>
      <c r="O1099" s="8" t="s">
        <v>1701</v>
      </c>
      <c r="P1099" s="8" t="s">
        <v>1564</v>
      </c>
      <c r="Q1099" s="8" t="s">
        <v>1563</v>
      </c>
      <c r="R1099" s="8" t="s">
        <v>1565</v>
      </c>
      <c r="S1099" s="8" t="s">
        <v>1542</v>
      </c>
      <c r="T1099" s="8" t="s">
        <v>1570</v>
      </c>
      <c r="U1099" s="8" t="s">
        <v>1571</v>
      </c>
      <c r="V1099">
        <v>650</v>
      </c>
      <c r="W1099">
        <v>390</v>
      </c>
      <c r="X1099">
        <v>0</v>
      </c>
      <c r="Y1099">
        <v>-390</v>
      </c>
    </row>
    <row r="1100" spans="1:25" x14ac:dyDescent="0.3">
      <c r="A1100" s="8" t="s">
        <v>1445</v>
      </c>
      <c r="B1100" s="14">
        <v>46124</v>
      </c>
      <c r="C1100" s="8" t="s">
        <v>669</v>
      </c>
      <c r="D1100" s="8" t="s">
        <v>168</v>
      </c>
      <c r="E1100" s="8" t="s">
        <v>183</v>
      </c>
      <c r="F1100">
        <v>1</v>
      </c>
      <c r="G1100">
        <v>3040</v>
      </c>
      <c r="H1100">
        <v>0.05</v>
      </c>
      <c r="I1100" s="8" t="s">
        <v>17</v>
      </c>
      <c r="J1100" s="8" t="s">
        <v>47</v>
      </c>
      <c r="K1100" s="8" t="s">
        <v>25</v>
      </c>
      <c r="L1100">
        <v>2888</v>
      </c>
      <c r="M1100" s="8" t="s">
        <v>138</v>
      </c>
      <c r="N1100">
        <v>2888</v>
      </c>
      <c r="O1100" s="8" t="s">
        <v>1701</v>
      </c>
      <c r="P1100" s="8" t="s">
        <v>1540</v>
      </c>
      <c r="Q1100" s="8" t="s">
        <v>1541</v>
      </c>
      <c r="R1100" s="8" t="s">
        <v>20</v>
      </c>
      <c r="S1100" s="8" t="s">
        <v>1542</v>
      </c>
      <c r="T1100" s="8" t="s">
        <v>1582</v>
      </c>
      <c r="U1100" s="8" t="s">
        <v>1583</v>
      </c>
      <c r="V1100">
        <v>3200</v>
      </c>
      <c r="W1100">
        <v>2050</v>
      </c>
      <c r="X1100">
        <v>2888</v>
      </c>
      <c r="Y1100">
        <v>838</v>
      </c>
    </row>
    <row r="1101" spans="1:25" x14ac:dyDescent="0.3">
      <c r="A1101" s="8" t="s">
        <v>1446</v>
      </c>
      <c r="B1101" s="14">
        <v>46090</v>
      </c>
      <c r="C1101" s="8" t="s">
        <v>499</v>
      </c>
      <c r="D1101" s="8" t="s">
        <v>90</v>
      </c>
      <c r="E1101" s="8" t="s">
        <v>30</v>
      </c>
      <c r="F1101">
        <v>2</v>
      </c>
      <c r="G1101">
        <v>1890</v>
      </c>
      <c r="H1101">
        <v>0</v>
      </c>
      <c r="I1101" s="8" t="s">
        <v>17</v>
      </c>
      <c r="J1101" s="8" t="s">
        <v>47</v>
      </c>
      <c r="K1101" s="8" t="s">
        <v>55</v>
      </c>
      <c r="L1101">
        <v>3780</v>
      </c>
      <c r="M1101" s="8" t="s">
        <v>82</v>
      </c>
      <c r="N1101">
        <v>3780</v>
      </c>
      <c r="O1101" s="8" t="s">
        <v>1701</v>
      </c>
      <c r="P1101" s="8" t="s">
        <v>1562</v>
      </c>
      <c r="Q1101" s="8" t="s">
        <v>1563</v>
      </c>
      <c r="R1101" s="8" t="s">
        <v>48</v>
      </c>
      <c r="S1101" s="8" t="s">
        <v>1542</v>
      </c>
      <c r="T1101" s="8" t="s">
        <v>1573</v>
      </c>
      <c r="U1101" s="8" t="s">
        <v>1571</v>
      </c>
      <c r="V1101">
        <v>1800</v>
      </c>
      <c r="W1101">
        <v>1120</v>
      </c>
      <c r="X1101">
        <v>3780</v>
      </c>
      <c r="Y1101">
        <v>1540</v>
      </c>
    </row>
    <row r="1102" spans="1:25" x14ac:dyDescent="0.3">
      <c r="A1102" s="8" t="s">
        <v>1447</v>
      </c>
      <c r="B1102" s="14">
        <v>46078</v>
      </c>
      <c r="C1102" s="8" t="s">
        <v>260</v>
      </c>
      <c r="D1102" s="8" t="s">
        <v>70</v>
      </c>
      <c r="E1102" s="8" t="s">
        <v>16</v>
      </c>
      <c r="F1102">
        <v>3</v>
      </c>
      <c r="G1102">
        <v>650</v>
      </c>
      <c r="H1102">
        <v>0</v>
      </c>
      <c r="I1102" s="8" t="s">
        <v>17</v>
      </c>
      <c r="J1102" s="8" t="s">
        <v>18</v>
      </c>
      <c r="K1102" s="8" t="s">
        <v>41</v>
      </c>
      <c r="L1102">
        <v>1950</v>
      </c>
      <c r="M1102" s="8" t="s">
        <v>26</v>
      </c>
      <c r="N1102">
        <v>1950</v>
      </c>
      <c r="O1102" s="8" t="s">
        <v>1701</v>
      </c>
      <c r="P1102" s="8" t="s">
        <v>1550</v>
      </c>
      <c r="Q1102" s="8" t="s">
        <v>1549</v>
      </c>
      <c r="R1102" s="8" t="s">
        <v>32</v>
      </c>
      <c r="S1102" s="8" t="s">
        <v>1542</v>
      </c>
      <c r="T1102" s="8" t="s">
        <v>1570</v>
      </c>
      <c r="U1102" s="8" t="s">
        <v>1571</v>
      </c>
      <c r="V1102">
        <v>650</v>
      </c>
      <c r="W1102">
        <v>390</v>
      </c>
      <c r="X1102">
        <v>1950</v>
      </c>
      <c r="Y1102">
        <v>780</v>
      </c>
    </row>
    <row r="1103" spans="1:25" x14ac:dyDescent="0.3">
      <c r="A1103" s="8" t="s">
        <v>1448</v>
      </c>
      <c r="B1103" s="14">
        <v>46093</v>
      </c>
      <c r="C1103" s="8" t="s">
        <v>448</v>
      </c>
      <c r="D1103" s="8" t="s">
        <v>45</v>
      </c>
      <c r="E1103" s="8" t="s">
        <v>46</v>
      </c>
      <c r="F1103">
        <v>1</v>
      </c>
      <c r="G1103">
        <v>7410</v>
      </c>
      <c r="H1103">
        <v>0.2</v>
      </c>
      <c r="I1103" s="8" t="s">
        <v>17</v>
      </c>
      <c r="J1103" s="8" t="s">
        <v>31</v>
      </c>
      <c r="K1103" s="8" t="s">
        <v>1698</v>
      </c>
      <c r="L1103">
        <v>5928</v>
      </c>
      <c r="M1103" s="8" t="s">
        <v>59</v>
      </c>
      <c r="N1103">
        <v>5928</v>
      </c>
      <c r="O1103" s="8" t="s">
        <v>1701</v>
      </c>
      <c r="P1103" s="8" t="s">
        <v>1547</v>
      </c>
      <c r="Q1103" s="8" t="s">
        <v>1541</v>
      </c>
      <c r="R1103" s="8" t="s">
        <v>56</v>
      </c>
      <c r="S1103" s="8" t="s">
        <v>1542</v>
      </c>
      <c r="T1103" s="8" t="s">
        <v>1579</v>
      </c>
      <c r="U1103" s="8" t="s">
        <v>1580</v>
      </c>
      <c r="V1103">
        <v>7800</v>
      </c>
      <c r="W1103">
        <v>5200</v>
      </c>
      <c r="X1103">
        <v>5928</v>
      </c>
      <c r="Y1103">
        <v>728</v>
      </c>
    </row>
    <row r="1104" spans="1:25" x14ac:dyDescent="0.3">
      <c r="A1104" s="8" t="s">
        <v>1449</v>
      </c>
      <c r="B1104" s="14">
        <v>46198</v>
      </c>
      <c r="C1104" s="8" t="s">
        <v>426</v>
      </c>
      <c r="D1104" s="8" t="s">
        <v>152</v>
      </c>
      <c r="E1104" s="8" t="s">
        <v>46</v>
      </c>
      <c r="F1104">
        <v>3</v>
      </c>
      <c r="G1104">
        <v>7800</v>
      </c>
      <c r="H1104">
        <v>0</v>
      </c>
      <c r="I1104" s="8" t="s">
        <v>17</v>
      </c>
      <c r="J1104" s="8" t="s">
        <v>47</v>
      </c>
      <c r="K1104" s="8" t="s">
        <v>67</v>
      </c>
      <c r="L1104">
        <v>23400</v>
      </c>
      <c r="M1104" s="8" t="s">
        <v>20</v>
      </c>
      <c r="N1104">
        <v>23400</v>
      </c>
      <c r="O1104" s="8" t="s">
        <v>1701</v>
      </c>
      <c r="P1104" s="8" t="s">
        <v>1553</v>
      </c>
      <c r="Q1104" s="8" t="s">
        <v>1554</v>
      </c>
      <c r="R1104" s="8" t="s">
        <v>59</v>
      </c>
      <c r="S1104" s="8" t="s">
        <v>1542</v>
      </c>
      <c r="T1104" s="8" t="s">
        <v>1579</v>
      </c>
      <c r="U1104" s="8" t="s">
        <v>1580</v>
      </c>
      <c r="V1104">
        <v>7800</v>
      </c>
      <c r="W1104">
        <v>5200</v>
      </c>
      <c r="X1104">
        <v>23400</v>
      </c>
      <c r="Y1104">
        <v>7800</v>
      </c>
    </row>
    <row r="1105" spans="1:25" x14ac:dyDescent="0.3">
      <c r="A1105" s="8" t="s">
        <v>1450</v>
      </c>
      <c r="B1105" s="14">
        <v>46196</v>
      </c>
      <c r="C1105" s="8" t="s">
        <v>94</v>
      </c>
      <c r="D1105" s="8" t="s">
        <v>90</v>
      </c>
      <c r="E1105" s="8" t="s">
        <v>36</v>
      </c>
      <c r="F1105">
        <v>2</v>
      </c>
      <c r="G1105">
        <v>1400</v>
      </c>
      <c r="H1105">
        <v>0</v>
      </c>
      <c r="I1105" s="8" t="s">
        <v>17</v>
      </c>
      <c r="J1105" s="8" t="s">
        <v>31</v>
      </c>
      <c r="K1105" s="8" t="s">
        <v>25</v>
      </c>
      <c r="L1105">
        <v>2800</v>
      </c>
      <c r="M1105" s="8" t="s">
        <v>56</v>
      </c>
      <c r="N1105">
        <v>2800</v>
      </c>
      <c r="O1105" s="8" t="s">
        <v>1701</v>
      </c>
      <c r="P1105" s="8" t="s">
        <v>1562</v>
      </c>
      <c r="Q1105" s="8" t="s">
        <v>1563</v>
      </c>
      <c r="R1105" s="8" t="s">
        <v>48</v>
      </c>
      <c r="S1105" s="8" t="s">
        <v>1542</v>
      </c>
      <c r="T1105" s="8" t="s">
        <v>1577</v>
      </c>
      <c r="U1105" s="8" t="s">
        <v>1571</v>
      </c>
      <c r="V1105">
        <v>1400</v>
      </c>
      <c r="W1105">
        <v>780</v>
      </c>
      <c r="X1105">
        <v>2800</v>
      </c>
      <c r="Y1105">
        <v>1240</v>
      </c>
    </row>
    <row r="1106" spans="1:25" x14ac:dyDescent="0.3">
      <c r="A1106" s="8" t="s">
        <v>1451</v>
      </c>
      <c r="B1106" s="14">
        <v>46051</v>
      </c>
      <c r="C1106" s="8" t="s">
        <v>87</v>
      </c>
      <c r="D1106" s="8" t="s">
        <v>152</v>
      </c>
      <c r="E1106" s="8" t="s">
        <v>63</v>
      </c>
      <c r="F1106">
        <v>1</v>
      </c>
      <c r="G1106">
        <v>2310</v>
      </c>
      <c r="H1106">
        <v>0.05</v>
      </c>
      <c r="I1106" s="8" t="s">
        <v>17</v>
      </c>
      <c r="J1106" s="8" t="s">
        <v>18</v>
      </c>
      <c r="K1106" s="8" t="s">
        <v>67</v>
      </c>
      <c r="L1106">
        <v>2194.5</v>
      </c>
      <c r="M1106" s="8" t="s">
        <v>59</v>
      </c>
      <c r="N1106">
        <v>2194.5</v>
      </c>
      <c r="O1106" s="8" t="s">
        <v>1701</v>
      </c>
      <c r="P1106" s="8" t="s">
        <v>1553</v>
      </c>
      <c r="Q1106" s="8" t="s">
        <v>1554</v>
      </c>
      <c r="R1106" s="8" t="s">
        <v>59</v>
      </c>
      <c r="S1106" s="8" t="s">
        <v>1542</v>
      </c>
      <c r="T1106" s="8" t="s">
        <v>1572</v>
      </c>
      <c r="U1106" s="8" t="s">
        <v>1571</v>
      </c>
      <c r="V1106">
        <v>2200</v>
      </c>
      <c r="W1106">
        <v>1450</v>
      </c>
      <c r="X1106">
        <v>2194.5</v>
      </c>
      <c r="Y1106">
        <v>744.5</v>
      </c>
    </row>
    <row r="1107" spans="1:25" x14ac:dyDescent="0.3">
      <c r="A1107" s="8" t="s">
        <v>1452</v>
      </c>
      <c r="B1107" s="14">
        <v>46029</v>
      </c>
      <c r="C1107" s="8" t="s">
        <v>330</v>
      </c>
      <c r="D1107" s="8" t="s">
        <v>35</v>
      </c>
      <c r="E1107" s="8" t="s">
        <v>183</v>
      </c>
      <c r="F1107">
        <v>4</v>
      </c>
      <c r="G1107">
        <v>3200</v>
      </c>
      <c r="H1107">
        <v>0.05</v>
      </c>
      <c r="I1107" s="8" t="s">
        <v>116</v>
      </c>
      <c r="J1107" s="8" t="s">
        <v>47</v>
      </c>
      <c r="K1107" s="8" t="s">
        <v>25</v>
      </c>
      <c r="L1107">
        <v>12160</v>
      </c>
      <c r="M1107" s="8" t="s">
        <v>20</v>
      </c>
      <c r="N1107">
        <v>12160</v>
      </c>
      <c r="O1107" s="8" t="s">
        <v>1701</v>
      </c>
      <c r="P1107" s="8" t="s">
        <v>1548</v>
      </c>
      <c r="Q1107" s="8" t="s">
        <v>1549</v>
      </c>
      <c r="R1107" s="8" t="s">
        <v>42</v>
      </c>
      <c r="S1107" s="8" t="s">
        <v>1542</v>
      </c>
      <c r="T1107" s="8" t="s">
        <v>1582</v>
      </c>
      <c r="U1107" s="8" t="s">
        <v>1583</v>
      </c>
      <c r="V1107">
        <v>3200</v>
      </c>
      <c r="W1107">
        <v>2050</v>
      </c>
      <c r="X1107">
        <v>0</v>
      </c>
      <c r="Y1107">
        <v>-8200</v>
      </c>
    </row>
    <row r="1108" spans="1:25" x14ac:dyDescent="0.3">
      <c r="A1108" s="8" t="s">
        <v>1453</v>
      </c>
      <c r="B1108" s="14">
        <v>46064</v>
      </c>
      <c r="C1108" s="8" t="s">
        <v>150</v>
      </c>
      <c r="D1108" s="8" t="s">
        <v>35</v>
      </c>
      <c r="E1108" s="8" t="s">
        <v>16</v>
      </c>
      <c r="F1108">
        <v>1</v>
      </c>
      <c r="G1108">
        <v>617.5</v>
      </c>
      <c r="H1108">
        <v>0</v>
      </c>
      <c r="I1108" s="8" t="s">
        <v>80</v>
      </c>
      <c r="J1108" s="8" t="s">
        <v>71</v>
      </c>
      <c r="K1108" s="8" t="s">
        <v>67</v>
      </c>
      <c r="L1108">
        <v>617.5</v>
      </c>
      <c r="M1108" s="8" t="s">
        <v>82</v>
      </c>
      <c r="N1108">
        <v>617.5</v>
      </c>
      <c r="O1108" s="8" t="s">
        <v>1701</v>
      </c>
      <c r="P1108" s="8" t="s">
        <v>1548</v>
      </c>
      <c r="Q1108" s="8" t="s">
        <v>1549</v>
      </c>
      <c r="R1108" s="8" t="s">
        <v>42</v>
      </c>
      <c r="S1108" s="8" t="s">
        <v>1542</v>
      </c>
      <c r="T1108" s="8" t="s">
        <v>1570</v>
      </c>
      <c r="U1108" s="8" t="s">
        <v>1571</v>
      </c>
      <c r="V1108">
        <v>650</v>
      </c>
      <c r="W1108">
        <v>390</v>
      </c>
      <c r="X1108">
        <v>0</v>
      </c>
      <c r="Y1108">
        <v>-390</v>
      </c>
    </row>
    <row r="1109" spans="1:25" x14ac:dyDescent="0.3">
      <c r="A1109" s="8" t="s">
        <v>1454</v>
      </c>
      <c r="B1109" s="14">
        <v>46153</v>
      </c>
      <c r="C1109" s="8" t="s">
        <v>709</v>
      </c>
      <c r="D1109" s="8" t="s">
        <v>29</v>
      </c>
      <c r="E1109" s="8" t="s">
        <v>183</v>
      </c>
      <c r="F1109">
        <v>3</v>
      </c>
      <c r="G1109">
        <v>3040</v>
      </c>
      <c r="H1109">
        <v>0</v>
      </c>
      <c r="I1109" s="8" t="s">
        <v>17</v>
      </c>
      <c r="J1109" s="8" t="s">
        <v>18</v>
      </c>
      <c r="K1109" s="8" t="s">
        <v>1698</v>
      </c>
      <c r="L1109">
        <v>9120</v>
      </c>
      <c r="M1109" s="8" t="s">
        <v>42</v>
      </c>
      <c r="N1109">
        <v>9120</v>
      </c>
      <c r="O1109" s="8" t="s">
        <v>1701</v>
      </c>
      <c r="P1109" s="8" t="s">
        <v>1560</v>
      </c>
      <c r="Q1109" s="8" t="s">
        <v>1559</v>
      </c>
      <c r="R1109" s="8" t="s">
        <v>1561</v>
      </c>
      <c r="S1109" s="8" t="s">
        <v>1542</v>
      </c>
      <c r="T1109" s="8" t="s">
        <v>1582</v>
      </c>
      <c r="U1109" s="8" t="s">
        <v>1583</v>
      </c>
      <c r="V1109">
        <v>3200</v>
      </c>
      <c r="W1109">
        <v>2050</v>
      </c>
      <c r="X1109">
        <v>9120</v>
      </c>
      <c r="Y1109">
        <v>2970</v>
      </c>
    </row>
    <row r="1110" spans="1:25" x14ac:dyDescent="0.3">
      <c r="A1110" s="8" t="s">
        <v>1455</v>
      </c>
      <c r="B1110" s="14">
        <v>46080</v>
      </c>
      <c r="C1110" s="8" t="s">
        <v>221</v>
      </c>
      <c r="D1110" s="8" t="s">
        <v>40</v>
      </c>
      <c r="E1110" s="8" t="s">
        <v>51</v>
      </c>
      <c r="F1110">
        <v>10</v>
      </c>
      <c r="G1110">
        <v>19425</v>
      </c>
      <c r="H1110">
        <v>0.2</v>
      </c>
      <c r="I1110" s="8" t="s">
        <v>17</v>
      </c>
      <c r="J1110" s="8" t="s">
        <v>31</v>
      </c>
      <c r="K1110" s="8" t="s">
        <v>25</v>
      </c>
      <c r="L1110">
        <v>155400</v>
      </c>
      <c r="M1110" s="8" t="s">
        <v>56</v>
      </c>
      <c r="N1110">
        <v>155400</v>
      </c>
      <c r="O1110" s="8" t="s">
        <v>1701</v>
      </c>
      <c r="P1110" s="8" t="s">
        <v>1555</v>
      </c>
      <c r="Q1110" s="8" t="s">
        <v>1554</v>
      </c>
      <c r="R1110" s="8" t="s">
        <v>82</v>
      </c>
      <c r="S1110" s="8" t="s">
        <v>1542</v>
      </c>
      <c r="T1110" s="8" t="s">
        <v>1581</v>
      </c>
      <c r="U1110" s="8" t="s">
        <v>1580</v>
      </c>
      <c r="V1110">
        <v>18500</v>
      </c>
      <c r="W1110">
        <v>13900</v>
      </c>
      <c r="X1110">
        <v>155400</v>
      </c>
      <c r="Y1110">
        <v>16400</v>
      </c>
    </row>
    <row r="1111" spans="1:25" x14ac:dyDescent="0.3">
      <c r="A1111" s="8" t="s">
        <v>1456</v>
      </c>
      <c r="B1111" s="14">
        <v>46191</v>
      </c>
      <c r="C1111" s="8" t="s">
        <v>414</v>
      </c>
      <c r="D1111" s="8" t="s">
        <v>152</v>
      </c>
      <c r="E1111" s="8" t="s">
        <v>51</v>
      </c>
      <c r="F1111">
        <v>2</v>
      </c>
      <c r="G1111">
        <v>18500</v>
      </c>
      <c r="H1111">
        <v>0.05</v>
      </c>
      <c r="I1111" s="8" t="s">
        <v>17</v>
      </c>
      <c r="J1111" s="8" t="s">
        <v>47</v>
      </c>
      <c r="K1111" s="8" t="s">
        <v>41</v>
      </c>
      <c r="L1111">
        <v>35150</v>
      </c>
      <c r="M1111" s="8" t="s">
        <v>138</v>
      </c>
      <c r="N1111">
        <v>35150</v>
      </c>
      <c r="O1111" s="8" t="s">
        <v>1701</v>
      </c>
      <c r="P1111" s="8" t="s">
        <v>1553</v>
      </c>
      <c r="Q1111" s="8" t="s">
        <v>1554</v>
      </c>
      <c r="R1111" s="8" t="s">
        <v>59</v>
      </c>
      <c r="S1111" s="8" t="s">
        <v>1542</v>
      </c>
      <c r="T1111" s="8" t="s">
        <v>1581</v>
      </c>
      <c r="U1111" s="8" t="s">
        <v>1580</v>
      </c>
      <c r="V1111">
        <v>18500</v>
      </c>
      <c r="W1111">
        <v>13900</v>
      </c>
      <c r="X1111">
        <v>35150</v>
      </c>
      <c r="Y1111">
        <v>7350</v>
      </c>
    </row>
    <row r="1112" spans="1:25" x14ac:dyDescent="0.3">
      <c r="A1112" s="8" t="s">
        <v>1457</v>
      </c>
      <c r="B1112" s="14">
        <v>46082</v>
      </c>
      <c r="C1112" s="8" t="s">
        <v>140</v>
      </c>
      <c r="D1112" s="8" t="s">
        <v>62</v>
      </c>
      <c r="E1112" s="8" t="s">
        <v>36</v>
      </c>
      <c r="F1112">
        <v>4</v>
      </c>
      <c r="G1112">
        <v>1470</v>
      </c>
      <c r="H1112">
        <v>0</v>
      </c>
      <c r="I1112" s="8" t="s">
        <v>17</v>
      </c>
      <c r="J1112" s="8" t="s">
        <v>47</v>
      </c>
      <c r="K1112" s="8" t="s">
        <v>1698</v>
      </c>
      <c r="L1112">
        <v>5880</v>
      </c>
      <c r="M1112" s="8" t="s">
        <v>138</v>
      </c>
      <c r="N1112">
        <v>5880</v>
      </c>
      <c r="O1112" s="8" t="s">
        <v>1701</v>
      </c>
      <c r="P1112" s="8" t="s">
        <v>1551</v>
      </c>
      <c r="Q1112" s="8" t="s">
        <v>1549</v>
      </c>
      <c r="R1112" s="8" t="s">
        <v>1552</v>
      </c>
      <c r="S1112" s="8" t="s">
        <v>1542</v>
      </c>
      <c r="T1112" s="8" t="s">
        <v>1577</v>
      </c>
      <c r="U1112" s="8" t="s">
        <v>1571</v>
      </c>
      <c r="V1112">
        <v>1400</v>
      </c>
      <c r="W1112">
        <v>780</v>
      </c>
      <c r="X1112">
        <v>5880</v>
      </c>
      <c r="Y1112">
        <v>2760</v>
      </c>
    </row>
    <row r="1113" spans="1:25" x14ac:dyDescent="0.3">
      <c r="A1113" s="8" t="s">
        <v>1458</v>
      </c>
      <c r="B1113" s="14">
        <v>46166</v>
      </c>
      <c r="C1113" s="8" t="s">
        <v>188</v>
      </c>
      <c r="D1113" s="8" t="s">
        <v>152</v>
      </c>
      <c r="E1113" s="8" t="s">
        <v>63</v>
      </c>
      <c r="F1113">
        <v>5</v>
      </c>
      <c r="G1113">
        <v>2200</v>
      </c>
      <c r="H1113">
        <v>0.2</v>
      </c>
      <c r="I1113" s="8" t="s">
        <v>17</v>
      </c>
      <c r="J1113" s="8" t="s">
        <v>18</v>
      </c>
      <c r="K1113" s="8" t="s">
        <v>41</v>
      </c>
      <c r="L1113">
        <v>8800</v>
      </c>
      <c r="M1113" s="8" t="s">
        <v>48</v>
      </c>
      <c r="N1113">
        <v>8800</v>
      </c>
      <c r="O1113" s="8" t="s">
        <v>1701</v>
      </c>
      <c r="P1113" s="8" t="s">
        <v>1553</v>
      </c>
      <c r="Q1113" s="8" t="s">
        <v>1554</v>
      </c>
      <c r="R1113" s="8" t="s">
        <v>59</v>
      </c>
      <c r="S1113" s="8" t="s">
        <v>1542</v>
      </c>
      <c r="T1113" s="8" t="s">
        <v>1572</v>
      </c>
      <c r="U1113" s="8" t="s">
        <v>1571</v>
      </c>
      <c r="V1113">
        <v>2200</v>
      </c>
      <c r="W1113">
        <v>1450</v>
      </c>
      <c r="X1113">
        <v>8800</v>
      </c>
      <c r="Y1113">
        <v>1550</v>
      </c>
    </row>
    <row r="1114" spans="1:25" x14ac:dyDescent="0.3">
      <c r="A1114" s="8" t="s">
        <v>1459</v>
      </c>
      <c r="B1114" s="14">
        <v>46055</v>
      </c>
      <c r="C1114" s="8" t="s">
        <v>108</v>
      </c>
      <c r="D1114" s="8" t="s">
        <v>77</v>
      </c>
      <c r="E1114" s="8" t="s">
        <v>51</v>
      </c>
      <c r="F1114">
        <v>1</v>
      </c>
      <c r="G1114">
        <v>18500</v>
      </c>
      <c r="H1114">
        <v>0.1</v>
      </c>
      <c r="I1114" s="8" t="s">
        <v>17</v>
      </c>
      <c r="J1114" s="8" t="s">
        <v>47</v>
      </c>
      <c r="K1114" s="8" t="s">
        <v>67</v>
      </c>
      <c r="L1114">
        <v>16650</v>
      </c>
      <c r="M1114" s="8" t="s">
        <v>138</v>
      </c>
      <c r="N1114">
        <v>16650</v>
      </c>
      <c r="O1114" s="8" t="s">
        <v>1701</v>
      </c>
      <c r="P1114" s="8" t="s">
        <v>1564</v>
      </c>
      <c r="Q1114" s="8" t="s">
        <v>1563</v>
      </c>
      <c r="R1114" s="8" t="s">
        <v>1565</v>
      </c>
      <c r="S1114" s="8" t="s">
        <v>1542</v>
      </c>
      <c r="T1114" s="8" t="s">
        <v>1581</v>
      </c>
      <c r="U1114" s="8" t="s">
        <v>1580</v>
      </c>
      <c r="V1114">
        <v>18500</v>
      </c>
      <c r="W1114">
        <v>13900</v>
      </c>
      <c r="X1114">
        <v>16650</v>
      </c>
      <c r="Y1114">
        <v>2750</v>
      </c>
    </row>
    <row r="1115" spans="1:25" x14ac:dyDescent="0.3">
      <c r="A1115" s="8" t="s">
        <v>1460</v>
      </c>
      <c r="B1115" s="14">
        <v>46053</v>
      </c>
      <c r="C1115" s="8" t="s">
        <v>213</v>
      </c>
      <c r="D1115" s="8" t="s">
        <v>15</v>
      </c>
      <c r="E1115" s="8" t="s">
        <v>161</v>
      </c>
      <c r="F1115">
        <v>2</v>
      </c>
      <c r="G1115">
        <v>2600</v>
      </c>
      <c r="H1115">
        <v>0</v>
      </c>
      <c r="I1115" s="8" t="s">
        <v>17</v>
      </c>
      <c r="J1115" s="8" t="s">
        <v>18</v>
      </c>
      <c r="K1115" s="8" t="s">
        <v>1698</v>
      </c>
      <c r="L1115">
        <v>5200</v>
      </c>
      <c r="M1115" s="8" t="s">
        <v>59</v>
      </c>
      <c r="N1115">
        <v>5200</v>
      </c>
      <c r="O1115" s="8" t="s">
        <v>1701</v>
      </c>
      <c r="P1115" s="8" t="s">
        <v>1543</v>
      </c>
      <c r="Q1115" s="8" t="s">
        <v>1541</v>
      </c>
      <c r="R1115" s="8" t="s">
        <v>52</v>
      </c>
      <c r="S1115" s="8" t="s">
        <v>1542</v>
      </c>
      <c r="T1115" s="8" t="s">
        <v>1578</v>
      </c>
      <c r="U1115" s="8" t="s">
        <v>1571</v>
      </c>
      <c r="V1115">
        <v>2600</v>
      </c>
      <c r="W1115">
        <v>1750</v>
      </c>
      <c r="X1115">
        <v>5200</v>
      </c>
      <c r="Y1115">
        <v>1700</v>
      </c>
    </row>
    <row r="1116" spans="1:25" x14ac:dyDescent="0.3">
      <c r="A1116" s="8" t="s">
        <v>1461</v>
      </c>
      <c r="B1116" s="14">
        <v>46053</v>
      </c>
      <c r="C1116" s="8" t="s">
        <v>371</v>
      </c>
      <c r="D1116" s="8" t="s">
        <v>70</v>
      </c>
      <c r="E1116" s="8" t="s">
        <v>135</v>
      </c>
      <c r="F1116">
        <v>4</v>
      </c>
      <c r="G1116">
        <v>15960</v>
      </c>
      <c r="H1116">
        <v>0.2</v>
      </c>
      <c r="I1116" s="8" t="s">
        <v>80</v>
      </c>
      <c r="J1116" s="8" t="s">
        <v>31</v>
      </c>
      <c r="K1116" s="8" t="s">
        <v>55</v>
      </c>
      <c r="L1116">
        <v>51072</v>
      </c>
      <c r="M1116" s="8" t="s">
        <v>20</v>
      </c>
      <c r="N1116">
        <v>51072</v>
      </c>
      <c r="O1116" s="8" t="s">
        <v>1701</v>
      </c>
      <c r="P1116" s="8" t="s">
        <v>1550</v>
      </c>
      <c r="Q1116" s="8" t="s">
        <v>1549</v>
      </c>
      <c r="R1116" s="8" t="s">
        <v>32</v>
      </c>
      <c r="S1116" s="8" t="s">
        <v>1542</v>
      </c>
      <c r="T1116" s="8" t="s">
        <v>1576</v>
      </c>
      <c r="U1116" s="8" t="s">
        <v>1575</v>
      </c>
      <c r="V1116">
        <v>16800</v>
      </c>
      <c r="W1116">
        <v>12600</v>
      </c>
      <c r="X1116">
        <v>0</v>
      </c>
      <c r="Y1116">
        <v>-50400</v>
      </c>
    </row>
    <row r="1117" spans="1:25" x14ac:dyDescent="0.3">
      <c r="A1117" s="8" t="s">
        <v>1462</v>
      </c>
      <c r="B1117" s="14">
        <v>46199</v>
      </c>
      <c r="C1117" s="8" t="s">
        <v>92</v>
      </c>
      <c r="D1117" s="8" t="s">
        <v>50</v>
      </c>
      <c r="E1117" s="8" t="s">
        <v>63</v>
      </c>
      <c r="F1117">
        <v>1</v>
      </c>
      <c r="G1117">
        <v>2310</v>
      </c>
      <c r="H1117">
        <v>0.15</v>
      </c>
      <c r="I1117" s="8" t="s">
        <v>80</v>
      </c>
      <c r="J1117" s="8" t="s">
        <v>71</v>
      </c>
      <c r="K1117" s="8" t="s">
        <v>55</v>
      </c>
      <c r="L1117">
        <v>1963.5</v>
      </c>
      <c r="M1117" s="8" t="s">
        <v>82</v>
      </c>
      <c r="N1117">
        <v>1963.5</v>
      </c>
      <c r="O1117" s="8" t="s">
        <v>1701</v>
      </c>
      <c r="P1117" s="8" t="s">
        <v>1544</v>
      </c>
      <c r="Q1117" s="8" t="s">
        <v>1541</v>
      </c>
      <c r="R1117" s="8" t="s">
        <v>26</v>
      </c>
      <c r="S1117" s="8" t="s">
        <v>1542</v>
      </c>
      <c r="T1117" s="8" t="s">
        <v>1572</v>
      </c>
      <c r="U1117" s="8" t="s">
        <v>1571</v>
      </c>
      <c r="V1117">
        <v>2200</v>
      </c>
      <c r="W1117">
        <v>1450</v>
      </c>
      <c r="X1117">
        <v>0</v>
      </c>
      <c r="Y1117">
        <v>-1450</v>
      </c>
    </row>
    <row r="1118" spans="1:25" x14ac:dyDescent="0.3">
      <c r="A1118" s="8" t="s">
        <v>1463</v>
      </c>
      <c r="B1118" s="14">
        <v>46084</v>
      </c>
      <c r="C1118" s="8" t="s">
        <v>239</v>
      </c>
      <c r="D1118" s="8" t="s">
        <v>123</v>
      </c>
      <c r="E1118" s="8" t="s">
        <v>135</v>
      </c>
      <c r="F1118">
        <v>1</v>
      </c>
      <c r="G1118">
        <v>15960</v>
      </c>
      <c r="H1118">
        <v>0.05</v>
      </c>
      <c r="I1118" s="8" t="s">
        <v>17</v>
      </c>
      <c r="J1118" s="8" t="s">
        <v>31</v>
      </c>
      <c r="K1118" s="8" t="s">
        <v>67</v>
      </c>
      <c r="L1118">
        <v>15162</v>
      </c>
      <c r="M1118" s="8" t="s">
        <v>56</v>
      </c>
      <c r="N1118">
        <v>15162</v>
      </c>
      <c r="O1118" s="8" t="s">
        <v>1701</v>
      </c>
      <c r="P1118" s="8" t="s">
        <v>1558</v>
      </c>
      <c r="Q1118" s="8" t="s">
        <v>1559</v>
      </c>
      <c r="R1118" s="8" t="s">
        <v>138</v>
      </c>
      <c r="S1118" s="8" t="s">
        <v>1542</v>
      </c>
      <c r="T1118" s="8" t="s">
        <v>1576</v>
      </c>
      <c r="U1118" s="8" t="s">
        <v>1575</v>
      </c>
      <c r="V1118">
        <v>16800</v>
      </c>
      <c r="W1118">
        <v>12600</v>
      </c>
      <c r="X1118">
        <v>15162</v>
      </c>
      <c r="Y1118">
        <v>2562</v>
      </c>
    </row>
    <row r="1119" spans="1:25" x14ac:dyDescent="0.3">
      <c r="A1119" s="8" t="s">
        <v>1464</v>
      </c>
      <c r="B1119" s="14">
        <v>46127</v>
      </c>
      <c r="C1119" s="8" t="s">
        <v>421</v>
      </c>
      <c r="D1119" s="8" t="s">
        <v>95</v>
      </c>
      <c r="E1119" s="8" t="s">
        <v>46</v>
      </c>
      <c r="F1119">
        <v>4</v>
      </c>
      <c r="G1119">
        <v>8190</v>
      </c>
      <c r="H1119">
        <v>0.1</v>
      </c>
      <c r="I1119" s="8" t="s">
        <v>17</v>
      </c>
      <c r="J1119" s="8" t="s">
        <v>71</v>
      </c>
      <c r="K1119" s="8" t="s">
        <v>25</v>
      </c>
      <c r="L1119">
        <v>29484</v>
      </c>
      <c r="M1119" s="8" t="s">
        <v>82</v>
      </c>
      <c r="N1119">
        <v>29484</v>
      </c>
      <c r="O1119" s="8" t="s">
        <v>1701</v>
      </c>
      <c r="P1119" s="8" t="s">
        <v>1556</v>
      </c>
      <c r="Q1119" s="8" t="s">
        <v>1554</v>
      </c>
      <c r="R1119" s="8" t="s">
        <v>1557</v>
      </c>
      <c r="S1119" s="8" t="s">
        <v>1542</v>
      </c>
      <c r="T1119" s="8" t="s">
        <v>1579</v>
      </c>
      <c r="U1119" s="8" t="s">
        <v>1580</v>
      </c>
      <c r="V1119">
        <v>7800</v>
      </c>
      <c r="W1119">
        <v>5200</v>
      </c>
      <c r="X1119">
        <v>29484</v>
      </c>
      <c r="Y1119">
        <v>8684</v>
      </c>
    </row>
    <row r="1120" spans="1:25" x14ac:dyDescent="0.3">
      <c r="A1120" s="8" t="s">
        <v>1465</v>
      </c>
      <c r="B1120" s="14">
        <v>46044</v>
      </c>
      <c r="C1120" s="8" t="s">
        <v>202</v>
      </c>
      <c r="D1120" s="8" t="s">
        <v>50</v>
      </c>
      <c r="E1120" s="8" t="s">
        <v>16</v>
      </c>
      <c r="F1120">
        <v>3</v>
      </c>
      <c r="G1120">
        <v>682.5</v>
      </c>
      <c r="H1120">
        <v>0.05</v>
      </c>
      <c r="I1120" s="8" t="s">
        <v>17</v>
      </c>
      <c r="J1120" s="8" t="s">
        <v>47</v>
      </c>
      <c r="K1120" s="8" t="s">
        <v>55</v>
      </c>
      <c r="L1120">
        <v>1945.12</v>
      </c>
      <c r="M1120" s="8" t="s">
        <v>59</v>
      </c>
      <c r="N1120">
        <v>1945.125</v>
      </c>
      <c r="O1120" s="8" t="s">
        <v>1701</v>
      </c>
      <c r="P1120" s="8" t="s">
        <v>1544</v>
      </c>
      <c r="Q1120" s="8" t="s">
        <v>1541</v>
      </c>
      <c r="R1120" s="8" t="s">
        <v>26</v>
      </c>
      <c r="S1120" s="8" t="s">
        <v>1542</v>
      </c>
      <c r="T1120" s="8" t="s">
        <v>1570</v>
      </c>
      <c r="U1120" s="8" t="s">
        <v>1571</v>
      </c>
      <c r="V1120">
        <v>650</v>
      </c>
      <c r="W1120">
        <v>390</v>
      </c>
      <c r="X1120">
        <v>1945.125</v>
      </c>
      <c r="Y1120">
        <v>775.125</v>
      </c>
    </row>
    <row r="1121" spans="1:25" x14ac:dyDescent="0.3">
      <c r="A1121" s="8" t="s">
        <v>1466</v>
      </c>
      <c r="B1121" s="14">
        <v>46153</v>
      </c>
      <c r="C1121" s="8" t="s">
        <v>227</v>
      </c>
      <c r="D1121" s="8" t="s">
        <v>123</v>
      </c>
      <c r="E1121" s="8" t="s">
        <v>183</v>
      </c>
      <c r="F1121">
        <v>1</v>
      </c>
      <c r="G1121">
        <v>3360</v>
      </c>
      <c r="H1121">
        <v>0</v>
      </c>
      <c r="I1121" s="8" t="s">
        <v>17</v>
      </c>
      <c r="J1121" s="8" t="s">
        <v>31</v>
      </c>
      <c r="K1121" s="8" t="s">
        <v>25</v>
      </c>
      <c r="L1121">
        <v>3360</v>
      </c>
      <c r="M1121" s="8" t="s">
        <v>82</v>
      </c>
      <c r="N1121">
        <v>3360</v>
      </c>
      <c r="O1121" s="8" t="s">
        <v>1701</v>
      </c>
      <c r="P1121" s="8" t="s">
        <v>1558</v>
      </c>
      <c r="Q1121" s="8" t="s">
        <v>1559</v>
      </c>
      <c r="R1121" s="8" t="s">
        <v>138</v>
      </c>
      <c r="S1121" s="8" t="s">
        <v>1542</v>
      </c>
      <c r="T1121" s="8" t="s">
        <v>1582</v>
      </c>
      <c r="U1121" s="8" t="s">
        <v>1583</v>
      </c>
      <c r="V1121">
        <v>3200</v>
      </c>
      <c r="W1121">
        <v>2050</v>
      </c>
      <c r="X1121">
        <v>3360</v>
      </c>
      <c r="Y1121">
        <v>1310</v>
      </c>
    </row>
    <row r="1122" spans="1:25" x14ac:dyDescent="0.3">
      <c r="A1122" s="8" t="s">
        <v>1467</v>
      </c>
      <c r="B1122" s="14">
        <v>46157</v>
      </c>
      <c r="C1122" s="8" t="s">
        <v>1028</v>
      </c>
      <c r="D1122" s="8" t="s">
        <v>40</v>
      </c>
      <c r="E1122" s="8" t="s">
        <v>51</v>
      </c>
      <c r="F1122">
        <v>4</v>
      </c>
      <c r="G1122">
        <v>19425</v>
      </c>
      <c r="H1122">
        <v>0.1</v>
      </c>
      <c r="I1122" s="8" t="s">
        <v>17</v>
      </c>
      <c r="J1122" s="8" t="s">
        <v>71</v>
      </c>
      <c r="K1122" s="8" t="s">
        <v>41</v>
      </c>
      <c r="L1122">
        <v>69930</v>
      </c>
      <c r="M1122" s="8" t="s">
        <v>20</v>
      </c>
      <c r="N1122">
        <v>69930</v>
      </c>
      <c r="O1122" s="8" t="s">
        <v>1701</v>
      </c>
      <c r="P1122" s="8" t="s">
        <v>1555</v>
      </c>
      <c r="Q1122" s="8" t="s">
        <v>1554</v>
      </c>
      <c r="R1122" s="8" t="s">
        <v>82</v>
      </c>
      <c r="S1122" s="8" t="s">
        <v>1542</v>
      </c>
      <c r="T1122" s="8" t="s">
        <v>1581</v>
      </c>
      <c r="U1122" s="8" t="s">
        <v>1580</v>
      </c>
      <c r="V1122">
        <v>18500</v>
      </c>
      <c r="W1122">
        <v>13900</v>
      </c>
      <c r="X1122">
        <v>69930</v>
      </c>
      <c r="Y1122">
        <v>14330</v>
      </c>
    </row>
    <row r="1123" spans="1:25" x14ac:dyDescent="0.3">
      <c r="A1123" s="8" t="s">
        <v>1468</v>
      </c>
      <c r="B1123" s="14">
        <v>46076</v>
      </c>
      <c r="C1123" s="8" t="s">
        <v>321</v>
      </c>
      <c r="D1123" s="8" t="s">
        <v>70</v>
      </c>
      <c r="E1123" s="8" t="s">
        <v>51</v>
      </c>
      <c r="F1123">
        <v>1</v>
      </c>
      <c r="G1123">
        <v>18500</v>
      </c>
      <c r="H1123">
        <v>0.15</v>
      </c>
      <c r="I1123" s="8" t="s">
        <v>17</v>
      </c>
      <c r="J1123" s="8" t="s">
        <v>71</v>
      </c>
      <c r="K1123" s="8" t="s">
        <v>1698</v>
      </c>
      <c r="L1123">
        <v>15725</v>
      </c>
      <c r="M1123" s="8" t="s">
        <v>26</v>
      </c>
      <c r="N1123">
        <v>15725</v>
      </c>
      <c r="O1123" s="8" t="s">
        <v>1701</v>
      </c>
      <c r="P1123" s="8" t="s">
        <v>1550</v>
      </c>
      <c r="Q1123" s="8" t="s">
        <v>1549</v>
      </c>
      <c r="R1123" s="8" t="s">
        <v>32</v>
      </c>
      <c r="S1123" s="8" t="s">
        <v>1542</v>
      </c>
      <c r="T1123" s="8" t="s">
        <v>1581</v>
      </c>
      <c r="U1123" s="8" t="s">
        <v>1580</v>
      </c>
      <c r="V1123">
        <v>18500</v>
      </c>
      <c r="W1123">
        <v>13900</v>
      </c>
      <c r="X1123">
        <v>15725</v>
      </c>
      <c r="Y1123">
        <v>1825</v>
      </c>
    </row>
    <row r="1124" spans="1:25" x14ac:dyDescent="0.3">
      <c r="A1124" s="8" t="s">
        <v>1469</v>
      </c>
      <c r="B1124" s="14">
        <v>46093</v>
      </c>
      <c r="C1124" s="8" t="s">
        <v>150</v>
      </c>
      <c r="D1124" s="8" t="s">
        <v>62</v>
      </c>
      <c r="E1124" s="8" t="s">
        <v>46</v>
      </c>
      <c r="F1124">
        <v>1</v>
      </c>
      <c r="G1124">
        <v>7800</v>
      </c>
      <c r="H1124">
        <v>0</v>
      </c>
      <c r="I1124" s="8" t="s">
        <v>17</v>
      </c>
      <c r="J1124" s="8" t="s">
        <v>71</v>
      </c>
      <c r="K1124" s="8" t="s">
        <v>67</v>
      </c>
      <c r="L1124">
        <v>7800</v>
      </c>
      <c r="M1124" s="8" t="s">
        <v>59</v>
      </c>
      <c r="N1124">
        <v>7800</v>
      </c>
      <c r="O1124" s="8" t="s">
        <v>1701</v>
      </c>
      <c r="P1124" s="8" t="s">
        <v>1551</v>
      </c>
      <c r="Q1124" s="8" t="s">
        <v>1549</v>
      </c>
      <c r="R1124" s="8" t="s">
        <v>1552</v>
      </c>
      <c r="S1124" s="8" t="s">
        <v>1542</v>
      </c>
      <c r="T1124" s="8" t="s">
        <v>1579</v>
      </c>
      <c r="U1124" s="8" t="s">
        <v>1580</v>
      </c>
      <c r="V1124">
        <v>7800</v>
      </c>
      <c r="W1124">
        <v>5200</v>
      </c>
      <c r="X1124">
        <v>7800</v>
      </c>
      <c r="Y1124">
        <v>2600</v>
      </c>
    </row>
    <row r="1125" spans="1:25" x14ac:dyDescent="0.3">
      <c r="A1125" s="8" t="s">
        <v>1470</v>
      </c>
      <c r="B1125" s="14">
        <v>46047</v>
      </c>
      <c r="C1125" s="8" t="s">
        <v>391</v>
      </c>
      <c r="D1125" s="8" t="s">
        <v>23</v>
      </c>
      <c r="E1125" s="8" t="s">
        <v>51</v>
      </c>
      <c r="F1125">
        <v>4</v>
      </c>
      <c r="G1125">
        <v>17575</v>
      </c>
      <c r="H1125">
        <v>0</v>
      </c>
      <c r="I1125" s="8" t="s">
        <v>17</v>
      </c>
      <c r="J1125" s="8" t="s">
        <v>31</v>
      </c>
      <c r="K1125" s="8" t="s">
        <v>55</v>
      </c>
      <c r="L1125">
        <v>70300</v>
      </c>
      <c r="M1125" s="8" t="s">
        <v>20</v>
      </c>
      <c r="N1125">
        <v>70300</v>
      </c>
      <c r="O1125" s="8" t="s">
        <v>1701</v>
      </c>
      <c r="P1125" s="8" t="s">
        <v>1545</v>
      </c>
      <c r="Q1125" s="8" t="s">
        <v>1541</v>
      </c>
      <c r="R1125" s="8" t="s">
        <v>1546</v>
      </c>
      <c r="S1125" s="8" t="s">
        <v>1542</v>
      </c>
      <c r="T1125" s="8" t="s">
        <v>1581</v>
      </c>
      <c r="U1125" s="8" t="s">
        <v>1580</v>
      </c>
      <c r="V1125">
        <v>18500</v>
      </c>
      <c r="W1125">
        <v>13900</v>
      </c>
      <c r="X1125">
        <v>70300</v>
      </c>
      <c r="Y1125">
        <v>14700</v>
      </c>
    </row>
    <row r="1126" spans="1:25" x14ac:dyDescent="0.3">
      <c r="A1126" s="8" t="s">
        <v>1471</v>
      </c>
      <c r="B1126" s="14">
        <v>46117</v>
      </c>
      <c r="C1126" s="8" t="s">
        <v>371</v>
      </c>
      <c r="D1126" s="8" t="s">
        <v>23</v>
      </c>
      <c r="E1126" s="8" t="s">
        <v>135</v>
      </c>
      <c r="F1126">
        <v>8</v>
      </c>
      <c r="G1126">
        <v>17640</v>
      </c>
      <c r="H1126">
        <v>0.15</v>
      </c>
      <c r="I1126" s="8" t="s">
        <v>17</v>
      </c>
      <c r="J1126" s="8" t="s">
        <v>18</v>
      </c>
      <c r="K1126" s="8" t="s">
        <v>67</v>
      </c>
      <c r="L1126">
        <v>119952</v>
      </c>
      <c r="M1126" s="8" t="s">
        <v>42</v>
      </c>
      <c r="N1126">
        <v>119952</v>
      </c>
      <c r="O1126" s="8" t="s">
        <v>1701</v>
      </c>
      <c r="P1126" s="8" t="s">
        <v>1545</v>
      </c>
      <c r="Q1126" s="8" t="s">
        <v>1541</v>
      </c>
      <c r="R1126" s="8" t="s">
        <v>1546</v>
      </c>
      <c r="S1126" s="8" t="s">
        <v>1542</v>
      </c>
      <c r="T1126" s="8" t="s">
        <v>1576</v>
      </c>
      <c r="U1126" s="8" t="s">
        <v>1575</v>
      </c>
      <c r="V1126">
        <v>16800</v>
      </c>
      <c r="W1126">
        <v>12600</v>
      </c>
      <c r="X1126">
        <v>119952</v>
      </c>
      <c r="Y1126">
        <v>19152</v>
      </c>
    </row>
    <row r="1127" spans="1:25" x14ac:dyDescent="0.3">
      <c r="A1127" s="8" t="s">
        <v>1472</v>
      </c>
      <c r="B1127" s="14">
        <v>46203</v>
      </c>
      <c r="C1127" s="8" t="s">
        <v>363</v>
      </c>
      <c r="D1127" s="8" t="s">
        <v>77</v>
      </c>
      <c r="E1127" s="8" t="s">
        <v>63</v>
      </c>
      <c r="F1127">
        <v>2</v>
      </c>
      <c r="G1127">
        <v>2090</v>
      </c>
      <c r="H1127">
        <v>0.1</v>
      </c>
      <c r="I1127" s="8" t="s">
        <v>17</v>
      </c>
      <c r="J1127" s="8" t="s">
        <v>47</v>
      </c>
      <c r="K1127" s="8" t="s">
        <v>1698</v>
      </c>
      <c r="L1127">
        <v>3762</v>
      </c>
      <c r="M1127" s="8" t="s">
        <v>138</v>
      </c>
      <c r="N1127">
        <v>3762</v>
      </c>
      <c r="O1127" s="8" t="s">
        <v>1701</v>
      </c>
      <c r="P1127" s="8" t="s">
        <v>1564</v>
      </c>
      <c r="Q1127" s="8" t="s">
        <v>1563</v>
      </c>
      <c r="R1127" s="8" t="s">
        <v>1565</v>
      </c>
      <c r="S1127" s="8" t="s">
        <v>1542</v>
      </c>
      <c r="T1127" s="8" t="s">
        <v>1572</v>
      </c>
      <c r="U1127" s="8" t="s">
        <v>1571</v>
      </c>
      <c r="V1127">
        <v>2200</v>
      </c>
      <c r="W1127">
        <v>1450</v>
      </c>
      <c r="X1127">
        <v>3762</v>
      </c>
      <c r="Y1127">
        <v>862</v>
      </c>
    </row>
    <row r="1128" spans="1:25" x14ac:dyDescent="0.3">
      <c r="A1128" s="8" t="s">
        <v>1473</v>
      </c>
      <c r="B1128" s="14">
        <v>46043</v>
      </c>
      <c r="C1128" s="8" t="s">
        <v>705</v>
      </c>
      <c r="D1128" s="8" t="s">
        <v>123</v>
      </c>
      <c r="E1128" s="8" t="s">
        <v>24</v>
      </c>
      <c r="F1128">
        <v>3</v>
      </c>
      <c r="G1128">
        <v>11200</v>
      </c>
      <c r="H1128">
        <v>0.05</v>
      </c>
      <c r="I1128" s="8" t="s">
        <v>17</v>
      </c>
      <c r="J1128" s="8" t="s">
        <v>18</v>
      </c>
      <c r="K1128" s="8" t="s">
        <v>25</v>
      </c>
      <c r="L1128">
        <v>31920</v>
      </c>
      <c r="M1128" s="8" t="s">
        <v>42</v>
      </c>
      <c r="N1128">
        <v>31920</v>
      </c>
      <c r="O1128" s="8" t="s">
        <v>1701</v>
      </c>
      <c r="P1128" s="8" t="s">
        <v>1558</v>
      </c>
      <c r="Q1128" s="8" t="s">
        <v>1559</v>
      </c>
      <c r="R1128" s="8" t="s">
        <v>138</v>
      </c>
      <c r="S1128" s="8" t="s">
        <v>1542</v>
      </c>
      <c r="T1128" s="8" t="s">
        <v>1574</v>
      </c>
      <c r="U1128" s="8" t="s">
        <v>1575</v>
      </c>
      <c r="V1128">
        <v>11200</v>
      </c>
      <c r="W1128">
        <v>8300</v>
      </c>
      <c r="X1128">
        <v>31920</v>
      </c>
      <c r="Y1128">
        <v>7020</v>
      </c>
    </row>
    <row r="1129" spans="1:25" x14ac:dyDescent="0.3">
      <c r="A1129" s="8" t="s">
        <v>1474</v>
      </c>
      <c r="B1129" s="14">
        <v>46203</v>
      </c>
      <c r="C1129" s="8" t="s">
        <v>386</v>
      </c>
      <c r="D1129" s="8" t="s">
        <v>123</v>
      </c>
      <c r="E1129" s="8" t="s">
        <v>36</v>
      </c>
      <c r="F1129">
        <v>5</v>
      </c>
      <c r="G1129">
        <v>1400</v>
      </c>
      <c r="H1129">
        <v>0</v>
      </c>
      <c r="I1129" s="8" t="s">
        <v>17</v>
      </c>
      <c r="J1129" s="8" t="s">
        <v>31</v>
      </c>
      <c r="K1129" s="8" t="s">
        <v>1698</v>
      </c>
      <c r="L1129">
        <v>7000</v>
      </c>
      <c r="M1129" s="8" t="s">
        <v>52</v>
      </c>
      <c r="N1129">
        <v>7000</v>
      </c>
      <c r="O1129" s="8" t="s">
        <v>1701</v>
      </c>
      <c r="P1129" s="8" t="s">
        <v>1558</v>
      </c>
      <c r="Q1129" s="8" t="s">
        <v>1559</v>
      </c>
      <c r="R1129" s="8" t="s">
        <v>138</v>
      </c>
      <c r="S1129" s="8" t="s">
        <v>1542</v>
      </c>
      <c r="T1129" s="8" t="s">
        <v>1577</v>
      </c>
      <c r="U1129" s="8" t="s">
        <v>1571</v>
      </c>
      <c r="V1129">
        <v>1400</v>
      </c>
      <c r="W1129">
        <v>780</v>
      </c>
      <c r="X1129">
        <v>7000</v>
      </c>
      <c r="Y1129">
        <v>3100</v>
      </c>
    </row>
    <row r="1130" spans="1:25" x14ac:dyDescent="0.3">
      <c r="A1130" s="8" t="s">
        <v>1475</v>
      </c>
      <c r="B1130" s="14">
        <v>46058</v>
      </c>
      <c r="C1130" s="8" t="s">
        <v>330</v>
      </c>
      <c r="D1130" s="8" t="s">
        <v>40</v>
      </c>
      <c r="E1130" s="8" t="s">
        <v>161</v>
      </c>
      <c r="F1130">
        <v>5</v>
      </c>
      <c r="G1130">
        <v>2600</v>
      </c>
      <c r="H1130">
        <v>0</v>
      </c>
      <c r="I1130" s="8" t="s">
        <v>17</v>
      </c>
      <c r="J1130" s="8" t="s">
        <v>71</v>
      </c>
      <c r="K1130" s="8" t="s">
        <v>55</v>
      </c>
      <c r="L1130">
        <v>13000</v>
      </c>
      <c r="M1130" s="8" t="s">
        <v>59</v>
      </c>
      <c r="N1130">
        <v>13000</v>
      </c>
      <c r="O1130" s="8" t="s">
        <v>1701</v>
      </c>
      <c r="P1130" s="8" t="s">
        <v>1555</v>
      </c>
      <c r="Q1130" s="8" t="s">
        <v>1554</v>
      </c>
      <c r="R1130" s="8" t="s">
        <v>82</v>
      </c>
      <c r="S1130" s="8" t="s">
        <v>1542</v>
      </c>
      <c r="T1130" s="8" t="s">
        <v>1578</v>
      </c>
      <c r="U1130" s="8" t="s">
        <v>1571</v>
      </c>
      <c r="V1130">
        <v>2600</v>
      </c>
      <c r="W1130">
        <v>1750</v>
      </c>
      <c r="X1130">
        <v>13000</v>
      </c>
      <c r="Y1130">
        <v>4250</v>
      </c>
    </row>
    <row r="1131" spans="1:25" x14ac:dyDescent="0.3">
      <c r="A1131" s="8" t="s">
        <v>1476</v>
      </c>
      <c r="B1131" s="14">
        <v>46150</v>
      </c>
      <c r="C1131" s="8" t="s">
        <v>120</v>
      </c>
      <c r="D1131" s="8" t="s">
        <v>45</v>
      </c>
      <c r="E1131" s="8" t="s">
        <v>30</v>
      </c>
      <c r="F1131">
        <v>1</v>
      </c>
      <c r="G1131">
        <v>1800</v>
      </c>
      <c r="H1131">
        <v>0</v>
      </c>
      <c r="I1131" s="8" t="s">
        <v>80</v>
      </c>
      <c r="J1131" s="8" t="s">
        <v>18</v>
      </c>
      <c r="K1131" s="8" t="s">
        <v>1698</v>
      </c>
      <c r="L1131">
        <v>1800</v>
      </c>
      <c r="M1131" s="8" t="s">
        <v>56</v>
      </c>
      <c r="N1131">
        <v>1800</v>
      </c>
      <c r="O1131" s="8" t="s">
        <v>1701</v>
      </c>
      <c r="P1131" s="8" t="s">
        <v>1547</v>
      </c>
      <c r="Q1131" s="8" t="s">
        <v>1541</v>
      </c>
      <c r="R1131" s="8" t="s">
        <v>56</v>
      </c>
      <c r="S1131" s="8" t="s">
        <v>1542</v>
      </c>
      <c r="T1131" s="8" t="s">
        <v>1573</v>
      </c>
      <c r="U1131" s="8" t="s">
        <v>1571</v>
      </c>
      <c r="V1131">
        <v>1800</v>
      </c>
      <c r="W1131">
        <v>1120</v>
      </c>
      <c r="X1131">
        <v>0</v>
      </c>
      <c r="Y1131">
        <v>-1120</v>
      </c>
    </row>
    <row r="1132" spans="1:25" x14ac:dyDescent="0.3">
      <c r="A1132" s="8" t="s">
        <v>1477</v>
      </c>
      <c r="B1132" s="14">
        <v>46165</v>
      </c>
      <c r="C1132" s="8" t="s">
        <v>202</v>
      </c>
      <c r="D1132" s="8" t="s">
        <v>40</v>
      </c>
      <c r="E1132" s="8" t="s">
        <v>24</v>
      </c>
      <c r="F1132">
        <v>3</v>
      </c>
      <c r="G1132">
        <v>11200</v>
      </c>
      <c r="H1132">
        <v>0</v>
      </c>
      <c r="I1132" s="8" t="s">
        <v>17</v>
      </c>
      <c r="J1132" s="8" t="s">
        <v>71</v>
      </c>
      <c r="K1132" s="8" t="s">
        <v>67</v>
      </c>
      <c r="L1132">
        <v>33600</v>
      </c>
      <c r="M1132" s="8" t="s">
        <v>56</v>
      </c>
      <c r="N1132">
        <v>33600</v>
      </c>
      <c r="O1132" s="8" t="s">
        <v>1701</v>
      </c>
      <c r="P1132" s="8" t="s">
        <v>1555</v>
      </c>
      <c r="Q1132" s="8" t="s">
        <v>1554</v>
      </c>
      <c r="R1132" s="8" t="s">
        <v>82</v>
      </c>
      <c r="S1132" s="8" t="s">
        <v>1542</v>
      </c>
      <c r="T1132" s="8" t="s">
        <v>1574</v>
      </c>
      <c r="U1132" s="8" t="s">
        <v>1575</v>
      </c>
      <c r="V1132">
        <v>11200</v>
      </c>
      <c r="W1132">
        <v>8300</v>
      </c>
      <c r="X1132">
        <v>33600</v>
      </c>
      <c r="Y1132">
        <v>8700</v>
      </c>
    </row>
    <row r="1133" spans="1:25" x14ac:dyDescent="0.3">
      <c r="A1133" s="8" t="s">
        <v>1478</v>
      </c>
      <c r="B1133" s="14">
        <v>46158</v>
      </c>
      <c r="C1133" s="8" t="s">
        <v>409</v>
      </c>
      <c r="D1133" s="8" t="s">
        <v>95</v>
      </c>
      <c r="E1133" s="8" t="s">
        <v>30</v>
      </c>
      <c r="F1133">
        <v>5</v>
      </c>
      <c r="G1133">
        <v>1890</v>
      </c>
      <c r="H1133">
        <v>0</v>
      </c>
      <c r="I1133" s="8" t="s">
        <v>66</v>
      </c>
      <c r="J1133" s="8" t="s">
        <v>18</v>
      </c>
      <c r="K1133" s="8" t="s">
        <v>25</v>
      </c>
      <c r="L1133">
        <v>9450</v>
      </c>
      <c r="M1133" s="8" t="s">
        <v>138</v>
      </c>
      <c r="N1133">
        <v>9450</v>
      </c>
      <c r="O1133" s="8" t="s">
        <v>1701</v>
      </c>
      <c r="P1133" s="8" t="s">
        <v>1556</v>
      </c>
      <c r="Q1133" s="8" t="s">
        <v>1554</v>
      </c>
      <c r="R1133" s="8" t="s">
        <v>1557</v>
      </c>
      <c r="S1133" s="8" t="s">
        <v>1542</v>
      </c>
      <c r="T1133" s="8" t="s">
        <v>1573</v>
      </c>
      <c r="U1133" s="8" t="s">
        <v>1571</v>
      </c>
      <c r="V1133">
        <v>1800</v>
      </c>
      <c r="W1133">
        <v>1120</v>
      </c>
      <c r="X1133">
        <v>0</v>
      </c>
      <c r="Y1133">
        <v>-5600</v>
      </c>
    </row>
    <row r="1134" spans="1:25" x14ac:dyDescent="0.3">
      <c r="A1134" s="8" t="s">
        <v>1479</v>
      </c>
      <c r="B1134" s="14">
        <v>46162</v>
      </c>
      <c r="C1134" s="8" t="s">
        <v>163</v>
      </c>
      <c r="D1134" s="8" t="s">
        <v>62</v>
      </c>
      <c r="E1134" s="8" t="s">
        <v>135</v>
      </c>
      <c r="F1134">
        <v>1</v>
      </c>
      <c r="G1134">
        <v>16800</v>
      </c>
      <c r="H1134">
        <v>0</v>
      </c>
      <c r="I1134" s="8" t="s">
        <v>116</v>
      </c>
      <c r="J1134" s="8" t="s">
        <v>18</v>
      </c>
      <c r="K1134" s="8" t="s">
        <v>67</v>
      </c>
      <c r="L1134">
        <v>16800</v>
      </c>
      <c r="M1134" s="8" t="s">
        <v>52</v>
      </c>
      <c r="N1134">
        <v>16800</v>
      </c>
      <c r="O1134" s="8" t="s">
        <v>1701</v>
      </c>
      <c r="P1134" s="8" t="s">
        <v>1551</v>
      </c>
      <c r="Q1134" s="8" t="s">
        <v>1549</v>
      </c>
      <c r="R1134" s="8" t="s">
        <v>1552</v>
      </c>
      <c r="S1134" s="8" t="s">
        <v>1542</v>
      </c>
      <c r="T1134" s="8" t="s">
        <v>1576</v>
      </c>
      <c r="U1134" s="8" t="s">
        <v>1575</v>
      </c>
      <c r="V1134">
        <v>16800</v>
      </c>
      <c r="W1134">
        <v>12600</v>
      </c>
      <c r="X1134">
        <v>0</v>
      </c>
      <c r="Y1134">
        <v>-12600</v>
      </c>
    </row>
    <row r="1135" spans="1:25" x14ac:dyDescent="0.3">
      <c r="A1135" s="8" t="s">
        <v>1480</v>
      </c>
      <c r="B1135" s="14">
        <v>46192</v>
      </c>
      <c r="C1135" s="8" t="s">
        <v>300</v>
      </c>
      <c r="D1135" s="8" t="s">
        <v>70</v>
      </c>
      <c r="E1135" s="8" t="s">
        <v>63</v>
      </c>
      <c r="F1135">
        <v>1</v>
      </c>
      <c r="G1135">
        <v>2200</v>
      </c>
      <c r="H1135">
        <v>0.05</v>
      </c>
      <c r="I1135" s="8" t="s">
        <v>17</v>
      </c>
      <c r="J1135" s="8" t="s">
        <v>71</v>
      </c>
      <c r="K1135" s="8" t="s">
        <v>55</v>
      </c>
      <c r="L1135">
        <v>2090</v>
      </c>
      <c r="M1135" s="8" t="s">
        <v>56</v>
      </c>
      <c r="N1135">
        <v>2090</v>
      </c>
      <c r="O1135" s="8" t="s">
        <v>1701</v>
      </c>
      <c r="P1135" s="8" t="s">
        <v>1550</v>
      </c>
      <c r="Q1135" s="8" t="s">
        <v>1549</v>
      </c>
      <c r="R1135" s="8" t="s">
        <v>32</v>
      </c>
      <c r="S1135" s="8" t="s">
        <v>1542</v>
      </c>
      <c r="T1135" s="8" t="s">
        <v>1572</v>
      </c>
      <c r="U1135" s="8" t="s">
        <v>1571</v>
      </c>
      <c r="V1135">
        <v>2200</v>
      </c>
      <c r="W1135">
        <v>1450</v>
      </c>
      <c r="X1135">
        <v>2090</v>
      </c>
      <c r="Y1135">
        <v>640</v>
      </c>
    </row>
    <row r="1136" spans="1:25" x14ac:dyDescent="0.3">
      <c r="A1136" s="8" t="s">
        <v>1481</v>
      </c>
      <c r="B1136" s="14">
        <v>46176</v>
      </c>
      <c r="C1136" s="8" t="s">
        <v>140</v>
      </c>
      <c r="D1136" s="8" t="s">
        <v>70</v>
      </c>
      <c r="E1136" s="8" t="s">
        <v>74</v>
      </c>
      <c r="F1136">
        <v>1</v>
      </c>
      <c r="G1136">
        <v>2400</v>
      </c>
      <c r="H1136">
        <v>0.05</v>
      </c>
      <c r="I1136" s="8" t="s">
        <v>17</v>
      </c>
      <c r="J1136" s="8" t="s">
        <v>31</v>
      </c>
      <c r="K1136" s="8" t="s">
        <v>25</v>
      </c>
      <c r="L1136">
        <v>2280</v>
      </c>
      <c r="M1136" s="8" t="s">
        <v>138</v>
      </c>
      <c r="N1136">
        <v>2280</v>
      </c>
      <c r="O1136" s="8" t="s">
        <v>1701</v>
      </c>
      <c r="P1136" s="8" t="s">
        <v>1550</v>
      </c>
      <c r="Q1136" s="8" t="s">
        <v>1549</v>
      </c>
      <c r="R1136" s="8" t="s">
        <v>32</v>
      </c>
      <c r="S1136" s="8" t="s">
        <v>1542</v>
      </c>
      <c r="T1136" s="8" t="s">
        <v>1584</v>
      </c>
      <c r="U1136" s="8" t="s">
        <v>1583</v>
      </c>
      <c r="V1136">
        <v>2400</v>
      </c>
      <c r="W1136">
        <v>1480</v>
      </c>
      <c r="X1136">
        <v>2280</v>
      </c>
      <c r="Y1136">
        <v>800</v>
      </c>
    </row>
    <row r="1137" spans="1:25" x14ac:dyDescent="0.3">
      <c r="A1137" s="8" t="s">
        <v>1482</v>
      </c>
      <c r="B1137" s="14">
        <v>46089</v>
      </c>
      <c r="C1137" s="8" t="s">
        <v>196</v>
      </c>
      <c r="D1137" s="8" t="s">
        <v>95</v>
      </c>
      <c r="E1137" s="8" t="s">
        <v>36</v>
      </c>
      <c r="F1137">
        <v>2</v>
      </c>
      <c r="G1137">
        <v>1400</v>
      </c>
      <c r="H1137">
        <v>0.1</v>
      </c>
      <c r="I1137" s="8" t="s">
        <v>17</v>
      </c>
      <c r="J1137" s="8" t="s">
        <v>47</v>
      </c>
      <c r="K1137" s="8" t="s">
        <v>55</v>
      </c>
      <c r="L1137">
        <v>2520</v>
      </c>
      <c r="M1137" s="8" t="s">
        <v>52</v>
      </c>
      <c r="N1137">
        <v>2520</v>
      </c>
      <c r="O1137" s="8" t="s">
        <v>1701</v>
      </c>
      <c r="P1137" s="8" t="s">
        <v>1556</v>
      </c>
      <c r="Q1137" s="8" t="s">
        <v>1554</v>
      </c>
      <c r="R1137" s="8" t="s">
        <v>1557</v>
      </c>
      <c r="S1137" s="8" t="s">
        <v>1542</v>
      </c>
      <c r="T1137" s="8" t="s">
        <v>1577</v>
      </c>
      <c r="U1137" s="8" t="s">
        <v>1571</v>
      </c>
      <c r="V1137">
        <v>1400</v>
      </c>
      <c r="W1137">
        <v>780</v>
      </c>
      <c r="X1137">
        <v>2520</v>
      </c>
      <c r="Y1137">
        <v>960</v>
      </c>
    </row>
    <row r="1138" spans="1:25" x14ac:dyDescent="0.3">
      <c r="A1138" s="8" t="s">
        <v>1483</v>
      </c>
      <c r="B1138" s="14">
        <v>46109</v>
      </c>
      <c r="C1138" s="8" t="s">
        <v>623</v>
      </c>
      <c r="D1138" s="8" t="s">
        <v>95</v>
      </c>
      <c r="E1138" s="8" t="s">
        <v>16</v>
      </c>
      <c r="F1138">
        <v>2</v>
      </c>
      <c r="G1138">
        <v>650</v>
      </c>
      <c r="H1138">
        <v>0.1</v>
      </c>
      <c r="I1138" s="8" t="s">
        <v>17</v>
      </c>
      <c r="J1138" s="8" t="s">
        <v>31</v>
      </c>
      <c r="K1138" s="8" t="s">
        <v>25</v>
      </c>
      <c r="L1138">
        <v>1170</v>
      </c>
      <c r="M1138" s="8" t="s">
        <v>48</v>
      </c>
      <c r="N1138">
        <v>1170</v>
      </c>
      <c r="O1138" s="8" t="s">
        <v>1701</v>
      </c>
      <c r="P1138" s="8" t="s">
        <v>1556</v>
      </c>
      <c r="Q1138" s="8" t="s">
        <v>1554</v>
      </c>
      <c r="R1138" s="8" t="s">
        <v>1557</v>
      </c>
      <c r="S1138" s="8" t="s">
        <v>1542</v>
      </c>
      <c r="T1138" s="8" t="s">
        <v>1570</v>
      </c>
      <c r="U1138" s="8" t="s">
        <v>1571</v>
      </c>
      <c r="V1138">
        <v>650</v>
      </c>
      <c r="W1138">
        <v>390</v>
      </c>
      <c r="X1138">
        <v>1170</v>
      </c>
      <c r="Y1138">
        <v>390</v>
      </c>
    </row>
    <row r="1139" spans="1:25" x14ac:dyDescent="0.3">
      <c r="A1139" s="8" t="s">
        <v>1484</v>
      </c>
      <c r="B1139" s="14">
        <v>46107</v>
      </c>
      <c r="C1139" s="8" t="s">
        <v>843</v>
      </c>
      <c r="D1139" s="8" t="s">
        <v>50</v>
      </c>
      <c r="E1139" s="8" t="s">
        <v>183</v>
      </c>
      <c r="F1139">
        <v>2</v>
      </c>
      <c r="G1139">
        <v>3360</v>
      </c>
      <c r="H1139">
        <v>0.2</v>
      </c>
      <c r="I1139" s="8" t="s">
        <v>17</v>
      </c>
      <c r="J1139" s="8" t="s">
        <v>47</v>
      </c>
      <c r="K1139" s="8" t="s">
        <v>67</v>
      </c>
      <c r="L1139">
        <v>5376</v>
      </c>
      <c r="M1139" s="8" t="s">
        <v>82</v>
      </c>
      <c r="N1139">
        <v>5376</v>
      </c>
      <c r="O1139" s="8" t="s">
        <v>1701</v>
      </c>
      <c r="P1139" s="8" t="s">
        <v>1544</v>
      </c>
      <c r="Q1139" s="8" t="s">
        <v>1541</v>
      </c>
      <c r="R1139" s="8" t="s">
        <v>26</v>
      </c>
      <c r="S1139" s="8" t="s">
        <v>1542</v>
      </c>
      <c r="T1139" s="8" t="s">
        <v>1582</v>
      </c>
      <c r="U1139" s="8" t="s">
        <v>1583</v>
      </c>
      <c r="V1139">
        <v>3200</v>
      </c>
      <c r="W1139">
        <v>2050</v>
      </c>
      <c r="X1139">
        <v>5376</v>
      </c>
      <c r="Y1139">
        <v>1276</v>
      </c>
    </row>
    <row r="1140" spans="1:25" x14ac:dyDescent="0.3">
      <c r="A1140" s="8" t="s">
        <v>1485</v>
      </c>
      <c r="B1140" s="14">
        <v>46039</v>
      </c>
      <c r="C1140" s="8" t="s">
        <v>411</v>
      </c>
      <c r="D1140" s="8" t="s">
        <v>95</v>
      </c>
      <c r="E1140" s="8" t="s">
        <v>16</v>
      </c>
      <c r="F1140">
        <v>2</v>
      </c>
      <c r="G1140">
        <v>650</v>
      </c>
      <c r="H1140">
        <v>0.05</v>
      </c>
      <c r="I1140" s="8" t="s">
        <v>17</v>
      </c>
      <c r="J1140" s="8" t="s">
        <v>71</v>
      </c>
      <c r="K1140" s="8" t="s">
        <v>67</v>
      </c>
      <c r="L1140">
        <v>1235</v>
      </c>
      <c r="M1140" s="8" t="s">
        <v>59</v>
      </c>
      <c r="N1140">
        <v>1235</v>
      </c>
      <c r="O1140" s="8" t="s">
        <v>1701</v>
      </c>
      <c r="P1140" s="8" t="s">
        <v>1556</v>
      </c>
      <c r="Q1140" s="8" t="s">
        <v>1554</v>
      </c>
      <c r="R1140" s="8" t="s">
        <v>1557</v>
      </c>
      <c r="S1140" s="8" t="s">
        <v>1542</v>
      </c>
      <c r="T1140" s="8" t="s">
        <v>1570</v>
      </c>
      <c r="U1140" s="8" t="s">
        <v>1571</v>
      </c>
      <c r="V1140">
        <v>650</v>
      </c>
      <c r="W1140">
        <v>390</v>
      </c>
      <c r="X1140">
        <v>1235</v>
      </c>
      <c r="Y1140">
        <v>455</v>
      </c>
    </row>
    <row r="1141" spans="1:25" x14ac:dyDescent="0.3">
      <c r="A1141" s="8" t="s">
        <v>1486</v>
      </c>
      <c r="B1141" s="14">
        <v>46118</v>
      </c>
      <c r="C1141" s="8" t="s">
        <v>499</v>
      </c>
      <c r="D1141" s="8" t="s">
        <v>35</v>
      </c>
      <c r="E1141" s="8" t="s">
        <v>161</v>
      </c>
      <c r="F1141">
        <v>1</v>
      </c>
      <c r="G1141">
        <v>2470</v>
      </c>
      <c r="H1141">
        <v>0.2</v>
      </c>
      <c r="I1141" s="8" t="s">
        <v>17</v>
      </c>
      <c r="J1141" s="8" t="s">
        <v>31</v>
      </c>
      <c r="K1141" s="8" t="s">
        <v>25</v>
      </c>
      <c r="L1141">
        <v>1976</v>
      </c>
      <c r="M1141" s="8" t="s">
        <v>42</v>
      </c>
      <c r="N1141">
        <v>1976</v>
      </c>
      <c r="O1141" s="8" t="s">
        <v>1701</v>
      </c>
      <c r="P1141" s="8" t="s">
        <v>1548</v>
      </c>
      <c r="Q1141" s="8" t="s">
        <v>1549</v>
      </c>
      <c r="R1141" s="8" t="s">
        <v>42</v>
      </c>
      <c r="S1141" s="8" t="s">
        <v>1542</v>
      </c>
      <c r="T1141" s="8" t="s">
        <v>1578</v>
      </c>
      <c r="U1141" s="8" t="s">
        <v>1571</v>
      </c>
      <c r="V1141">
        <v>2600</v>
      </c>
      <c r="W1141">
        <v>1750</v>
      </c>
      <c r="X1141">
        <v>1976</v>
      </c>
      <c r="Y1141">
        <v>226</v>
      </c>
    </row>
    <row r="1142" spans="1:25" x14ac:dyDescent="0.3">
      <c r="A1142" s="8" t="s">
        <v>1487</v>
      </c>
      <c r="B1142" s="14">
        <v>46151</v>
      </c>
      <c r="C1142" s="8" t="s">
        <v>384</v>
      </c>
      <c r="D1142" s="8" t="s">
        <v>70</v>
      </c>
      <c r="E1142" s="8" t="s">
        <v>46</v>
      </c>
      <c r="F1142">
        <v>1</v>
      </c>
      <c r="G1142">
        <v>7800</v>
      </c>
      <c r="H1142">
        <v>0.05</v>
      </c>
      <c r="I1142" s="8" t="s">
        <v>17</v>
      </c>
      <c r="J1142" s="8" t="s">
        <v>31</v>
      </c>
      <c r="K1142" s="8" t="s">
        <v>67</v>
      </c>
      <c r="L1142">
        <v>7410</v>
      </c>
      <c r="M1142" s="8" t="s">
        <v>42</v>
      </c>
      <c r="N1142">
        <v>7410</v>
      </c>
      <c r="O1142" s="8" t="s">
        <v>1701</v>
      </c>
      <c r="P1142" s="8" t="s">
        <v>1550</v>
      </c>
      <c r="Q1142" s="8" t="s">
        <v>1549</v>
      </c>
      <c r="R1142" s="8" t="s">
        <v>32</v>
      </c>
      <c r="S1142" s="8" t="s">
        <v>1542</v>
      </c>
      <c r="T1142" s="8" t="s">
        <v>1579</v>
      </c>
      <c r="U1142" s="8" t="s">
        <v>1580</v>
      </c>
      <c r="V1142">
        <v>7800</v>
      </c>
      <c r="W1142">
        <v>5200</v>
      </c>
      <c r="X1142">
        <v>7410</v>
      </c>
      <c r="Y1142">
        <v>2210</v>
      </c>
    </row>
    <row r="1143" spans="1:25" x14ac:dyDescent="0.3">
      <c r="A1143" s="8" t="s">
        <v>1488</v>
      </c>
      <c r="B1143" s="14">
        <v>46119</v>
      </c>
      <c r="C1143" s="8" t="s">
        <v>430</v>
      </c>
      <c r="D1143" s="8" t="s">
        <v>95</v>
      </c>
      <c r="E1143" s="8" t="s">
        <v>161</v>
      </c>
      <c r="F1143">
        <v>1</v>
      </c>
      <c r="G1143">
        <v>2470</v>
      </c>
      <c r="H1143">
        <v>0.2</v>
      </c>
      <c r="I1143" s="8" t="s">
        <v>66</v>
      </c>
      <c r="J1143" s="8" t="s">
        <v>31</v>
      </c>
      <c r="K1143" s="8" t="s">
        <v>25</v>
      </c>
      <c r="L1143">
        <v>1976</v>
      </c>
      <c r="M1143" s="8" t="s">
        <v>32</v>
      </c>
      <c r="N1143">
        <v>1976</v>
      </c>
      <c r="O1143" s="8" t="s">
        <v>1701</v>
      </c>
      <c r="P1143" s="8" t="s">
        <v>1556</v>
      </c>
      <c r="Q1143" s="8" t="s">
        <v>1554</v>
      </c>
      <c r="R1143" s="8" t="s">
        <v>1557</v>
      </c>
      <c r="S1143" s="8" t="s">
        <v>1542</v>
      </c>
      <c r="T1143" s="8" t="s">
        <v>1578</v>
      </c>
      <c r="U1143" s="8" t="s">
        <v>1571</v>
      </c>
      <c r="V1143">
        <v>2600</v>
      </c>
      <c r="W1143">
        <v>1750</v>
      </c>
      <c r="X1143">
        <v>0</v>
      </c>
      <c r="Y1143">
        <v>-1750</v>
      </c>
    </row>
    <row r="1144" spans="1:25" x14ac:dyDescent="0.3">
      <c r="A1144" s="8" t="s">
        <v>1489</v>
      </c>
      <c r="B1144" s="14">
        <v>46028</v>
      </c>
      <c r="C1144" s="8" t="s">
        <v>1312</v>
      </c>
      <c r="D1144" s="8" t="s">
        <v>168</v>
      </c>
      <c r="E1144" s="8" t="s">
        <v>85</v>
      </c>
      <c r="F1144">
        <v>4</v>
      </c>
      <c r="G1144">
        <v>46075</v>
      </c>
      <c r="H1144">
        <v>0.15</v>
      </c>
      <c r="I1144" s="8" t="s">
        <v>80</v>
      </c>
      <c r="J1144" s="8" t="s">
        <v>71</v>
      </c>
      <c r="K1144" s="8" t="s">
        <v>25</v>
      </c>
      <c r="L1144">
        <v>156655</v>
      </c>
      <c r="M1144" s="8" t="s">
        <v>26</v>
      </c>
      <c r="N1144">
        <v>156655</v>
      </c>
      <c r="O1144" s="8" t="s">
        <v>1701</v>
      </c>
      <c r="P1144" s="8" t="s">
        <v>1540</v>
      </c>
      <c r="Q1144" s="8" t="s">
        <v>1541</v>
      </c>
      <c r="R1144" s="8" t="s">
        <v>20</v>
      </c>
      <c r="S1144" s="8" t="s">
        <v>1542</v>
      </c>
      <c r="T1144" s="8" t="s">
        <v>1585</v>
      </c>
      <c r="U1144" s="8" t="s">
        <v>1586</v>
      </c>
      <c r="V1144">
        <v>48500</v>
      </c>
      <c r="W1144">
        <v>41200</v>
      </c>
      <c r="X1144">
        <v>0</v>
      </c>
      <c r="Y1144">
        <v>-164800</v>
      </c>
    </row>
    <row r="1145" spans="1:25" x14ac:dyDescent="0.3">
      <c r="A1145" s="8" t="s">
        <v>1490</v>
      </c>
      <c r="B1145" s="14">
        <v>46105</v>
      </c>
      <c r="C1145" s="8" t="s">
        <v>194</v>
      </c>
      <c r="D1145" s="8" t="s">
        <v>70</v>
      </c>
      <c r="E1145" s="8" t="s">
        <v>51</v>
      </c>
      <c r="F1145">
        <v>4</v>
      </c>
      <c r="G1145">
        <v>18500</v>
      </c>
      <c r="H1145">
        <v>0.05</v>
      </c>
      <c r="I1145" s="8" t="s">
        <v>17</v>
      </c>
      <c r="J1145" s="8" t="s">
        <v>47</v>
      </c>
      <c r="K1145" s="8" t="s">
        <v>25</v>
      </c>
      <c r="L1145">
        <v>70300</v>
      </c>
      <c r="M1145" s="8" t="s">
        <v>56</v>
      </c>
      <c r="N1145">
        <v>70300</v>
      </c>
      <c r="O1145" s="8" t="s">
        <v>1701</v>
      </c>
      <c r="P1145" s="8" t="s">
        <v>1550</v>
      </c>
      <c r="Q1145" s="8" t="s">
        <v>1549</v>
      </c>
      <c r="R1145" s="8" t="s">
        <v>32</v>
      </c>
      <c r="S1145" s="8" t="s">
        <v>1542</v>
      </c>
      <c r="T1145" s="8" t="s">
        <v>1581</v>
      </c>
      <c r="U1145" s="8" t="s">
        <v>1580</v>
      </c>
      <c r="V1145">
        <v>18500</v>
      </c>
      <c r="W1145">
        <v>13900</v>
      </c>
      <c r="X1145">
        <v>70300</v>
      </c>
      <c r="Y1145">
        <v>14700</v>
      </c>
    </row>
    <row r="1146" spans="1:25" x14ac:dyDescent="0.3">
      <c r="A1146" s="8" t="s">
        <v>1491</v>
      </c>
      <c r="B1146" s="14">
        <v>46119</v>
      </c>
      <c r="C1146" s="8" t="s">
        <v>321</v>
      </c>
      <c r="D1146" s="8" t="s">
        <v>45</v>
      </c>
      <c r="E1146" s="8" t="s">
        <v>161</v>
      </c>
      <c r="F1146">
        <v>1</v>
      </c>
      <c r="G1146">
        <v>2730</v>
      </c>
      <c r="H1146">
        <v>0.1</v>
      </c>
      <c r="I1146" s="8" t="s">
        <v>17</v>
      </c>
      <c r="J1146" s="8" t="s">
        <v>71</v>
      </c>
      <c r="K1146" s="8" t="s">
        <v>55</v>
      </c>
      <c r="L1146">
        <v>2457</v>
      </c>
      <c r="M1146" s="8" t="s">
        <v>20</v>
      </c>
      <c r="N1146">
        <v>2457</v>
      </c>
      <c r="O1146" s="8" t="s">
        <v>1701</v>
      </c>
      <c r="P1146" s="8" t="s">
        <v>1547</v>
      </c>
      <c r="Q1146" s="8" t="s">
        <v>1541</v>
      </c>
      <c r="R1146" s="8" t="s">
        <v>56</v>
      </c>
      <c r="S1146" s="8" t="s">
        <v>1542</v>
      </c>
      <c r="T1146" s="8" t="s">
        <v>1578</v>
      </c>
      <c r="U1146" s="8" t="s">
        <v>1571</v>
      </c>
      <c r="V1146">
        <v>2600</v>
      </c>
      <c r="W1146">
        <v>1750</v>
      </c>
      <c r="X1146">
        <v>2457</v>
      </c>
      <c r="Y1146">
        <v>707</v>
      </c>
    </row>
    <row r="1147" spans="1:25" x14ac:dyDescent="0.3">
      <c r="A1147" s="8" t="s">
        <v>1492</v>
      </c>
      <c r="B1147" s="14">
        <v>46150</v>
      </c>
      <c r="C1147" s="8" t="s">
        <v>338</v>
      </c>
      <c r="D1147" s="8" t="s">
        <v>123</v>
      </c>
      <c r="E1147" s="8" t="s">
        <v>161</v>
      </c>
      <c r="F1147">
        <v>8</v>
      </c>
      <c r="G1147">
        <v>2730</v>
      </c>
      <c r="H1147">
        <v>0.15</v>
      </c>
      <c r="I1147" s="8" t="s">
        <v>17</v>
      </c>
      <c r="J1147" s="8" t="s">
        <v>31</v>
      </c>
      <c r="K1147" s="8" t="s">
        <v>55</v>
      </c>
      <c r="L1147">
        <v>18564</v>
      </c>
      <c r="M1147" s="8" t="s">
        <v>52</v>
      </c>
      <c r="N1147">
        <v>18564</v>
      </c>
      <c r="O1147" s="8" t="s">
        <v>1701</v>
      </c>
      <c r="P1147" s="8" t="s">
        <v>1558</v>
      </c>
      <c r="Q1147" s="8" t="s">
        <v>1559</v>
      </c>
      <c r="R1147" s="8" t="s">
        <v>138</v>
      </c>
      <c r="S1147" s="8" t="s">
        <v>1542</v>
      </c>
      <c r="T1147" s="8" t="s">
        <v>1578</v>
      </c>
      <c r="U1147" s="8" t="s">
        <v>1571</v>
      </c>
      <c r="V1147">
        <v>2600</v>
      </c>
      <c r="W1147">
        <v>1750</v>
      </c>
      <c r="X1147">
        <v>18564</v>
      </c>
      <c r="Y1147">
        <v>4564</v>
      </c>
    </row>
    <row r="1148" spans="1:25" x14ac:dyDescent="0.3">
      <c r="A1148" s="8" t="s">
        <v>1493</v>
      </c>
      <c r="B1148" s="14">
        <v>46137</v>
      </c>
      <c r="C1148" s="8" t="s">
        <v>1371</v>
      </c>
      <c r="D1148" s="8" t="s">
        <v>35</v>
      </c>
      <c r="E1148" s="8" t="s">
        <v>46</v>
      </c>
      <c r="F1148">
        <v>3</v>
      </c>
      <c r="G1148">
        <v>7800</v>
      </c>
      <c r="H1148">
        <v>0.2</v>
      </c>
      <c r="I1148" s="8" t="s">
        <v>17</v>
      </c>
      <c r="J1148" s="8" t="s">
        <v>31</v>
      </c>
      <c r="K1148" s="8" t="s">
        <v>25</v>
      </c>
      <c r="L1148">
        <v>18720</v>
      </c>
      <c r="M1148" s="8" t="s">
        <v>59</v>
      </c>
      <c r="N1148">
        <v>18720</v>
      </c>
      <c r="O1148" s="8" t="s">
        <v>1701</v>
      </c>
      <c r="P1148" s="8" t="s">
        <v>1548</v>
      </c>
      <c r="Q1148" s="8" t="s">
        <v>1549</v>
      </c>
      <c r="R1148" s="8" t="s">
        <v>42</v>
      </c>
      <c r="S1148" s="8" t="s">
        <v>1542</v>
      </c>
      <c r="T1148" s="8" t="s">
        <v>1579</v>
      </c>
      <c r="U1148" s="8" t="s">
        <v>1580</v>
      </c>
      <c r="V1148">
        <v>7800</v>
      </c>
      <c r="W1148">
        <v>5200</v>
      </c>
      <c r="X1148">
        <v>18720</v>
      </c>
      <c r="Y1148">
        <v>3120</v>
      </c>
    </row>
    <row r="1149" spans="1:25" x14ac:dyDescent="0.3">
      <c r="A1149" s="8" t="s">
        <v>1494</v>
      </c>
      <c r="B1149" s="14">
        <v>46076</v>
      </c>
      <c r="C1149" s="8" t="s">
        <v>448</v>
      </c>
      <c r="D1149" s="8" t="s">
        <v>90</v>
      </c>
      <c r="E1149" s="8" t="s">
        <v>46</v>
      </c>
      <c r="F1149">
        <v>3</v>
      </c>
      <c r="G1149">
        <v>8190</v>
      </c>
      <c r="H1149">
        <v>0</v>
      </c>
      <c r="I1149" s="8" t="s">
        <v>17</v>
      </c>
      <c r="J1149" s="8" t="s">
        <v>31</v>
      </c>
      <c r="K1149" s="8" t="s">
        <v>55</v>
      </c>
      <c r="L1149">
        <v>24570</v>
      </c>
      <c r="M1149" s="8" t="s">
        <v>26</v>
      </c>
      <c r="N1149">
        <v>24570</v>
      </c>
      <c r="O1149" s="8" t="s">
        <v>1701</v>
      </c>
      <c r="P1149" s="8" t="s">
        <v>1562</v>
      </c>
      <c r="Q1149" s="8" t="s">
        <v>1563</v>
      </c>
      <c r="R1149" s="8" t="s">
        <v>48</v>
      </c>
      <c r="S1149" s="8" t="s">
        <v>1542</v>
      </c>
      <c r="T1149" s="8" t="s">
        <v>1579</v>
      </c>
      <c r="U1149" s="8" t="s">
        <v>1580</v>
      </c>
      <c r="V1149">
        <v>7800</v>
      </c>
      <c r="W1149">
        <v>5200</v>
      </c>
      <c r="X1149">
        <v>24570</v>
      </c>
      <c r="Y1149">
        <v>8970</v>
      </c>
    </row>
    <row r="1150" spans="1:25" x14ac:dyDescent="0.3">
      <c r="A1150" s="8" t="s">
        <v>1495</v>
      </c>
      <c r="B1150" s="14">
        <v>46128</v>
      </c>
      <c r="C1150" s="8" t="s">
        <v>682</v>
      </c>
      <c r="D1150" s="8" t="s">
        <v>45</v>
      </c>
      <c r="E1150" s="8" t="s">
        <v>85</v>
      </c>
      <c r="F1150">
        <v>2</v>
      </c>
      <c r="G1150">
        <v>50925</v>
      </c>
      <c r="H1150">
        <v>0</v>
      </c>
      <c r="I1150" s="8" t="s">
        <v>17</v>
      </c>
      <c r="J1150" s="8" t="s">
        <v>47</v>
      </c>
      <c r="K1150" s="8" t="s">
        <v>41</v>
      </c>
      <c r="L1150">
        <v>101850</v>
      </c>
      <c r="M1150" s="8" t="s">
        <v>82</v>
      </c>
      <c r="N1150">
        <v>101850</v>
      </c>
      <c r="O1150" s="8" t="s">
        <v>1701</v>
      </c>
      <c r="P1150" s="8" t="s">
        <v>1547</v>
      </c>
      <c r="Q1150" s="8" t="s">
        <v>1541</v>
      </c>
      <c r="R1150" s="8" t="s">
        <v>56</v>
      </c>
      <c r="S1150" s="8" t="s">
        <v>1542</v>
      </c>
      <c r="T1150" s="8" t="s">
        <v>1585</v>
      </c>
      <c r="U1150" s="8" t="s">
        <v>1586</v>
      </c>
      <c r="V1150">
        <v>48500</v>
      </c>
      <c r="W1150">
        <v>41200</v>
      </c>
      <c r="X1150">
        <v>101850</v>
      </c>
      <c r="Y1150">
        <v>19450</v>
      </c>
    </row>
    <row r="1151" spans="1:25" x14ac:dyDescent="0.3">
      <c r="A1151" s="8" t="s">
        <v>1496</v>
      </c>
      <c r="B1151" s="14">
        <v>46148</v>
      </c>
      <c r="C1151" s="8" t="s">
        <v>407</v>
      </c>
      <c r="D1151" s="8" t="s">
        <v>152</v>
      </c>
      <c r="E1151" s="8" t="s">
        <v>46</v>
      </c>
      <c r="F1151">
        <v>2</v>
      </c>
      <c r="G1151">
        <v>8190</v>
      </c>
      <c r="H1151">
        <v>0.2</v>
      </c>
      <c r="I1151" s="8" t="s">
        <v>17</v>
      </c>
      <c r="J1151" s="8" t="s">
        <v>31</v>
      </c>
      <c r="K1151" s="8" t="s">
        <v>1698</v>
      </c>
      <c r="L1151">
        <v>13104</v>
      </c>
      <c r="M1151" s="8" t="s">
        <v>32</v>
      </c>
      <c r="N1151">
        <v>13104</v>
      </c>
      <c r="O1151" s="8" t="s">
        <v>1701</v>
      </c>
      <c r="P1151" s="8" t="s">
        <v>1553</v>
      </c>
      <c r="Q1151" s="8" t="s">
        <v>1554</v>
      </c>
      <c r="R1151" s="8" t="s">
        <v>59</v>
      </c>
      <c r="S1151" s="8" t="s">
        <v>1542</v>
      </c>
      <c r="T1151" s="8" t="s">
        <v>1579</v>
      </c>
      <c r="U1151" s="8" t="s">
        <v>1580</v>
      </c>
      <c r="V1151">
        <v>7800</v>
      </c>
      <c r="W1151">
        <v>5200</v>
      </c>
      <c r="X1151">
        <v>13104</v>
      </c>
      <c r="Y1151">
        <v>2704</v>
      </c>
    </row>
    <row r="1152" spans="1:25" x14ac:dyDescent="0.3">
      <c r="A1152" s="8" t="s">
        <v>1497</v>
      </c>
      <c r="B1152" s="14">
        <v>46202</v>
      </c>
      <c r="C1152" s="8" t="s">
        <v>501</v>
      </c>
      <c r="D1152" s="8" t="s">
        <v>15</v>
      </c>
      <c r="E1152" s="8" t="s">
        <v>161</v>
      </c>
      <c r="F1152">
        <v>1</v>
      </c>
      <c r="G1152">
        <v>2470</v>
      </c>
      <c r="H1152">
        <v>0</v>
      </c>
      <c r="I1152" s="8" t="s">
        <v>17</v>
      </c>
      <c r="J1152" s="8" t="s">
        <v>71</v>
      </c>
      <c r="K1152" s="8" t="s">
        <v>55</v>
      </c>
      <c r="L1152">
        <v>2470</v>
      </c>
      <c r="M1152" s="8" t="s">
        <v>42</v>
      </c>
      <c r="N1152">
        <v>2470</v>
      </c>
      <c r="O1152" s="8" t="s">
        <v>1701</v>
      </c>
      <c r="P1152" s="8" t="s">
        <v>1543</v>
      </c>
      <c r="Q1152" s="8" t="s">
        <v>1541</v>
      </c>
      <c r="R1152" s="8" t="s">
        <v>52</v>
      </c>
      <c r="S1152" s="8" t="s">
        <v>1542</v>
      </c>
      <c r="T1152" s="8" t="s">
        <v>1578</v>
      </c>
      <c r="U1152" s="8" t="s">
        <v>1571</v>
      </c>
      <c r="V1152">
        <v>2600</v>
      </c>
      <c r="W1152">
        <v>1750</v>
      </c>
      <c r="X1152">
        <v>2470</v>
      </c>
      <c r="Y1152">
        <v>720</v>
      </c>
    </row>
    <row r="1153" spans="1:25" x14ac:dyDescent="0.3">
      <c r="A1153" s="8" t="s">
        <v>1498</v>
      </c>
      <c r="B1153" s="14">
        <v>46032</v>
      </c>
      <c r="C1153" s="8" t="s">
        <v>340</v>
      </c>
      <c r="D1153" s="8" t="s">
        <v>77</v>
      </c>
      <c r="E1153" s="8" t="s">
        <v>161</v>
      </c>
      <c r="F1153">
        <v>2</v>
      </c>
      <c r="G1153">
        <v>2730</v>
      </c>
      <c r="H1153">
        <v>0.2</v>
      </c>
      <c r="I1153" s="8" t="s">
        <v>17</v>
      </c>
      <c r="J1153" s="8" t="s">
        <v>18</v>
      </c>
      <c r="K1153" s="8" t="s">
        <v>55</v>
      </c>
      <c r="L1153">
        <v>4368</v>
      </c>
      <c r="M1153" s="8" t="s">
        <v>20</v>
      </c>
      <c r="N1153">
        <v>4368</v>
      </c>
      <c r="O1153" s="8" t="s">
        <v>1701</v>
      </c>
      <c r="P1153" s="8" t="s">
        <v>1564</v>
      </c>
      <c r="Q1153" s="8" t="s">
        <v>1563</v>
      </c>
      <c r="R1153" s="8" t="s">
        <v>1565</v>
      </c>
      <c r="S1153" s="8" t="s">
        <v>1542</v>
      </c>
      <c r="T1153" s="8" t="s">
        <v>1578</v>
      </c>
      <c r="U1153" s="8" t="s">
        <v>1571</v>
      </c>
      <c r="V1153">
        <v>2600</v>
      </c>
      <c r="W1153">
        <v>1750</v>
      </c>
      <c r="X1153">
        <v>4368</v>
      </c>
      <c r="Y1153">
        <v>868</v>
      </c>
    </row>
    <row r="1154" spans="1:25" x14ac:dyDescent="0.3">
      <c r="A1154" s="8" t="s">
        <v>1499</v>
      </c>
      <c r="B1154" s="14">
        <v>46098</v>
      </c>
      <c r="C1154" s="8" t="s">
        <v>271</v>
      </c>
      <c r="D1154" s="8" t="s">
        <v>15</v>
      </c>
      <c r="E1154" s="8" t="s">
        <v>161</v>
      </c>
      <c r="F1154">
        <v>10</v>
      </c>
      <c r="G1154">
        <v>2600</v>
      </c>
      <c r="H1154">
        <v>0.2</v>
      </c>
      <c r="I1154" s="8" t="s">
        <v>80</v>
      </c>
      <c r="J1154" s="8" t="s">
        <v>47</v>
      </c>
      <c r="K1154" s="8" t="s">
        <v>25</v>
      </c>
      <c r="L1154">
        <v>20800</v>
      </c>
      <c r="M1154" s="8" t="s">
        <v>59</v>
      </c>
      <c r="N1154">
        <v>20800</v>
      </c>
      <c r="O1154" s="8" t="s">
        <v>1701</v>
      </c>
      <c r="P1154" s="8" t="s">
        <v>1543</v>
      </c>
      <c r="Q1154" s="8" t="s">
        <v>1541</v>
      </c>
      <c r="R1154" s="8" t="s">
        <v>52</v>
      </c>
      <c r="S1154" s="8" t="s">
        <v>1542</v>
      </c>
      <c r="T1154" s="8" t="s">
        <v>1578</v>
      </c>
      <c r="U1154" s="8" t="s">
        <v>1571</v>
      </c>
      <c r="V1154">
        <v>2600</v>
      </c>
      <c r="W1154">
        <v>1750</v>
      </c>
      <c r="X1154">
        <v>0</v>
      </c>
      <c r="Y1154">
        <v>-17500</v>
      </c>
    </row>
    <row r="1155" spans="1:25" x14ac:dyDescent="0.3">
      <c r="A1155" s="8" t="s">
        <v>1500</v>
      </c>
      <c r="B1155" s="14">
        <v>46059</v>
      </c>
      <c r="C1155" s="8" t="s">
        <v>767</v>
      </c>
      <c r="D1155" s="8" t="s">
        <v>45</v>
      </c>
      <c r="E1155" s="8" t="s">
        <v>51</v>
      </c>
      <c r="F1155">
        <v>3</v>
      </c>
      <c r="G1155">
        <v>18500</v>
      </c>
      <c r="H1155">
        <v>0.15</v>
      </c>
      <c r="I1155" s="8" t="s">
        <v>80</v>
      </c>
      <c r="J1155" s="8" t="s">
        <v>18</v>
      </c>
      <c r="K1155" s="8" t="s">
        <v>55</v>
      </c>
      <c r="L1155">
        <v>47175</v>
      </c>
      <c r="M1155" s="8" t="s">
        <v>52</v>
      </c>
      <c r="N1155">
        <v>47175</v>
      </c>
      <c r="O1155" s="8" t="s">
        <v>1701</v>
      </c>
      <c r="P1155" s="8" t="s">
        <v>1547</v>
      </c>
      <c r="Q1155" s="8" t="s">
        <v>1541</v>
      </c>
      <c r="R1155" s="8" t="s">
        <v>56</v>
      </c>
      <c r="S1155" s="8" t="s">
        <v>1542</v>
      </c>
      <c r="T1155" s="8" t="s">
        <v>1581</v>
      </c>
      <c r="U1155" s="8" t="s">
        <v>1580</v>
      </c>
      <c r="V1155">
        <v>18500</v>
      </c>
      <c r="W1155">
        <v>13900</v>
      </c>
      <c r="X1155">
        <v>0</v>
      </c>
      <c r="Y1155">
        <v>-41700</v>
      </c>
    </row>
    <row r="1156" spans="1:25" x14ac:dyDescent="0.3">
      <c r="A1156" s="8" t="s">
        <v>1501</v>
      </c>
      <c r="B1156" s="14">
        <v>46107</v>
      </c>
      <c r="C1156" s="8" t="s">
        <v>186</v>
      </c>
      <c r="D1156" s="8" t="s">
        <v>77</v>
      </c>
      <c r="E1156" s="8" t="s">
        <v>85</v>
      </c>
      <c r="F1156">
        <v>3</v>
      </c>
      <c r="G1156">
        <v>50925</v>
      </c>
      <c r="H1156">
        <v>0</v>
      </c>
      <c r="I1156" s="8" t="s">
        <v>17</v>
      </c>
      <c r="J1156" s="8" t="s">
        <v>47</v>
      </c>
      <c r="K1156" s="8" t="s">
        <v>55</v>
      </c>
      <c r="L1156">
        <v>152775</v>
      </c>
      <c r="M1156" s="8" t="s">
        <v>1702</v>
      </c>
      <c r="N1156">
        <v>152775</v>
      </c>
      <c r="O1156" s="8" t="s">
        <v>1701</v>
      </c>
      <c r="P1156" s="8" t="s">
        <v>1564</v>
      </c>
      <c r="Q1156" s="8" t="s">
        <v>1563</v>
      </c>
      <c r="R1156" s="8" t="s">
        <v>1565</v>
      </c>
      <c r="S1156" s="8" t="s">
        <v>1542</v>
      </c>
      <c r="T1156" s="8" t="s">
        <v>1585</v>
      </c>
      <c r="U1156" s="8" t="s">
        <v>1586</v>
      </c>
      <c r="V1156">
        <v>48500</v>
      </c>
      <c r="W1156">
        <v>41200</v>
      </c>
      <c r="X1156">
        <v>152775</v>
      </c>
      <c r="Y1156">
        <v>29175</v>
      </c>
    </row>
    <row r="1157" spans="1:25" x14ac:dyDescent="0.3">
      <c r="A1157" s="8" t="s">
        <v>1502</v>
      </c>
      <c r="B1157" s="14">
        <v>46061</v>
      </c>
      <c r="C1157" s="8" t="s">
        <v>332</v>
      </c>
      <c r="D1157" s="8" t="s">
        <v>62</v>
      </c>
      <c r="E1157" s="8" t="s">
        <v>63</v>
      </c>
      <c r="F1157">
        <v>10</v>
      </c>
      <c r="G1157">
        <v>2200</v>
      </c>
      <c r="H1157">
        <v>0</v>
      </c>
      <c r="I1157" s="8" t="s">
        <v>17</v>
      </c>
      <c r="J1157" s="8" t="s">
        <v>31</v>
      </c>
      <c r="K1157" s="8" t="s">
        <v>25</v>
      </c>
      <c r="L1157">
        <v>22000</v>
      </c>
      <c r="M1157" s="8" t="s">
        <v>56</v>
      </c>
      <c r="N1157">
        <v>22000</v>
      </c>
      <c r="O1157" s="8" t="s">
        <v>1701</v>
      </c>
      <c r="P1157" s="8" t="s">
        <v>1551</v>
      </c>
      <c r="Q1157" s="8" t="s">
        <v>1549</v>
      </c>
      <c r="R1157" s="8" t="s">
        <v>1552</v>
      </c>
      <c r="S1157" s="8" t="s">
        <v>1542</v>
      </c>
      <c r="T1157" s="8" t="s">
        <v>1572</v>
      </c>
      <c r="U1157" s="8" t="s">
        <v>1571</v>
      </c>
      <c r="V1157">
        <v>2200</v>
      </c>
      <c r="W1157">
        <v>1450</v>
      </c>
      <c r="X1157">
        <v>22000</v>
      </c>
      <c r="Y1157">
        <v>7500</v>
      </c>
    </row>
    <row r="1158" spans="1:25" x14ac:dyDescent="0.3">
      <c r="A1158" s="8" t="s">
        <v>1503</v>
      </c>
      <c r="B1158" s="14">
        <v>46107</v>
      </c>
      <c r="C1158" s="8" t="s">
        <v>594</v>
      </c>
      <c r="D1158" s="8" t="s">
        <v>15</v>
      </c>
      <c r="E1158" s="8" t="s">
        <v>16</v>
      </c>
      <c r="F1158">
        <v>3</v>
      </c>
      <c r="G1158">
        <v>650</v>
      </c>
      <c r="H1158">
        <v>0.15</v>
      </c>
      <c r="I1158" s="8" t="s">
        <v>17</v>
      </c>
      <c r="J1158" s="8" t="s">
        <v>47</v>
      </c>
      <c r="K1158" s="8" t="s">
        <v>1698</v>
      </c>
      <c r="L1158">
        <v>1657.5</v>
      </c>
      <c r="M1158" s="8" t="s">
        <v>52</v>
      </c>
      <c r="N1158">
        <v>1657.5</v>
      </c>
      <c r="O1158" s="8" t="s">
        <v>1701</v>
      </c>
      <c r="P1158" s="8" t="s">
        <v>1543</v>
      </c>
      <c r="Q1158" s="8" t="s">
        <v>1541</v>
      </c>
      <c r="R1158" s="8" t="s">
        <v>52</v>
      </c>
      <c r="S1158" s="8" t="s">
        <v>1542</v>
      </c>
      <c r="T1158" s="8" t="s">
        <v>1570</v>
      </c>
      <c r="U1158" s="8" t="s">
        <v>1571</v>
      </c>
      <c r="V1158">
        <v>650</v>
      </c>
      <c r="W1158">
        <v>390</v>
      </c>
      <c r="X1158">
        <v>1657.5</v>
      </c>
      <c r="Y1158">
        <v>487.5</v>
      </c>
    </row>
    <row r="1159" spans="1:25" x14ac:dyDescent="0.3">
      <c r="A1159" s="8" t="s">
        <v>1504</v>
      </c>
      <c r="B1159" s="14">
        <v>46093</v>
      </c>
      <c r="C1159" s="8" t="s">
        <v>243</v>
      </c>
      <c r="D1159" s="8" t="s">
        <v>45</v>
      </c>
      <c r="E1159" s="8" t="s">
        <v>161</v>
      </c>
      <c r="F1159">
        <v>3</v>
      </c>
      <c r="G1159">
        <v>2730</v>
      </c>
      <c r="H1159">
        <v>0.05</v>
      </c>
      <c r="I1159" s="8" t="s">
        <v>17</v>
      </c>
      <c r="J1159" s="8" t="s">
        <v>71</v>
      </c>
      <c r="K1159" s="8" t="s">
        <v>1698</v>
      </c>
      <c r="L1159">
        <v>7780.5</v>
      </c>
      <c r="M1159" s="8" t="s">
        <v>48</v>
      </c>
      <c r="N1159">
        <v>7780.5</v>
      </c>
      <c r="O1159" s="8" t="s">
        <v>1701</v>
      </c>
      <c r="P1159" s="8" t="s">
        <v>1547</v>
      </c>
      <c r="Q1159" s="8" t="s">
        <v>1541</v>
      </c>
      <c r="R1159" s="8" t="s">
        <v>56</v>
      </c>
      <c r="S1159" s="8" t="s">
        <v>1542</v>
      </c>
      <c r="T1159" s="8" t="s">
        <v>1578</v>
      </c>
      <c r="U1159" s="8" t="s">
        <v>1571</v>
      </c>
      <c r="V1159">
        <v>2600</v>
      </c>
      <c r="W1159">
        <v>1750</v>
      </c>
      <c r="X1159">
        <v>7780.5</v>
      </c>
      <c r="Y1159">
        <v>2530.5</v>
      </c>
    </row>
    <row r="1160" spans="1:25" x14ac:dyDescent="0.3">
      <c r="A1160" s="8" t="s">
        <v>1505</v>
      </c>
      <c r="B1160" s="14"/>
      <c r="C1160" s="8" t="s">
        <v>371</v>
      </c>
      <c r="D1160" s="8" t="s">
        <v>15</v>
      </c>
      <c r="E1160" s="8" t="s">
        <v>85</v>
      </c>
      <c r="F1160">
        <v>1</v>
      </c>
      <c r="G1160">
        <v>46075</v>
      </c>
      <c r="H1160">
        <v>0</v>
      </c>
      <c r="I1160" s="8" t="s">
        <v>17</v>
      </c>
      <c r="J1160" s="8" t="s">
        <v>18</v>
      </c>
      <c r="K1160" s="8" t="s">
        <v>67</v>
      </c>
      <c r="L1160">
        <v>46075</v>
      </c>
      <c r="M1160" s="8" t="s">
        <v>48</v>
      </c>
      <c r="N1160">
        <v>46075</v>
      </c>
      <c r="O1160" s="8" t="s">
        <v>1701</v>
      </c>
      <c r="P1160" s="8" t="s">
        <v>1543</v>
      </c>
      <c r="Q1160" s="8" t="s">
        <v>1541</v>
      </c>
      <c r="R1160" s="8" t="s">
        <v>52</v>
      </c>
      <c r="S1160" s="8" t="s">
        <v>1542</v>
      </c>
      <c r="T1160" s="8" t="s">
        <v>1585</v>
      </c>
      <c r="U1160" s="8" t="s">
        <v>1586</v>
      </c>
      <c r="V1160">
        <v>48500</v>
      </c>
      <c r="W1160">
        <v>41200</v>
      </c>
      <c r="X1160">
        <v>46075</v>
      </c>
      <c r="Y1160">
        <v>4875</v>
      </c>
    </row>
    <row r="1161" spans="1:25" x14ac:dyDescent="0.3">
      <c r="A1161" s="8" t="s">
        <v>1506</v>
      </c>
      <c r="B1161" s="14">
        <v>46174</v>
      </c>
      <c r="C1161" s="8" t="s">
        <v>44</v>
      </c>
      <c r="D1161" s="8" t="s">
        <v>40</v>
      </c>
      <c r="E1161" s="8" t="s">
        <v>135</v>
      </c>
      <c r="F1161">
        <v>8</v>
      </c>
      <c r="G1161">
        <v>17640</v>
      </c>
      <c r="H1161">
        <v>0.2</v>
      </c>
      <c r="I1161" s="8" t="s">
        <v>66</v>
      </c>
      <c r="J1161" s="8" t="s">
        <v>71</v>
      </c>
      <c r="K1161" s="8" t="s">
        <v>1698</v>
      </c>
      <c r="L1161">
        <v>112896</v>
      </c>
      <c r="M1161" s="8" t="s">
        <v>52</v>
      </c>
      <c r="N1161">
        <v>112896</v>
      </c>
      <c r="O1161" s="8" t="s">
        <v>1701</v>
      </c>
      <c r="P1161" s="8" t="s">
        <v>1555</v>
      </c>
      <c r="Q1161" s="8" t="s">
        <v>1554</v>
      </c>
      <c r="R1161" s="8" t="s">
        <v>82</v>
      </c>
      <c r="S1161" s="8" t="s">
        <v>1542</v>
      </c>
      <c r="T1161" s="8" t="s">
        <v>1576</v>
      </c>
      <c r="U1161" s="8" t="s">
        <v>1575</v>
      </c>
      <c r="V1161">
        <v>16800</v>
      </c>
      <c r="W1161">
        <v>12600</v>
      </c>
      <c r="X1161">
        <v>0</v>
      </c>
      <c r="Y1161">
        <v>-100800</v>
      </c>
    </row>
    <row r="1162" spans="1:25" x14ac:dyDescent="0.3">
      <c r="A1162" s="8" t="s">
        <v>1507</v>
      </c>
      <c r="B1162" s="14">
        <v>46078</v>
      </c>
      <c r="C1162" s="8" t="s">
        <v>271</v>
      </c>
      <c r="D1162" s="8" t="s">
        <v>15</v>
      </c>
      <c r="E1162" s="8" t="s">
        <v>183</v>
      </c>
      <c r="F1162">
        <v>1</v>
      </c>
      <c r="G1162">
        <v>3040</v>
      </c>
      <c r="H1162">
        <v>0</v>
      </c>
      <c r="I1162" s="8" t="s">
        <v>17</v>
      </c>
      <c r="J1162" s="8" t="s">
        <v>31</v>
      </c>
      <c r="K1162" s="8" t="s">
        <v>1698</v>
      </c>
      <c r="L1162">
        <v>3040</v>
      </c>
      <c r="M1162" s="8" t="s">
        <v>59</v>
      </c>
      <c r="N1162">
        <v>3040</v>
      </c>
      <c r="O1162" s="8" t="s">
        <v>1701</v>
      </c>
      <c r="P1162" s="8" t="s">
        <v>1543</v>
      </c>
      <c r="Q1162" s="8" t="s">
        <v>1541</v>
      </c>
      <c r="R1162" s="8" t="s">
        <v>52</v>
      </c>
      <c r="S1162" s="8" t="s">
        <v>1542</v>
      </c>
      <c r="T1162" s="8" t="s">
        <v>1582</v>
      </c>
      <c r="U1162" s="8" t="s">
        <v>1583</v>
      </c>
      <c r="V1162">
        <v>3200</v>
      </c>
      <c r="W1162">
        <v>2050</v>
      </c>
      <c r="X1162">
        <v>3040</v>
      </c>
      <c r="Y1162">
        <v>990</v>
      </c>
    </row>
    <row r="1163" spans="1:25" x14ac:dyDescent="0.3">
      <c r="A1163" s="8" t="s">
        <v>1508</v>
      </c>
      <c r="B1163" s="14">
        <v>46153</v>
      </c>
      <c r="C1163" s="8" t="s">
        <v>388</v>
      </c>
      <c r="D1163" s="8" t="s">
        <v>29</v>
      </c>
      <c r="E1163" s="8" t="s">
        <v>46</v>
      </c>
      <c r="F1163">
        <v>2</v>
      </c>
      <c r="G1163">
        <v>7410</v>
      </c>
      <c r="H1163">
        <v>0.1</v>
      </c>
      <c r="I1163" s="8" t="s">
        <v>17</v>
      </c>
      <c r="J1163" s="8" t="s">
        <v>18</v>
      </c>
      <c r="K1163" s="8" t="s">
        <v>55</v>
      </c>
      <c r="L1163">
        <v>13338</v>
      </c>
      <c r="M1163" s="8" t="s">
        <v>32</v>
      </c>
      <c r="N1163">
        <v>13338</v>
      </c>
      <c r="O1163" s="8" t="s">
        <v>1701</v>
      </c>
      <c r="P1163" s="8" t="s">
        <v>1560</v>
      </c>
      <c r="Q1163" s="8" t="s">
        <v>1559</v>
      </c>
      <c r="R1163" s="8" t="s">
        <v>1561</v>
      </c>
      <c r="S1163" s="8" t="s">
        <v>1542</v>
      </c>
      <c r="T1163" s="8" t="s">
        <v>1579</v>
      </c>
      <c r="U1163" s="8" t="s">
        <v>1580</v>
      </c>
      <c r="V1163">
        <v>7800</v>
      </c>
      <c r="W1163">
        <v>5200</v>
      </c>
      <c r="X1163">
        <v>13338</v>
      </c>
      <c r="Y1163">
        <v>2938</v>
      </c>
    </row>
    <row r="1164" spans="1:25" x14ac:dyDescent="0.3">
      <c r="A1164" s="8" t="s">
        <v>1509</v>
      </c>
      <c r="B1164" s="14">
        <v>46203</v>
      </c>
      <c r="C1164" s="8" t="s">
        <v>89</v>
      </c>
      <c r="D1164" s="8" t="s">
        <v>62</v>
      </c>
      <c r="E1164" s="8" t="s">
        <v>36</v>
      </c>
      <c r="F1164">
        <v>2</v>
      </c>
      <c r="G1164">
        <v>1330</v>
      </c>
      <c r="H1164">
        <v>0.15</v>
      </c>
      <c r="I1164" s="8" t="s">
        <v>17</v>
      </c>
      <c r="J1164" s="8" t="s">
        <v>71</v>
      </c>
      <c r="K1164" s="8" t="s">
        <v>67</v>
      </c>
      <c r="L1164">
        <v>2261</v>
      </c>
      <c r="M1164" s="8" t="s">
        <v>59</v>
      </c>
      <c r="N1164">
        <v>2261</v>
      </c>
      <c r="O1164" s="8" t="s">
        <v>1701</v>
      </c>
      <c r="P1164" s="8" t="s">
        <v>1551</v>
      </c>
      <c r="Q1164" s="8" t="s">
        <v>1549</v>
      </c>
      <c r="R1164" s="8" t="s">
        <v>1552</v>
      </c>
      <c r="S1164" s="8" t="s">
        <v>1542</v>
      </c>
      <c r="T1164" s="8" t="s">
        <v>1577</v>
      </c>
      <c r="U1164" s="8" t="s">
        <v>1571</v>
      </c>
      <c r="V1164">
        <v>1400</v>
      </c>
      <c r="W1164">
        <v>780</v>
      </c>
      <c r="X1164">
        <v>2261</v>
      </c>
      <c r="Y1164">
        <v>701</v>
      </c>
    </row>
    <row r="1165" spans="1:25" x14ac:dyDescent="0.3">
      <c r="A1165" s="8" t="s">
        <v>1510</v>
      </c>
      <c r="B1165" s="14">
        <v>46134</v>
      </c>
      <c r="C1165" s="8" t="s">
        <v>818</v>
      </c>
      <c r="D1165" s="8" t="s">
        <v>152</v>
      </c>
      <c r="E1165" s="8" t="s">
        <v>46</v>
      </c>
      <c r="F1165">
        <v>2</v>
      </c>
      <c r="G1165">
        <v>8190</v>
      </c>
      <c r="H1165">
        <v>0.05</v>
      </c>
      <c r="I1165" s="8" t="s">
        <v>17</v>
      </c>
      <c r="J1165" s="8" t="s">
        <v>71</v>
      </c>
      <c r="K1165" s="8" t="s">
        <v>1698</v>
      </c>
      <c r="L1165">
        <v>15561</v>
      </c>
      <c r="M1165" s="8" t="s">
        <v>138</v>
      </c>
      <c r="N1165">
        <v>15561</v>
      </c>
      <c r="O1165" s="8" t="s">
        <v>1701</v>
      </c>
      <c r="P1165" s="8" t="s">
        <v>1553</v>
      </c>
      <c r="Q1165" s="8" t="s">
        <v>1554</v>
      </c>
      <c r="R1165" s="8" t="s">
        <v>59</v>
      </c>
      <c r="S1165" s="8" t="s">
        <v>1542</v>
      </c>
      <c r="T1165" s="8" t="s">
        <v>1579</v>
      </c>
      <c r="U1165" s="8" t="s">
        <v>1580</v>
      </c>
      <c r="V1165">
        <v>7800</v>
      </c>
      <c r="W1165">
        <v>5200</v>
      </c>
      <c r="X1165">
        <v>15561</v>
      </c>
      <c r="Y1165">
        <v>5161</v>
      </c>
    </row>
    <row r="1166" spans="1:25" x14ac:dyDescent="0.3">
      <c r="A1166" s="8" t="s">
        <v>1511</v>
      </c>
      <c r="B1166" s="14">
        <v>46142</v>
      </c>
      <c r="C1166" s="8" t="s">
        <v>258</v>
      </c>
      <c r="D1166" s="8" t="s">
        <v>29</v>
      </c>
      <c r="E1166" s="8" t="s">
        <v>74</v>
      </c>
      <c r="F1166">
        <v>2</v>
      </c>
      <c r="G1166">
        <v>2400</v>
      </c>
      <c r="H1166">
        <v>0.1</v>
      </c>
      <c r="I1166" s="8" t="s">
        <v>17</v>
      </c>
      <c r="J1166" s="8" t="s">
        <v>47</v>
      </c>
      <c r="K1166" s="8" t="s">
        <v>41</v>
      </c>
      <c r="L1166">
        <v>4320</v>
      </c>
      <c r="M1166" s="8" t="s">
        <v>20</v>
      </c>
      <c r="N1166">
        <v>4320</v>
      </c>
      <c r="O1166" s="8" t="s">
        <v>1701</v>
      </c>
      <c r="P1166" s="8" t="s">
        <v>1560</v>
      </c>
      <c r="Q1166" s="8" t="s">
        <v>1559</v>
      </c>
      <c r="R1166" s="8" t="s">
        <v>1561</v>
      </c>
      <c r="S1166" s="8" t="s">
        <v>1542</v>
      </c>
      <c r="T1166" s="8" t="s">
        <v>1584</v>
      </c>
      <c r="U1166" s="8" t="s">
        <v>1583</v>
      </c>
      <c r="V1166">
        <v>2400</v>
      </c>
      <c r="W1166">
        <v>1480</v>
      </c>
      <c r="X1166">
        <v>4320</v>
      </c>
      <c r="Y1166">
        <v>1360</v>
      </c>
    </row>
    <row r="1167" spans="1:25" x14ac:dyDescent="0.3">
      <c r="A1167" s="8" t="s">
        <v>1512</v>
      </c>
      <c r="B1167" s="14">
        <v>46073</v>
      </c>
      <c r="C1167" s="8" t="s">
        <v>561</v>
      </c>
      <c r="D1167" s="8" t="s">
        <v>62</v>
      </c>
      <c r="E1167" s="8" t="s">
        <v>36</v>
      </c>
      <c r="F1167">
        <v>2</v>
      </c>
      <c r="G1167">
        <v>1400</v>
      </c>
      <c r="H1167">
        <v>0</v>
      </c>
      <c r="I1167" s="8" t="s">
        <v>17</v>
      </c>
      <c r="J1167" s="8" t="s">
        <v>71</v>
      </c>
      <c r="K1167" s="8" t="s">
        <v>67</v>
      </c>
      <c r="L1167">
        <v>2800</v>
      </c>
      <c r="M1167" s="8" t="s">
        <v>82</v>
      </c>
      <c r="N1167">
        <v>2800</v>
      </c>
      <c r="O1167" s="8" t="s">
        <v>1701</v>
      </c>
      <c r="P1167" s="8" t="s">
        <v>1551</v>
      </c>
      <c r="Q1167" s="8" t="s">
        <v>1549</v>
      </c>
      <c r="R1167" s="8" t="s">
        <v>1552</v>
      </c>
      <c r="S1167" s="8" t="s">
        <v>1542</v>
      </c>
      <c r="T1167" s="8" t="s">
        <v>1577</v>
      </c>
      <c r="U1167" s="8" t="s">
        <v>1571</v>
      </c>
      <c r="V1167">
        <v>1400</v>
      </c>
      <c r="W1167">
        <v>780</v>
      </c>
      <c r="X1167">
        <v>2800</v>
      </c>
      <c r="Y1167">
        <v>1240</v>
      </c>
    </row>
    <row r="1168" spans="1:25" x14ac:dyDescent="0.3">
      <c r="A1168" s="8" t="s">
        <v>1513</v>
      </c>
      <c r="B1168" s="14">
        <v>46026</v>
      </c>
      <c r="C1168" s="8" t="s">
        <v>795</v>
      </c>
      <c r="D1168" s="8" t="s">
        <v>40</v>
      </c>
      <c r="E1168" s="8" t="s">
        <v>135</v>
      </c>
      <c r="F1168">
        <v>1</v>
      </c>
      <c r="G1168">
        <v>17640</v>
      </c>
      <c r="H1168">
        <v>0.05</v>
      </c>
      <c r="I1168" s="8" t="s">
        <v>17</v>
      </c>
      <c r="J1168" s="8" t="s">
        <v>47</v>
      </c>
      <c r="K1168" s="8" t="s">
        <v>67</v>
      </c>
      <c r="L1168">
        <v>16758</v>
      </c>
      <c r="M1168" s="8" t="s">
        <v>20</v>
      </c>
      <c r="N1168">
        <v>16758</v>
      </c>
      <c r="O1168" s="8" t="s">
        <v>1701</v>
      </c>
      <c r="P1168" s="8" t="s">
        <v>1555</v>
      </c>
      <c r="Q1168" s="8" t="s">
        <v>1554</v>
      </c>
      <c r="R1168" s="8" t="s">
        <v>82</v>
      </c>
      <c r="S1168" s="8" t="s">
        <v>1542</v>
      </c>
      <c r="T1168" s="8" t="s">
        <v>1576</v>
      </c>
      <c r="U1168" s="8" t="s">
        <v>1575</v>
      </c>
      <c r="V1168">
        <v>16800</v>
      </c>
      <c r="W1168">
        <v>12600</v>
      </c>
      <c r="X1168">
        <v>16758</v>
      </c>
      <c r="Y1168">
        <v>4158</v>
      </c>
    </row>
    <row r="1169" spans="1:25" x14ac:dyDescent="0.3">
      <c r="A1169" s="8" t="s">
        <v>1514</v>
      </c>
      <c r="B1169" s="14">
        <v>46169</v>
      </c>
      <c r="C1169" s="8" t="s">
        <v>684</v>
      </c>
      <c r="D1169" s="8" t="s">
        <v>90</v>
      </c>
      <c r="E1169" s="8" t="s">
        <v>16</v>
      </c>
      <c r="F1169">
        <v>5</v>
      </c>
      <c r="G1169">
        <v>682.5</v>
      </c>
      <c r="H1169">
        <v>0.1</v>
      </c>
      <c r="I1169" s="8" t="s">
        <v>116</v>
      </c>
      <c r="J1169" s="8" t="s">
        <v>71</v>
      </c>
      <c r="K1169" s="8" t="s">
        <v>55</v>
      </c>
      <c r="L1169">
        <v>3071.25</v>
      </c>
      <c r="M1169" s="8" t="s">
        <v>82</v>
      </c>
      <c r="N1169">
        <v>3071.25</v>
      </c>
      <c r="O1169" s="8" t="s">
        <v>1701</v>
      </c>
      <c r="P1169" s="8" t="s">
        <v>1562</v>
      </c>
      <c r="Q1169" s="8" t="s">
        <v>1563</v>
      </c>
      <c r="R1169" s="8" t="s">
        <v>48</v>
      </c>
      <c r="S1169" s="8" t="s">
        <v>1542</v>
      </c>
      <c r="T1169" s="8" t="s">
        <v>1570</v>
      </c>
      <c r="U1169" s="8" t="s">
        <v>1571</v>
      </c>
      <c r="V1169">
        <v>650</v>
      </c>
      <c r="W1169">
        <v>390</v>
      </c>
      <c r="X1169">
        <v>0</v>
      </c>
      <c r="Y1169">
        <v>-1950</v>
      </c>
    </row>
    <row r="1170" spans="1:25" x14ac:dyDescent="0.3">
      <c r="A1170" s="8" t="s">
        <v>1515</v>
      </c>
      <c r="B1170" s="14">
        <v>46049</v>
      </c>
      <c r="C1170" s="8" t="s">
        <v>326</v>
      </c>
      <c r="D1170" s="8" t="s">
        <v>168</v>
      </c>
      <c r="E1170" s="8" t="s">
        <v>36</v>
      </c>
      <c r="F1170">
        <v>1</v>
      </c>
      <c r="G1170">
        <v>1400</v>
      </c>
      <c r="H1170">
        <v>0.2</v>
      </c>
      <c r="I1170" s="8" t="s">
        <v>17</v>
      </c>
      <c r="J1170" s="8" t="s">
        <v>31</v>
      </c>
      <c r="K1170" s="8" t="s">
        <v>55</v>
      </c>
      <c r="L1170">
        <v>1120</v>
      </c>
      <c r="M1170" s="8" t="s">
        <v>42</v>
      </c>
      <c r="N1170">
        <v>1120</v>
      </c>
      <c r="O1170" s="8" t="s">
        <v>1701</v>
      </c>
      <c r="P1170" s="8" t="s">
        <v>1540</v>
      </c>
      <c r="Q1170" s="8" t="s">
        <v>1541</v>
      </c>
      <c r="R1170" s="8" t="s">
        <v>20</v>
      </c>
      <c r="S1170" s="8" t="s">
        <v>1542</v>
      </c>
      <c r="T1170" s="8" t="s">
        <v>1577</v>
      </c>
      <c r="U1170" s="8" t="s">
        <v>1571</v>
      </c>
      <c r="V1170">
        <v>1400</v>
      </c>
      <c r="W1170">
        <v>780</v>
      </c>
      <c r="X1170">
        <v>1120</v>
      </c>
      <c r="Y1170">
        <v>340</v>
      </c>
    </row>
    <row r="1171" spans="1:25" x14ac:dyDescent="0.3">
      <c r="A1171" s="8" t="s">
        <v>1516</v>
      </c>
      <c r="B1171" s="14">
        <v>46037</v>
      </c>
      <c r="C1171" s="8" t="s">
        <v>391</v>
      </c>
      <c r="D1171" s="8" t="s">
        <v>62</v>
      </c>
      <c r="E1171" s="8" t="s">
        <v>74</v>
      </c>
      <c r="F1171">
        <v>3</v>
      </c>
      <c r="G1171">
        <v>2400</v>
      </c>
      <c r="H1171">
        <v>0.05</v>
      </c>
      <c r="I1171" s="8" t="s">
        <v>17</v>
      </c>
      <c r="J1171" s="8" t="s">
        <v>31</v>
      </c>
      <c r="K1171" s="8" t="s">
        <v>67</v>
      </c>
      <c r="L1171">
        <v>6840</v>
      </c>
      <c r="M1171" s="8" t="s">
        <v>138</v>
      </c>
      <c r="N1171">
        <v>6840</v>
      </c>
      <c r="O1171" s="8" t="s">
        <v>1701</v>
      </c>
      <c r="P1171" s="8" t="s">
        <v>1551</v>
      </c>
      <c r="Q1171" s="8" t="s">
        <v>1549</v>
      </c>
      <c r="R1171" s="8" t="s">
        <v>1552</v>
      </c>
      <c r="S1171" s="8" t="s">
        <v>1542</v>
      </c>
      <c r="T1171" s="8" t="s">
        <v>1584</v>
      </c>
      <c r="U1171" s="8" t="s">
        <v>1583</v>
      </c>
      <c r="V1171">
        <v>2400</v>
      </c>
      <c r="W1171">
        <v>1480</v>
      </c>
      <c r="X1171">
        <v>6840</v>
      </c>
      <c r="Y1171">
        <v>2400</v>
      </c>
    </row>
    <row r="1172" spans="1:25" x14ac:dyDescent="0.3">
      <c r="A1172" s="8" t="s">
        <v>1517</v>
      </c>
      <c r="B1172" s="14">
        <v>46066</v>
      </c>
      <c r="C1172" s="8" t="s">
        <v>302</v>
      </c>
      <c r="D1172" s="8" t="s">
        <v>77</v>
      </c>
      <c r="E1172" s="8" t="s">
        <v>183</v>
      </c>
      <c r="F1172">
        <v>3</v>
      </c>
      <c r="G1172">
        <v>3360</v>
      </c>
      <c r="H1172">
        <v>0.05</v>
      </c>
      <c r="I1172" s="8" t="s">
        <v>17</v>
      </c>
      <c r="J1172" s="8" t="s">
        <v>31</v>
      </c>
      <c r="K1172" s="8" t="s">
        <v>1698</v>
      </c>
      <c r="L1172">
        <v>9576</v>
      </c>
      <c r="M1172" s="8" t="s">
        <v>52</v>
      </c>
      <c r="N1172">
        <v>9576</v>
      </c>
      <c r="O1172" s="8" t="s">
        <v>1701</v>
      </c>
      <c r="P1172" s="8" t="s">
        <v>1564</v>
      </c>
      <c r="Q1172" s="8" t="s">
        <v>1563</v>
      </c>
      <c r="R1172" s="8" t="s">
        <v>1565</v>
      </c>
      <c r="S1172" s="8" t="s">
        <v>1542</v>
      </c>
      <c r="T1172" s="8" t="s">
        <v>1582</v>
      </c>
      <c r="U1172" s="8" t="s">
        <v>1583</v>
      </c>
      <c r="V1172">
        <v>3200</v>
      </c>
      <c r="W1172">
        <v>2050</v>
      </c>
      <c r="X1172">
        <v>9576</v>
      </c>
      <c r="Y1172">
        <v>3426</v>
      </c>
    </row>
    <row r="1173" spans="1:25" x14ac:dyDescent="0.3">
      <c r="A1173" s="8" t="s">
        <v>1518</v>
      </c>
      <c r="B1173" s="14">
        <v>46151</v>
      </c>
      <c r="C1173" s="8" t="s">
        <v>1082</v>
      </c>
      <c r="D1173" s="8" t="s">
        <v>50</v>
      </c>
      <c r="E1173" s="8" t="s">
        <v>85</v>
      </c>
      <c r="F1173">
        <v>1</v>
      </c>
      <c r="G1173">
        <v>48500</v>
      </c>
      <c r="H1173">
        <v>0</v>
      </c>
      <c r="I1173" s="8" t="s">
        <v>17</v>
      </c>
      <c r="J1173" s="8" t="s">
        <v>18</v>
      </c>
      <c r="K1173" s="8" t="s">
        <v>41</v>
      </c>
      <c r="L1173">
        <v>48500</v>
      </c>
      <c r="M1173" s="8" t="s">
        <v>20</v>
      </c>
      <c r="N1173">
        <v>48500</v>
      </c>
      <c r="O1173" s="8" t="s">
        <v>1701</v>
      </c>
      <c r="P1173" s="8" t="s">
        <v>1544</v>
      </c>
      <c r="Q1173" s="8" t="s">
        <v>1541</v>
      </c>
      <c r="R1173" s="8" t="s">
        <v>26</v>
      </c>
      <c r="S1173" s="8" t="s">
        <v>1542</v>
      </c>
      <c r="T1173" s="8" t="s">
        <v>1585</v>
      </c>
      <c r="U1173" s="8" t="s">
        <v>1586</v>
      </c>
      <c r="V1173">
        <v>48500</v>
      </c>
      <c r="W1173">
        <v>41200</v>
      </c>
      <c r="X1173">
        <v>48500</v>
      </c>
      <c r="Y1173">
        <v>7300</v>
      </c>
    </row>
    <row r="1174" spans="1:25" x14ac:dyDescent="0.3">
      <c r="A1174" s="8" t="s">
        <v>1519</v>
      </c>
      <c r="B1174" s="14">
        <v>46102</v>
      </c>
      <c r="C1174" s="8" t="s">
        <v>442</v>
      </c>
      <c r="D1174" s="8" t="s">
        <v>45</v>
      </c>
      <c r="E1174" s="8" t="s">
        <v>51</v>
      </c>
      <c r="F1174">
        <v>2</v>
      </c>
      <c r="G1174">
        <v>17575</v>
      </c>
      <c r="H1174">
        <v>0.05</v>
      </c>
      <c r="I1174" s="8" t="s">
        <v>17</v>
      </c>
      <c r="J1174" s="8" t="s">
        <v>31</v>
      </c>
      <c r="K1174" s="8" t="s">
        <v>1698</v>
      </c>
      <c r="L1174">
        <v>33392.5</v>
      </c>
      <c r="M1174" s="8" t="s">
        <v>42</v>
      </c>
      <c r="N1174">
        <v>33392.5</v>
      </c>
      <c r="O1174" s="8" t="s">
        <v>1701</v>
      </c>
      <c r="P1174" s="8" t="s">
        <v>1547</v>
      </c>
      <c r="Q1174" s="8" t="s">
        <v>1541</v>
      </c>
      <c r="R1174" s="8" t="s">
        <v>56</v>
      </c>
      <c r="S1174" s="8" t="s">
        <v>1542</v>
      </c>
      <c r="T1174" s="8" t="s">
        <v>1581</v>
      </c>
      <c r="U1174" s="8" t="s">
        <v>1580</v>
      </c>
      <c r="V1174">
        <v>18500</v>
      </c>
      <c r="W1174">
        <v>13900</v>
      </c>
      <c r="X1174">
        <v>33392.5</v>
      </c>
      <c r="Y1174">
        <v>5592.5</v>
      </c>
    </row>
    <row r="1175" spans="1:25" x14ac:dyDescent="0.3">
      <c r="A1175" s="8" t="s">
        <v>1520</v>
      </c>
      <c r="B1175" s="14">
        <v>46069</v>
      </c>
      <c r="C1175" s="8" t="s">
        <v>487</v>
      </c>
      <c r="D1175" s="8" t="s">
        <v>123</v>
      </c>
      <c r="E1175" s="8" t="s">
        <v>63</v>
      </c>
      <c r="F1175">
        <v>1</v>
      </c>
      <c r="G1175">
        <v>2090</v>
      </c>
      <c r="H1175">
        <v>0.15</v>
      </c>
      <c r="I1175" s="8" t="s">
        <v>17</v>
      </c>
      <c r="J1175" s="8" t="s">
        <v>31</v>
      </c>
      <c r="K1175" s="8" t="s">
        <v>41</v>
      </c>
      <c r="L1175">
        <v>1776.5</v>
      </c>
      <c r="M1175" s="8" t="s">
        <v>138</v>
      </c>
      <c r="N1175">
        <v>1776.5</v>
      </c>
      <c r="O1175" s="8" t="s">
        <v>1701</v>
      </c>
      <c r="P1175" s="8" t="s">
        <v>1558</v>
      </c>
      <c r="Q1175" s="8" t="s">
        <v>1559</v>
      </c>
      <c r="R1175" s="8" t="s">
        <v>138</v>
      </c>
      <c r="S1175" s="8" t="s">
        <v>1542</v>
      </c>
      <c r="T1175" s="8" t="s">
        <v>1572</v>
      </c>
      <c r="U1175" s="8" t="s">
        <v>1571</v>
      </c>
      <c r="V1175">
        <v>2200</v>
      </c>
      <c r="W1175">
        <v>1450</v>
      </c>
      <c r="X1175">
        <v>1776.5</v>
      </c>
      <c r="Y1175">
        <v>326.5</v>
      </c>
    </row>
    <row r="1176" spans="1:25" x14ac:dyDescent="0.3">
      <c r="A1176" s="8" t="s">
        <v>1521</v>
      </c>
      <c r="B1176" s="14">
        <v>46140</v>
      </c>
      <c r="C1176" s="8" t="s">
        <v>326</v>
      </c>
      <c r="D1176" s="8" t="s">
        <v>15</v>
      </c>
      <c r="E1176" s="8" t="s">
        <v>85</v>
      </c>
      <c r="F1176">
        <v>8</v>
      </c>
      <c r="G1176">
        <v>48500</v>
      </c>
      <c r="H1176">
        <v>0.05</v>
      </c>
      <c r="I1176" s="8" t="s">
        <v>66</v>
      </c>
      <c r="J1176" s="8" t="s">
        <v>47</v>
      </c>
      <c r="K1176" s="8" t="s">
        <v>1698</v>
      </c>
      <c r="L1176">
        <v>368600</v>
      </c>
      <c r="M1176" s="8" t="s">
        <v>32</v>
      </c>
      <c r="N1176">
        <v>368600</v>
      </c>
      <c r="O1176" s="8" t="s">
        <v>1701</v>
      </c>
      <c r="P1176" s="8" t="s">
        <v>1543</v>
      </c>
      <c r="Q1176" s="8" t="s">
        <v>1541</v>
      </c>
      <c r="R1176" s="8" t="s">
        <v>52</v>
      </c>
      <c r="S1176" s="8" t="s">
        <v>1542</v>
      </c>
      <c r="T1176" s="8" t="s">
        <v>1585</v>
      </c>
      <c r="U1176" s="8" t="s">
        <v>1586</v>
      </c>
      <c r="V1176">
        <v>48500</v>
      </c>
      <c r="W1176">
        <v>41200</v>
      </c>
      <c r="X1176">
        <v>0</v>
      </c>
      <c r="Y1176">
        <v>-329600</v>
      </c>
    </row>
    <row r="1177" spans="1:25" x14ac:dyDescent="0.3">
      <c r="A1177" s="8" t="s">
        <v>1522</v>
      </c>
      <c r="B1177" s="14">
        <v>46203</v>
      </c>
      <c r="C1177" s="8" t="s">
        <v>628</v>
      </c>
      <c r="D1177" s="8" t="s">
        <v>45</v>
      </c>
      <c r="E1177" s="8" t="s">
        <v>30</v>
      </c>
      <c r="F1177">
        <v>1</v>
      </c>
      <c r="G1177">
        <v>1800</v>
      </c>
      <c r="H1177">
        <v>0.15</v>
      </c>
      <c r="I1177" s="8" t="s">
        <v>17</v>
      </c>
      <c r="J1177" s="8" t="s">
        <v>47</v>
      </c>
      <c r="K1177" s="8" t="s">
        <v>41</v>
      </c>
      <c r="L1177">
        <v>1530</v>
      </c>
      <c r="M1177" s="8" t="s">
        <v>59</v>
      </c>
      <c r="N1177">
        <v>1530</v>
      </c>
      <c r="O1177" s="8" t="s">
        <v>1701</v>
      </c>
      <c r="P1177" s="8" t="s">
        <v>1547</v>
      </c>
      <c r="Q1177" s="8" t="s">
        <v>1541</v>
      </c>
      <c r="R1177" s="8" t="s">
        <v>56</v>
      </c>
      <c r="S1177" s="8" t="s">
        <v>1542</v>
      </c>
      <c r="T1177" s="8" t="s">
        <v>1573</v>
      </c>
      <c r="U1177" s="8" t="s">
        <v>1571</v>
      </c>
      <c r="V1177">
        <v>1800</v>
      </c>
      <c r="W1177">
        <v>1120</v>
      </c>
      <c r="X1177">
        <v>1530</v>
      </c>
      <c r="Y1177">
        <v>410</v>
      </c>
    </row>
    <row r="1178" spans="1:25" x14ac:dyDescent="0.3">
      <c r="A1178" s="8" t="s">
        <v>1523</v>
      </c>
      <c r="B1178" s="14">
        <v>46098</v>
      </c>
      <c r="C1178" s="8" t="s">
        <v>818</v>
      </c>
      <c r="D1178" s="8" t="s">
        <v>45</v>
      </c>
      <c r="E1178" s="8" t="s">
        <v>85</v>
      </c>
      <c r="F1178">
        <v>2</v>
      </c>
      <c r="G1178">
        <v>48500</v>
      </c>
      <c r="H1178">
        <v>0</v>
      </c>
      <c r="I1178" s="8" t="s">
        <v>17</v>
      </c>
      <c r="J1178" s="8" t="s">
        <v>18</v>
      </c>
      <c r="K1178" s="8" t="s">
        <v>41</v>
      </c>
      <c r="L1178">
        <v>97000</v>
      </c>
      <c r="M1178" s="8" t="s">
        <v>20</v>
      </c>
      <c r="N1178">
        <v>97000</v>
      </c>
      <c r="O1178" s="8" t="s">
        <v>1701</v>
      </c>
      <c r="P1178" s="8" t="s">
        <v>1547</v>
      </c>
      <c r="Q1178" s="8" t="s">
        <v>1541</v>
      </c>
      <c r="R1178" s="8" t="s">
        <v>56</v>
      </c>
      <c r="S1178" s="8" t="s">
        <v>1542</v>
      </c>
      <c r="T1178" s="8" t="s">
        <v>1585</v>
      </c>
      <c r="U1178" s="8" t="s">
        <v>1586</v>
      </c>
      <c r="V1178">
        <v>48500</v>
      </c>
      <c r="W1178">
        <v>41200</v>
      </c>
      <c r="X1178">
        <v>97000</v>
      </c>
      <c r="Y1178">
        <v>14600</v>
      </c>
    </row>
    <row r="1179" spans="1:25" x14ac:dyDescent="0.3">
      <c r="A1179" s="8" t="s">
        <v>1524</v>
      </c>
      <c r="B1179" s="14">
        <v>46172</v>
      </c>
      <c r="C1179" s="8" t="s">
        <v>367</v>
      </c>
      <c r="D1179" s="8" t="s">
        <v>70</v>
      </c>
      <c r="E1179" s="8" t="s">
        <v>30</v>
      </c>
      <c r="F1179">
        <v>2</v>
      </c>
      <c r="G1179">
        <v>1890</v>
      </c>
      <c r="H1179">
        <v>0</v>
      </c>
      <c r="I1179" s="8" t="s">
        <v>116</v>
      </c>
      <c r="J1179" s="8" t="s">
        <v>47</v>
      </c>
      <c r="K1179" s="8" t="s">
        <v>41</v>
      </c>
      <c r="L1179">
        <v>3780</v>
      </c>
      <c r="M1179" s="8" t="s">
        <v>138</v>
      </c>
      <c r="N1179">
        <v>3780</v>
      </c>
      <c r="O1179" s="8" t="s">
        <v>1701</v>
      </c>
      <c r="P1179" s="8" t="s">
        <v>1550</v>
      </c>
      <c r="Q1179" s="8" t="s">
        <v>1549</v>
      </c>
      <c r="R1179" s="8" t="s">
        <v>32</v>
      </c>
      <c r="S1179" s="8" t="s">
        <v>1542</v>
      </c>
      <c r="T1179" s="8" t="s">
        <v>1573</v>
      </c>
      <c r="U1179" s="8" t="s">
        <v>1571</v>
      </c>
      <c r="V1179">
        <v>1800</v>
      </c>
      <c r="W1179">
        <v>1120</v>
      </c>
      <c r="X1179">
        <v>0</v>
      </c>
      <c r="Y1179">
        <v>-2240</v>
      </c>
    </row>
    <row r="1180" spans="1:25" x14ac:dyDescent="0.3">
      <c r="A1180" s="8" t="s">
        <v>1525</v>
      </c>
      <c r="B1180" s="14">
        <v>46202</v>
      </c>
      <c r="C1180" s="8" t="s">
        <v>693</v>
      </c>
      <c r="D1180" s="8" t="s">
        <v>152</v>
      </c>
      <c r="E1180" s="8" t="s">
        <v>51</v>
      </c>
      <c r="F1180">
        <v>4</v>
      </c>
      <c r="G1180">
        <v>18500</v>
      </c>
      <c r="H1180">
        <v>0.05</v>
      </c>
      <c r="I1180" s="8" t="s">
        <v>17</v>
      </c>
      <c r="J1180" s="8" t="s">
        <v>71</v>
      </c>
      <c r="K1180" s="8" t="s">
        <v>55</v>
      </c>
      <c r="L1180">
        <v>70300</v>
      </c>
      <c r="M1180" s="8" t="s">
        <v>26</v>
      </c>
      <c r="N1180">
        <v>70300</v>
      </c>
      <c r="O1180" s="8" t="s">
        <v>1701</v>
      </c>
      <c r="P1180" s="8" t="s">
        <v>1553</v>
      </c>
      <c r="Q1180" s="8" t="s">
        <v>1554</v>
      </c>
      <c r="R1180" s="8" t="s">
        <v>59</v>
      </c>
      <c r="S1180" s="8" t="s">
        <v>1542</v>
      </c>
      <c r="T1180" s="8" t="s">
        <v>1581</v>
      </c>
      <c r="U1180" s="8" t="s">
        <v>1580</v>
      </c>
      <c r="V1180">
        <v>18500</v>
      </c>
      <c r="W1180">
        <v>13900</v>
      </c>
      <c r="X1180">
        <v>70300</v>
      </c>
      <c r="Y1180">
        <v>14700</v>
      </c>
    </row>
    <row r="1181" spans="1:25" x14ac:dyDescent="0.3">
      <c r="A1181" s="8" t="s">
        <v>1526</v>
      </c>
      <c r="B1181" s="14">
        <v>46031</v>
      </c>
      <c r="C1181" s="8" t="s">
        <v>798</v>
      </c>
      <c r="D1181" s="8" t="s">
        <v>77</v>
      </c>
      <c r="E1181" s="8" t="s">
        <v>63</v>
      </c>
      <c r="F1181">
        <v>2</v>
      </c>
      <c r="G1181">
        <v>2200</v>
      </c>
      <c r="H1181">
        <v>0.2</v>
      </c>
      <c r="I1181" s="8" t="s">
        <v>17</v>
      </c>
      <c r="J1181" s="8" t="s">
        <v>47</v>
      </c>
      <c r="K1181" s="8" t="s">
        <v>67</v>
      </c>
      <c r="L1181">
        <v>3520</v>
      </c>
      <c r="M1181" s="8" t="s">
        <v>48</v>
      </c>
      <c r="N1181">
        <v>3520</v>
      </c>
      <c r="O1181" s="8" t="s">
        <v>1701</v>
      </c>
      <c r="P1181" s="8" t="s">
        <v>1564</v>
      </c>
      <c r="Q1181" s="8" t="s">
        <v>1563</v>
      </c>
      <c r="R1181" s="8" t="s">
        <v>1565</v>
      </c>
      <c r="S1181" s="8" t="s">
        <v>1542</v>
      </c>
      <c r="T1181" s="8" t="s">
        <v>1572</v>
      </c>
      <c r="U1181" s="8" t="s">
        <v>1571</v>
      </c>
      <c r="V1181">
        <v>2200</v>
      </c>
      <c r="W1181">
        <v>1450</v>
      </c>
      <c r="X1181">
        <v>3520</v>
      </c>
      <c r="Y1181">
        <v>620</v>
      </c>
    </row>
    <row r="1182" spans="1:25" x14ac:dyDescent="0.3">
      <c r="A1182" s="8" t="s">
        <v>1527</v>
      </c>
      <c r="B1182" s="14">
        <v>46119</v>
      </c>
      <c r="C1182" s="8" t="s">
        <v>111</v>
      </c>
      <c r="D1182" s="8" t="s">
        <v>95</v>
      </c>
      <c r="E1182" s="8" t="s">
        <v>183</v>
      </c>
      <c r="F1182">
        <v>5</v>
      </c>
      <c r="G1182">
        <v>3200</v>
      </c>
      <c r="H1182">
        <v>0.05</v>
      </c>
      <c r="I1182" s="8" t="s">
        <v>17</v>
      </c>
      <c r="J1182" s="8" t="s">
        <v>71</v>
      </c>
      <c r="K1182" s="8" t="s">
        <v>55</v>
      </c>
      <c r="L1182">
        <v>15200</v>
      </c>
      <c r="M1182" s="8" t="s">
        <v>56</v>
      </c>
      <c r="N1182">
        <v>15200</v>
      </c>
      <c r="O1182" s="8" t="s">
        <v>1701</v>
      </c>
      <c r="P1182" s="8" t="s">
        <v>1556</v>
      </c>
      <c r="Q1182" s="8" t="s">
        <v>1554</v>
      </c>
      <c r="R1182" s="8" t="s">
        <v>1557</v>
      </c>
      <c r="S1182" s="8" t="s">
        <v>1542</v>
      </c>
      <c r="T1182" s="8" t="s">
        <v>1582</v>
      </c>
      <c r="U1182" s="8" t="s">
        <v>1583</v>
      </c>
      <c r="V1182">
        <v>3200</v>
      </c>
      <c r="W1182">
        <v>2050</v>
      </c>
      <c r="X1182">
        <v>15200</v>
      </c>
      <c r="Y1182">
        <v>4950</v>
      </c>
    </row>
    <row r="1183" spans="1:25" x14ac:dyDescent="0.3">
      <c r="A1183" s="8" t="s">
        <v>1528</v>
      </c>
      <c r="B1183" s="14">
        <v>46108</v>
      </c>
      <c r="C1183" s="8" t="s">
        <v>848</v>
      </c>
      <c r="D1183" s="8" t="s">
        <v>35</v>
      </c>
      <c r="E1183" s="8" t="s">
        <v>74</v>
      </c>
      <c r="F1183">
        <v>5</v>
      </c>
      <c r="G1183">
        <v>2400</v>
      </c>
      <c r="H1183">
        <v>0</v>
      </c>
      <c r="I1183" s="8" t="s">
        <v>80</v>
      </c>
      <c r="J1183" s="8" t="s">
        <v>18</v>
      </c>
      <c r="K1183" s="8" t="s">
        <v>25</v>
      </c>
      <c r="L1183">
        <v>12000</v>
      </c>
      <c r="M1183" s="8" t="s">
        <v>59</v>
      </c>
      <c r="N1183">
        <v>12000</v>
      </c>
      <c r="O1183" s="8" t="s">
        <v>1701</v>
      </c>
      <c r="P1183" s="8" t="s">
        <v>1548</v>
      </c>
      <c r="Q1183" s="8" t="s">
        <v>1549</v>
      </c>
      <c r="R1183" s="8" t="s">
        <v>42</v>
      </c>
      <c r="S1183" s="8" t="s">
        <v>1542</v>
      </c>
      <c r="T1183" s="8" t="s">
        <v>1584</v>
      </c>
      <c r="U1183" s="8" t="s">
        <v>1583</v>
      </c>
      <c r="V1183">
        <v>2400</v>
      </c>
      <c r="W1183">
        <v>1480</v>
      </c>
      <c r="X1183">
        <v>0</v>
      </c>
      <c r="Y1183">
        <v>-7400</v>
      </c>
    </row>
    <row r="1184" spans="1:25" x14ac:dyDescent="0.3">
      <c r="A1184" s="8" t="s">
        <v>1529</v>
      </c>
      <c r="B1184" s="14">
        <v>46028</v>
      </c>
      <c r="C1184" s="8" t="s">
        <v>399</v>
      </c>
      <c r="D1184" s="8" t="s">
        <v>62</v>
      </c>
      <c r="E1184" s="8" t="s">
        <v>183</v>
      </c>
      <c r="F1184">
        <v>2</v>
      </c>
      <c r="G1184">
        <v>3360</v>
      </c>
      <c r="H1184">
        <v>0.15</v>
      </c>
      <c r="I1184" s="8" t="s">
        <v>17</v>
      </c>
      <c r="J1184" s="8" t="s">
        <v>71</v>
      </c>
      <c r="K1184" s="8" t="s">
        <v>67</v>
      </c>
      <c r="L1184">
        <v>5712</v>
      </c>
      <c r="M1184" s="8" t="s">
        <v>138</v>
      </c>
      <c r="N1184">
        <v>5712</v>
      </c>
      <c r="O1184" s="8" t="s">
        <v>1701</v>
      </c>
      <c r="P1184" s="8" t="s">
        <v>1551</v>
      </c>
      <c r="Q1184" s="8" t="s">
        <v>1549</v>
      </c>
      <c r="R1184" s="8" t="s">
        <v>1552</v>
      </c>
      <c r="S1184" s="8" t="s">
        <v>1542</v>
      </c>
      <c r="T1184" s="8" t="s">
        <v>1582</v>
      </c>
      <c r="U1184" s="8" t="s">
        <v>1583</v>
      </c>
      <c r="V1184">
        <v>3200</v>
      </c>
      <c r="W1184">
        <v>2050</v>
      </c>
      <c r="X1184">
        <v>5712</v>
      </c>
      <c r="Y1184">
        <v>1612</v>
      </c>
    </row>
    <row r="1185" spans="1:25" x14ac:dyDescent="0.3">
      <c r="A1185" s="8" t="s">
        <v>1530</v>
      </c>
      <c r="B1185" s="14">
        <v>46176</v>
      </c>
      <c r="C1185" s="8" t="s">
        <v>179</v>
      </c>
      <c r="D1185" s="8" t="s">
        <v>35</v>
      </c>
      <c r="E1185" s="8" t="s">
        <v>46</v>
      </c>
      <c r="F1185">
        <v>3</v>
      </c>
      <c r="G1185">
        <v>7800</v>
      </c>
      <c r="H1185">
        <v>0.05</v>
      </c>
      <c r="I1185" s="8" t="s">
        <v>17</v>
      </c>
      <c r="J1185" s="8" t="s">
        <v>31</v>
      </c>
      <c r="K1185" s="8" t="s">
        <v>55</v>
      </c>
      <c r="L1185">
        <v>22230</v>
      </c>
      <c r="M1185" s="8" t="s">
        <v>32</v>
      </c>
      <c r="N1185">
        <v>22230</v>
      </c>
      <c r="O1185" s="8" t="s">
        <v>1701</v>
      </c>
      <c r="P1185" s="8" t="s">
        <v>1548</v>
      </c>
      <c r="Q1185" s="8" t="s">
        <v>1549</v>
      </c>
      <c r="R1185" s="8" t="s">
        <v>42</v>
      </c>
      <c r="S1185" s="8" t="s">
        <v>1542</v>
      </c>
      <c r="T1185" s="8" t="s">
        <v>1579</v>
      </c>
      <c r="U1185" s="8" t="s">
        <v>1580</v>
      </c>
      <c r="V1185">
        <v>7800</v>
      </c>
      <c r="W1185">
        <v>5200</v>
      </c>
      <c r="X1185">
        <v>22230</v>
      </c>
      <c r="Y1185">
        <v>6630</v>
      </c>
    </row>
    <row r="1186" spans="1:25" x14ac:dyDescent="0.3">
      <c r="A1186" s="8" t="s">
        <v>1531</v>
      </c>
      <c r="B1186" s="14">
        <v>46091</v>
      </c>
      <c r="C1186" s="8" t="s">
        <v>1082</v>
      </c>
      <c r="D1186" s="8" t="s">
        <v>40</v>
      </c>
      <c r="E1186" s="8" t="s">
        <v>161</v>
      </c>
      <c r="F1186">
        <v>3</v>
      </c>
      <c r="G1186">
        <v>2600</v>
      </c>
      <c r="H1186">
        <v>0</v>
      </c>
      <c r="I1186" s="8" t="s">
        <v>17</v>
      </c>
      <c r="J1186" s="8" t="s">
        <v>71</v>
      </c>
      <c r="K1186" s="8" t="s">
        <v>41</v>
      </c>
      <c r="L1186">
        <v>7800</v>
      </c>
      <c r="M1186" s="8" t="s">
        <v>138</v>
      </c>
      <c r="N1186">
        <v>7800</v>
      </c>
      <c r="O1186" s="8" t="s">
        <v>1701</v>
      </c>
      <c r="P1186" s="8" t="s">
        <v>1555</v>
      </c>
      <c r="Q1186" s="8" t="s">
        <v>1554</v>
      </c>
      <c r="R1186" s="8" t="s">
        <v>82</v>
      </c>
      <c r="S1186" s="8" t="s">
        <v>1542</v>
      </c>
      <c r="T1186" s="8" t="s">
        <v>1578</v>
      </c>
      <c r="U1186" s="8" t="s">
        <v>1571</v>
      </c>
      <c r="V1186">
        <v>2600</v>
      </c>
      <c r="W1186">
        <v>1750</v>
      </c>
      <c r="X1186">
        <v>7800</v>
      </c>
      <c r="Y1186">
        <v>2550</v>
      </c>
    </row>
    <row r="1187" spans="1:25" x14ac:dyDescent="0.3">
      <c r="A1187" s="8" t="s">
        <v>1532</v>
      </c>
      <c r="B1187" s="14">
        <v>46036</v>
      </c>
      <c r="C1187" s="8" t="s">
        <v>411</v>
      </c>
      <c r="D1187" s="8" t="s">
        <v>15</v>
      </c>
      <c r="E1187" s="8" t="s">
        <v>135</v>
      </c>
      <c r="F1187">
        <v>4</v>
      </c>
      <c r="G1187">
        <v>17640</v>
      </c>
      <c r="H1187">
        <v>0</v>
      </c>
      <c r="I1187" s="8" t="s">
        <v>17</v>
      </c>
      <c r="J1187" s="8" t="s">
        <v>71</v>
      </c>
      <c r="K1187" s="8" t="s">
        <v>55</v>
      </c>
      <c r="L1187">
        <v>70560</v>
      </c>
      <c r="M1187" s="8" t="s">
        <v>20</v>
      </c>
      <c r="N1187">
        <v>70560</v>
      </c>
      <c r="O1187" s="8" t="s">
        <v>1701</v>
      </c>
      <c r="P1187" s="8" t="s">
        <v>1543</v>
      </c>
      <c r="Q1187" s="8" t="s">
        <v>1541</v>
      </c>
      <c r="R1187" s="8" t="s">
        <v>52</v>
      </c>
      <c r="S1187" s="8" t="s">
        <v>1542</v>
      </c>
      <c r="T1187" s="8" t="s">
        <v>1576</v>
      </c>
      <c r="U1187" s="8" t="s">
        <v>1575</v>
      </c>
      <c r="V1187">
        <v>16800</v>
      </c>
      <c r="W1187">
        <v>12600</v>
      </c>
      <c r="X1187">
        <v>70560</v>
      </c>
      <c r="Y1187">
        <v>20160</v>
      </c>
    </row>
    <row r="1188" spans="1:25" x14ac:dyDescent="0.3">
      <c r="A1188" s="8" t="s">
        <v>1533</v>
      </c>
      <c r="B1188" s="14">
        <v>46191</v>
      </c>
      <c r="C1188" s="8" t="s">
        <v>264</v>
      </c>
      <c r="D1188" s="8" t="s">
        <v>50</v>
      </c>
      <c r="E1188" s="8" t="s">
        <v>24</v>
      </c>
      <c r="F1188">
        <v>5</v>
      </c>
      <c r="G1188">
        <v>11200</v>
      </c>
      <c r="H1188">
        <v>0.05</v>
      </c>
      <c r="I1188" s="8" t="s">
        <v>17</v>
      </c>
      <c r="J1188" s="8" t="s">
        <v>71</v>
      </c>
      <c r="K1188" s="8" t="s">
        <v>55</v>
      </c>
      <c r="L1188">
        <v>53200</v>
      </c>
      <c r="M1188" s="8" t="s">
        <v>42</v>
      </c>
      <c r="N1188">
        <v>53200</v>
      </c>
      <c r="O1188" s="8" t="s">
        <v>1701</v>
      </c>
      <c r="P1188" s="8" t="s">
        <v>1544</v>
      </c>
      <c r="Q1188" s="8" t="s">
        <v>1541</v>
      </c>
      <c r="R1188" s="8" t="s">
        <v>26</v>
      </c>
      <c r="S1188" s="8" t="s">
        <v>1542</v>
      </c>
      <c r="T1188" s="8" t="s">
        <v>1574</v>
      </c>
      <c r="U1188" s="8" t="s">
        <v>1575</v>
      </c>
      <c r="V1188">
        <v>11200</v>
      </c>
      <c r="W1188">
        <v>8300</v>
      </c>
      <c r="X1188">
        <v>53200</v>
      </c>
      <c r="Y1188">
        <v>11700</v>
      </c>
    </row>
    <row r="1189" spans="1:25" x14ac:dyDescent="0.3">
      <c r="A1189" s="8" t="s">
        <v>1534</v>
      </c>
      <c r="B1189" s="14">
        <v>46085</v>
      </c>
      <c r="C1189" s="8" t="s">
        <v>190</v>
      </c>
      <c r="D1189" s="8" t="s">
        <v>50</v>
      </c>
      <c r="E1189" s="8" t="s">
        <v>74</v>
      </c>
      <c r="F1189">
        <v>3</v>
      </c>
      <c r="G1189">
        <v>2400</v>
      </c>
      <c r="H1189">
        <v>0.05</v>
      </c>
      <c r="I1189" s="8" t="s">
        <v>17</v>
      </c>
      <c r="J1189" s="8" t="s">
        <v>31</v>
      </c>
      <c r="K1189" s="8" t="s">
        <v>55</v>
      </c>
      <c r="L1189">
        <v>6840</v>
      </c>
      <c r="M1189" s="8" t="s">
        <v>82</v>
      </c>
      <c r="N1189">
        <v>6840</v>
      </c>
      <c r="O1189" s="8" t="s">
        <v>1701</v>
      </c>
      <c r="P1189" s="8" t="s">
        <v>1544</v>
      </c>
      <c r="Q1189" s="8" t="s">
        <v>1541</v>
      </c>
      <c r="R1189" s="8" t="s">
        <v>26</v>
      </c>
      <c r="S1189" s="8" t="s">
        <v>1542</v>
      </c>
      <c r="T1189" s="8" t="s">
        <v>1584</v>
      </c>
      <c r="U1189" s="8" t="s">
        <v>1583</v>
      </c>
      <c r="V1189">
        <v>2400</v>
      </c>
      <c r="W1189">
        <v>1480</v>
      </c>
      <c r="X1189">
        <v>6840</v>
      </c>
      <c r="Y1189">
        <v>2400</v>
      </c>
    </row>
    <row r="1190" spans="1:25" x14ac:dyDescent="0.3">
      <c r="A1190" s="8" t="s">
        <v>1535</v>
      </c>
      <c r="B1190" s="14">
        <v>46198</v>
      </c>
      <c r="C1190" s="8" t="s">
        <v>414</v>
      </c>
      <c r="D1190" s="8" t="s">
        <v>70</v>
      </c>
      <c r="E1190" s="8" t="s">
        <v>85</v>
      </c>
      <c r="F1190">
        <v>1</v>
      </c>
      <c r="G1190">
        <v>50925</v>
      </c>
      <c r="H1190">
        <v>0.1</v>
      </c>
      <c r="I1190" s="8" t="s">
        <v>17</v>
      </c>
      <c r="J1190" s="8" t="s">
        <v>31</v>
      </c>
      <c r="K1190" s="8" t="s">
        <v>55</v>
      </c>
      <c r="L1190">
        <v>45832.5</v>
      </c>
      <c r="M1190" s="8" t="s">
        <v>59</v>
      </c>
      <c r="N1190">
        <v>45832.5</v>
      </c>
      <c r="O1190" s="8" t="s">
        <v>1701</v>
      </c>
      <c r="P1190" s="8" t="s">
        <v>1550</v>
      </c>
      <c r="Q1190" s="8" t="s">
        <v>1549</v>
      </c>
      <c r="R1190" s="8" t="s">
        <v>32</v>
      </c>
      <c r="S1190" s="8" t="s">
        <v>1542</v>
      </c>
      <c r="T1190" s="8" t="s">
        <v>1585</v>
      </c>
      <c r="U1190" s="8" t="s">
        <v>1586</v>
      </c>
      <c r="V1190">
        <v>48500</v>
      </c>
      <c r="W1190">
        <v>41200</v>
      </c>
      <c r="X1190">
        <v>45832.5</v>
      </c>
      <c r="Y1190">
        <v>4632.5</v>
      </c>
    </row>
    <row r="1191" spans="1:25" x14ac:dyDescent="0.3">
      <c r="A1191" s="8" t="s">
        <v>713</v>
      </c>
      <c r="B1191" s="14">
        <v>46034</v>
      </c>
      <c r="C1191" s="8" t="s">
        <v>714</v>
      </c>
      <c r="D1191" s="8" t="s">
        <v>168</v>
      </c>
      <c r="E1191" s="8" t="s">
        <v>74</v>
      </c>
      <c r="F1191">
        <v>3</v>
      </c>
      <c r="G1191">
        <v>2400</v>
      </c>
      <c r="H1191">
        <v>0.2</v>
      </c>
      <c r="I1191" s="8" t="s">
        <v>116</v>
      </c>
      <c r="J1191" s="8" t="s">
        <v>71</v>
      </c>
      <c r="K1191" s="8" t="s">
        <v>55</v>
      </c>
      <c r="L1191">
        <v>5760</v>
      </c>
      <c r="M1191" s="8" t="s">
        <v>32</v>
      </c>
      <c r="N1191">
        <v>5760</v>
      </c>
      <c r="O1191" s="8" t="s">
        <v>1701</v>
      </c>
      <c r="P1191" s="8" t="s">
        <v>1540</v>
      </c>
      <c r="Q1191" s="8" t="s">
        <v>1541</v>
      </c>
      <c r="R1191" s="8" t="s">
        <v>20</v>
      </c>
      <c r="S1191" s="8" t="s">
        <v>1542</v>
      </c>
      <c r="T1191" s="8" t="s">
        <v>1584</v>
      </c>
      <c r="U1191" s="8" t="s">
        <v>1583</v>
      </c>
      <c r="V1191">
        <v>2400</v>
      </c>
      <c r="W1191">
        <v>1480</v>
      </c>
      <c r="X1191">
        <v>0</v>
      </c>
      <c r="Y1191">
        <v>-4440</v>
      </c>
    </row>
    <row r="1192" spans="1:25" x14ac:dyDescent="0.3">
      <c r="A1192" s="8" t="s">
        <v>136</v>
      </c>
      <c r="B1192" s="14">
        <v>46071</v>
      </c>
      <c r="C1192" s="8" t="s">
        <v>137</v>
      </c>
      <c r="D1192" s="8" t="s">
        <v>45</v>
      </c>
      <c r="E1192" s="8" t="s">
        <v>16</v>
      </c>
      <c r="F1192">
        <v>4</v>
      </c>
      <c r="G1192">
        <v>650</v>
      </c>
      <c r="H1192">
        <v>0</v>
      </c>
      <c r="I1192" s="8" t="s">
        <v>17</v>
      </c>
      <c r="J1192" s="8" t="s">
        <v>18</v>
      </c>
      <c r="K1192" s="8" t="s">
        <v>1698</v>
      </c>
      <c r="L1192">
        <v>2600</v>
      </c>
      <c r="M1192" s="8" t="s">
        <v>138</v>
      </c>
      <c r="N1192">
        <v>2600</v>
      </c>
      <c r="O1192" s="8" t="s">
        <v>1701</v>
      </c>
      <c r="P1192" s="8" t="s">
        <v>1547</v>
      </c>
      <c r="Q1192" s="8" t="s">
        <v>1541</v>
      </c>
      <c r="R1192" s="8" t="s">
        <v>56</v>
      </c>
      <c r="S1192" s="8" t="s">
        <v>1542</v>
      </c>
      <c r="T1192" s="8" t="s">
        <v>1570</v>
      </c>
      <c r="U1192" s="8" t="s">
        <v>1571</v>
      </c>
      <c r="V1192">
        <v>650</v>
      </c>
      <c r="W1192">
        <v>390</v>
      </c>
      <c r="X1192">
        <v>2600</v>
      </c>
      <c r="Y1192">
        <v>1040</v>
      </c>
    </row>
    <row r="1193" spans="1:25" x14ac:dyDescent="0.3">
      <c r="A1193" s="8" t="s">
        <v>1175</v>
      </c>
      <c r="B1193" s="14">
        <v>46034</v>
      </c>
      <c r="C1193" s="8" t="s">
        <v>204</v>
      </c>
      <c r="D1193" s="8" t="s">
        <v>70</v>
      </c>
      <c r="E1193" s="8" t="s">
        <v>51</v>
      </c>
      <c r="F1193">
        <v>2</v>
      </c>
      <c r="G1193">
        <v>18500</v>
      </c>
      <c r="H1193">
        <v>0.05</v>
      </c>
      <c r="I1193" s="8" t="s">
        <v>17</v>
      </c>
      <c r="J1193" s="8" t="s">
        <v>18</v>
      </c>
      <c r="K1193" s="8" t="s">
        <v>55</v>
      </c>
      <c r="L1193">
        <v>35150</v>
      </c>
      <c r="M1193" s="8" t="s">
        <v>42</v>
      </c>
      <c r="N1193">
        <v>35150</v>
      </c>
      <c r="O1193" s="8" t="s">
        <v>1701</v>
      </c>
      <c r="P1193" s="8" t="s">
        <v>1550</v>
      </c>
      <c r="Q1193" s="8" t="s">
        <v>1549</v>
      </c>
      <c r="R1193" s="8" t="s">
        <v>32</v>
      </c>
      <c r="S1193" s="8" t="s">
        <v>1542</v>
      </c>
      <c r="T1193" s="8" t="s">
        <v>1581</v>
      </c>
      <c r="U1193" s="8" t="s">
        <v>1580</v>
      </c>
      <c r="V1193">
        <v>18500</v>
      </c>
      <c r="W1193">
        <v>13900</v>
      </c>
      <c r="X1193">
        <v>35150</v>
      </c>
      <c r="Y1193">
        <v>7350</v>
      </c>
    </row>
    <row r="1194" spans="1:25" x14ac:dyDescent="0.3">
      <c r="A1194" s="8" t="s">
        <v>516</v>
      </c>
      <c r="B1194" s="14">
        <v>46152</v>
      </c>
      <c r="C1194" s="8" t="s">
        <v>409</v>
      </c>
      <c r="D1194" s="8" t="s">
        <v>95</v>
      </c>
      <c r="E1194" s="8" t="s">
        <v>46</v>
      </c>
      <c r="F1194">
        <v>3</v>
      </c>
      <c r="G1194">
        <v>8190</v>
      </c>
      <c r="H1194">
        <v>0.1</v>
      </c>
      <c r="I1194" s="8" t="s">
        <v>17</v>
      </c>
      <c r="J1194" s="8" t="s">
        <v>71</v>
      </c>
      <c r="K1194" s="8" t="s">
        <v>1698</v>
      </c>
      <c r="L1194">
        <v>22113</v>
      </c>
      <c r="M1194" s="8" t="s">
        <v>48</v>
      </c>
      <c r="N1194">
        <v>22113</v>
      </c>
      <c r="O1194" s="8" t="s">
        <v>1701</v>
      </c>
      <c r="P1194" s="8" t="s">
        <v>1556</v>
      </c>
      <c r="Q1194" s="8" t="s">
        <v>1554</v>
      </c>
      <c r="R1194" s="8" t="s">
        <v>1557</v>
      </c>
      <c r="S1194" s="8" t="s">
        <v>1542</v>
      </c>
      <c r="T1194" s="8" t="s">
        <v>1579</v>
      </c>
      <c r="U1194" s="8" t="s">
        <v>1580</v>
      </c>
      <c r="V1194">
        <v>7800</v>
      </c>
      <c r="W1194">
        <v>5200</v>
      </c>
      <c r="X1194">
        <v>22113</v>
      </c>
      <c r="Y1194">
        <v>6513</v>
      </c>
    </row>
    <row r="1195" spans="1:25" x14ac:dyDescent="0.3">
      <c r="A1195" s="8" t="s">
        <v>880</v>
      </c>
      <c r="B1195" s="14">
        <v>46069</v>
      </c>
      <c r="C1195" s="8" t="s">
        <v>690</v>
      </c>
      <c r="D1195" s="8" t="s">
        <v>123</v>
      </c>
      <c r="E1195" s="8" t="s">
        <v>74</v>
      </c>
      <c r="F1195">
        <v>2</v>
      </c>
      <c r="G1195">
        <v>2280</v>
      </c>
      <c r="H1195">
        <v>0.05</v>
      </c>
      <c r="I1195" s="8" t="s">
        <v>17</v>
      </c>
      <c r="J1195" s="8" t="s">
        <v>18</v>
      </c>
      <c r="K1195" s="8" t="s">
        <v>1698</v>
      </c>
      <c r="L1195">
        <v>4332</v>
      </c>
      <c r="M1195" s="8" t="s">
        <v>138</v>
      </c>
      <c r="N1195">
        <v>4332</v>
      </c>
      <c r="O1195" s="8" t="s">
        <v>1701</v>
      </c>
      <c r="P1195" s="8" t="s">
        <v>1558</v>
      </c>
      <c r="Q1195" s="8" t="s">
        <v>1559</v>
      </c>
      <c r="R1195" s="8" t="s">
        <v>138</v>
      </c>
      <c r="S1195" s="8" t="s">
        <v>1542</v>
      </c>
      <c r="T1195" s="8" t="s">
        <v>1584</v>
      </c>
      <c r="U1195" s="8" t="s">
        <v>1583</v>
      </c>
      <c r="V1195">
        <v>2400</v>
      </c>
      <c r="W1195">
        <v>1480</v>
      </c>
      <c r="X1195">
        <v>4332</v>
      </c>
      <c r="Y1195">
        <v>1372</v>
      </c>
    </row>
    <row r="1196" spans="1:25" x14ac:dyDescent="0.3">
      <c r="A1196" s="8" t="s">
        <v>862</v>
      </c>
      <c r="B1196" s="14">
        <v>46152</v>
      </c>
      <c r="C1196" s="8" t="s">
        <v>411</v>
      </c>
      <c r="D1196" s="8" t="s">
        <v>152</v>
      </c>
      <c r="E1196" s="8" t="s">
        <v>36</v>
      </c>
      <c r="F1196">
        <v>5</v>
      </c>
      <c r="G1196">
        <v>1400</v>
      </c>
      <c r="H1196">
        <v>0</v>
      </c>
      <c r="I1196" s="8" t="s">
        <v>17</v>
      </c>
      <c r="J1196" s="8" t="s">
        <v>31</v>
      </c>
      <c r="K1196" s="8" t="s">
        <v>41</v>
      </c>
      <c r="L1196">
        <v>7000</v>
      </c>
      <c r="M1196" s="8" t="s">
        <v>52</v>
      </c>
      <c r="N1196">
        <v>7000</v>
      </c>
      <c r="O1196" s="8" t="s">
        <v>1701</v>
      </c>
      <c r="P1196" s="8" t="s">
        <v>1553</v>
      </c>
      <c r="Q1196" s="8" t="s">
        <v>1554</v>
      </c>
      <c r="R1196" s="8" t="s">
        <v>59</v>
      </c>
      <c r="S1196" s="8" t="s">
        <v>1542</v>
      </c>
      <c r="T1196" s="8" t="s">
        <v>1577</v>
      </c>
      <c r="U1196" s="8" t="s">
        <v>1571</v>
      </c>
      <c r="V1196">
        <v>1400</v>
      </c>
      <c r="W1196">
        <v>780</v>
      </c>
      <c r="X1196">
        <v>7000</v>
      </c>
      <c r="Y1196">
        <v>3100</v>
      </c>
    </row>
    <row r="1197" spans="1:25" x14ac:dyDescent="0.3">
      <c r="A1197" s="8" t="s">
        <v>1278</v>
      </c>
      <c r="B1197" s="14">
        <v>46154</v>
      </c>
      <c r="C1197" s="8" t="s">
        <v>246</v>
      </c>
      <c r="D1197" s="8" t="s">
        <v>62</v>
      </c>
      <c r="E1197" s="8" t="s">
        <v>51</v>
      </c>
      <c r="F1197">
        <v>4</v>
      </c>
      <c r="G1197">
        <v>18500</v>
      </c>
      <c r="H1197">
        <v>0.15</v>
      </c>
      <c r="I1197" s="8" t="s">
        <v>17</v>
      </c>
      <c r="J1197" s="8" t="s">
        <v>47</v>
      </c>
      <c r="K1197" s="8" t="s">
        <v>25</v>
      </c>
      <c r="L1197">
        <v>62900</v>
      </c>
      <c r="M1197" s="8" t="s">
        <v>42</v>
      </c>
      <c r="N1197">
        <v>62900</v>
      </c>
      <c r="O1197" s="8" t="s">
        <v>1701</v>
      </c>
      <c r="P1197" s="8" t="s">
        <v>1551</v>
      </c>
      <c r="Q1197" s="8" t="s">
        <v>1549</v>
      </c>
      <c r="R1197" s="8" t="s">
        <v>1552</v>
      </c>
      <c r="S1197" s="8" t="s">
        <v>1542</v>
      </c>
      <c r="T1197" s="8" t="s">
        <v>1581</v>
      </c>
      <c r="U1197" s="8" t="s">
        <v>1580</v>
      </c>
      <c r="V1197">
        <v>18500</v>
      </c>
      <c r="W1197">
        <v>13900</v>
      </c>
      <c r="X1197">
        <v>62900</v>
      </c>
      <c r="Y1197">
        <v>7300</v>
      </c>
    </row>
    <row r="1198" spans="1:25" x14ac:dyDescent="0.3">
      <c r="A1198" s="8" t="s">
        <v>974</v>
      </c>
      <c r="B1198" s="14">
        <v>46148</v>
      </c>
      <c r="C1198" s="8" t="s">
        <v>851</v>
      </c>
      <c r="D1198" s="8" t="s">
        <v>77</v>
      </c>
      <c r="E1198" s="8" t="s">
        <v>85</v>
      </c>
      <c r="F1198">
        <v>4</v>
      </c>
      <c r="G1198">
        <v>48500</v>
      </c>
      <c r="H1198">
        <v>0</v>
      </c>
      <c r="I1198" s="8" t="s">
        <v>17</v>
      </c>
      <c r="J1198" s="8" t="s">
        <v>31</v>
      </c>
      <c r="K1198" s="8" t="s">
        <v>25</v>
      </c>
      <c r="L1198">
        <v>194000</v>
      </c>
      <c r="M1198" s="8" t="s">
        <v>138</v>
      </c>
      <c r="N1198">
        <v>194000</v>
      </c>
      <c r="O1198" s="8" t="s">
        <v>1701</v>
      </c>
      <c r="P1198" s="8" t="s">
        <v>1564</v>
      </c>
      <c r="Q1198" s="8" t="s">
        <v>1563</v>
      </c>
      <c r="R1198" s="8" t="s">
        <v>1565</v>
      </c>
      <c r="S1198" s="8" t="s">
        <v>1542</v>
      </c>
      <c r="T1198" s="8" t="s">
        <v>1585</v>
      </c>
      <c r="U1198" s="8" t="s">
        <v>1586</v>
      </c>
      <c r="V1198">
        <v>48500</v>
      </c>
      <c r="W1198">
        <v>41200</v>
      </c>
      <c r="X1198">
        <v>194000</v>
      </c>
      <c r="Y1198">
        <v>29200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221"/>
  <sheetViews>
    <sheetView workbookViewId="0">
      <pane ySplit="1" topLeftCell="A2" activePane="bottomLeft" state="frozen"/>
      <selection pane="bottomLeft" activeCell="B6" sqref="B6"/>
    </sheetView>
  </sheetViews>
  <sheetFormatPr defaultRowHeight="14.4" x14ac:dyDescent="0.3"/>
  <cols>
    <col min="1" max="1" width="13" customWidth="1"/>
    <col min="2" max="2" width="21" customWidth="1"/>
    <col min="3" max="3" width="13.77734375" customWidth="1"/>
    <col min="4" max="4" width="14" customWidth="1"/>
    <col min="5" max="5" width="12.33203125" customWidth="1"/>
    <col min="6" max="6" width="12" customWidth="1"/>
    <col min="7" max="7" width="16" customWidth="1"/>
    <col min="8" max="8" width="15" customWidth="1"/>
    <col min="9" max="9" width="14" customWidth="1"/>
    <col min="10" max="10" width="15" customWidth="1"/>
    <col min="11" max="11" width="16.44140625" customWidth="1"/>
    <col min="12" max="12" width="24.109375" customWidth="1"/>
    <col min="13" max="13" width="12" customWidth="1"/>
  </cols>
  <sheetData>
    <row r="1" spans="1:13" ht="31.95" customHeight="1" x14ac:dyDescent="0.3">
      <c r="A1" s="5" t="s">
        <v>0</v>
      </c>
      <c r="B1" s="5" t="s">
        <v>1</v>
      </c>
      <c r="C1" s="5" t="s">
        <v>2</v>
      </c>
      <c r="D1" s="5" t="s">
        <v>3</v>
      </c>
      <c r="E1" s="5" t="s">
        <v>4</v>
      </c>
      <c r="F1" s="5" t="s">
        <v>5</v>
      </c>
      <c r="G1" s="5" t="s">
        <v>6</v>
      </c>
      <c r="H1" s="5" t="s">
        <v>7</v>
      </c>
      <c r="I1" s="5" t="s">
        <v>8</v>
      </c>
      <c r="J1" s="5" t="s">
        <v>9</v>
      </c>
      <c r="K1" s="5" t="s">
        <v>10</v>
      </c>
      <c r="L1" s="5" t="s">
        <v>11</v>
      </c>
      <c r="M1" s="5" t="s">
        <v>12</v>
      </c>
    </row>
    <row r="2" spans="1:13" x14ac:dyDescent="0.3">
      <c r="A2" t="s">
        <v>13</v>
      </c>
      <c r="B2" s="1">
        <v>46186</v>
      </c>
      <c r="C2" t="s">
        <v>14</v>
      </c>
      <c r="D2" t="s">
        <v>15</v>
      </c>
      <c r="E2" t="s">
        <v>16</v>
      </c>
      <c r="F2">
        <v>4</v>
      </c>
      <c r="G2" s="2">
        <v>617.5</v>
      </c>
      <c r="H2" s="3">
        <v>0</v>
      </c>
      <c r="I2" t="s">
        <v>17</v>
      </c>
      <c r="J2" t="s">
        <v>18</v>
      </c>
      <c r="K2" t="s">
        <v>19</v>
      </c>
      <c r="L2" s="2">
        <v>2470</v>
      </c>
      <c r="M2" t="s">
        <v>20</v>
      </c>
    </row>
    <row r="3" spans="1:13" x14ac:dyDescent="0.3">
      <c r="A3" t="s">
        <v>21</v>
      </c>
      <c r="B3" s="1">
        <v>46046</v>
      </c>
      <c r="C3" t="s">
        <v>22</v>
      </c>
      <c r="D3" t="s">
        <v>23</v>
      </c>
      <c r="E3" t="s">
        <v>24</v>
      </c>
      <c r="F3">
        <v>2</v>
      </c>
      <c r="G3" s="2">
        <v>11760</v>
      </c>
      <c r="H3" s="3">
        <v>0</v>
      </c>
      <c r="I3" t="s">
        <v>17</v>
      </c>
      <c r="J3" t="s">
        <v>18</v>
      </c>
      <c r="K3" t="s">
        <v>25</v>
      </c>
      <c r="L3" s="2">
        <v>23520</v>
      </c>
      <c r="M3" t="s">
        <v>26</v>
      </c>
    </row>
    <row r="4" spans="1:13" x14ac:dyDescent="0.3">
      <c r="A4" t="s">
        <v>27</v>
      </c>
      <c r="B4" s="1">
        <v>46024</v>
      </c>
      <c r="C4" t="s">
        <v>28</v>
      </c>
      <c r="D4" t="s">
        <v>29</v>
      </c>
      <c r="E4" t="s">
        <v>30</v>
      </c>
      <c r="F4">
        <v>3</v>
      </c>
      <c r="G4" s="2">
        <v>1800</v>
      </c>
      <c r="H4" s="3">
        <v>0.05</v>
      </c>
      <c r="I4" t="s">
        <v>17</v>
      </c>
      <c r="J4" t="s">
        <v>31</v>
      </c>
      <c r="K4" t="s">
        <v>19</v>
      </c>
      <c r="L4" s="2">
        <v>5130</v>
      </c>
      <c r="M4" t="s">
        <v>32</v>
      </c>
    </row>
    <row r="5" spans="1:13" x14ac:dyDescent="0.3">
      <c r="A5" t="s">
        <v>33</v>
      </c>
      <c r="B5" s="1">
        <v>46047</v>
      </c>
      <c r="C5" t="s">
        <v>34</v>
      </c>
      <c r="D5" t="s">
        <v>35</v>
      </c>
      <c r="E5" t="s">
        <v>36</v>
      </c>
      <c r="F5">
        <v>3</v>
      </c>
      <c r="G5" s="2">
        <v>1330</v>
      </c>
      <c r="H5" s="3">
        <v>0</v>
      </c>
      <c r="I5" t="s">
        <v>37</v>
      </c>
      <c r="J5" t="s">
        <v>31</v>
      </c>
      <c r="K5" t="s">
        <v>25</v>
      </c>
      <c r="L5" s="2">
        <v>3990</v>
      </c>
      <c r="M5" t="s">
        <v>26</v>
      </c>
    </row>
    <row r="6" spans="1:13" x14ac:dyDescent="0.3">
      <c r="A6" t="s">
        <v>38</v>
      </c>
      <c r="B6" s="1">
        <v>46183</v>
      </c>
      <c r="C6" t="s">
        <v>39</v>
      </c>
      <c r="D6" t="s">
        <v>40</v>
      </c>
      <c r="E6" t="s">
        <v>36</v>
      </c>
      <c r="F6">
        <v>3</v>
      </c>
      <c r="G6" s="2">
        <v>1400</v>
      </c>
      <c r="H6" s="3">
        <v>0.2</v>
      </c>
      <c r="I6" t="s">
        <v>17</v>
      </c>
      <c r="J6" t="s">
        <v>31</v>
      </c>
      <c r="K6" t="s">
        <v>41</v>
      </c>
      <c r="L6" s="2">
        <v>3360</v>
      </c>
      <c r="M6" t="s">
        <v>42</v>
      </c>
    </row>
    <row r="7" spans="1:13" x14ac:dyDescent="0.3">
      <c r="A7" t="s">
        <v>43</v>
      </c>
      <c r="B7" s="1">
        <v>46120</v>
      </c>
      <c r="C7" t="s">
        <v>44</v>
      </c>
      <c r="D7" t="s">
        <v>45</v>
      </c>
      <c r="E7" t="s">
        <v>46</v>
      </c>
      <c r="F7">
        <v>3</v>
      </c>
      <c r="G7" s="2">
        <v>7800</v>
      </c>
      <c r="H7" s="3">
        <v>0.05</v>
      </c>
      <c r="I7" t="s">
        <v>17</v>
      </c>
      <c r="J7" t="s">
        <v>47</v>
      </c>
      <c r="K7" t="s">
        <v>19</v>
      </c>
      <c r="L7" s="2">
        <v>22230</v>
      </c>
      <c r="M7" t="s">
        <v>48</v>
      </c>
    </row>
    <row r="8" spans="1:13" x14ac:dyDescent="0.3">
      <c r="A8" t="s">
        <v>49</v>
      </c>
      <c r="B8" s="1">
        <v>46185</v>
      </c>
      <c r="C8" t="s">
        <v>22</v>
      </c>
      <c r="D8" t="s">
        <v>50</v>
      </c>
      <c r="E8" t="s">
        <v>51</v>
      </c>
      <c r="F8">
        <v>3</v>
      </c>
      <c r="G8" s="2">
        <v>18500</v>
      </c>
      <c r="H8" s="3">
        <v>0</v>
      </c>
      <c r="I8" t="s">
        <v>17</v>
      </c>
      <c r="J8" t="s">
        <v>47</v>
      </c>
      <c r="K8" t="s">
        <v>19</v>
      </c>
      <c r="L8" s="2">
        <v>55500</v>
      </c>
      <c r="M8" t="s">
        <v>52</v>
      </c>
    </row>
    <row r="9" spans="1:13" x14ac:dyDescent="0.3">
      <c r="A9" t="s">
        <v>53</v>
      </c>
      <c r="B9" s="1">
        <v>46031</v>
      </c>
      <c r="C9" t="s">
        <v>54</v>
      </c>
      <c r="D9" t="s">
        <v>29</v>
      </c>
      <c r="E9" t="s">
        <v>36</v>
      </c>
      <c r="F9">
        <v>2</v>
      </c>
      <c r="G9" s="2">
        <v>1400</v>
      </c>
      <c r="H9" s="3">
        <v>0</v>
      </c>
      <c r="I9" t="s">
        <v>17</v>
      </c>
      <c r="J9" t="s">
        <v>18</v>
      </c>
      <c r="K9" t="s">
        <v>55</v>
      </c>
      <c r="L9" s="2">
        <v>2800</v>
      </c>
      <c r="M9" t="s">
        <v>56</v>
      </c>
    </row>
    <row r="10" spans="1:13" x14ac:dyDescent="0.3">
      <c r="A10" t="s">
        <v>57</v>
      </c>
      <c r="B10" s="1">
        <v>46059</v>
      </c>
      <c r="C10" t="s">
        <v>58</v>
      </c>
      <c r="D10" t="s">
        <v>45</v>
      </c>
      <c r="E10" t="s">
        <v>30</v>
      </c>
      <c r="F10">
        <v>1</v>
      </c>
      <c r="G10" s="2">
        <v>1890</v>
      </c>
      <c r="H10" s="3">
        <v>0.15</v>
      </c>
      <c r="I10" t="s">
        <v>17</v>
      </c>
      <c r="J10" t="s">
        <v>47</v>
      </c>
      <c r="K10" t="s">
        <v>41</v>
      </c>
      <c r="L10" s="2">
        <v>1606.5</v>
      </c>
      <c r="M10" t="s">
        <v>59</v>
      </c>
    </row>
    <row r="11" spans="1:13" x14ac:dyDescent="0.3">
      <c r="A11" t="s">
        <v>60</v>
      </c>
      <c r="B11" s="1">
        <v>46153</v>
      </c>
      <c r="C11" t="s">
        <v>61</v>
      </c>
      <c r="D11" t="s">
        <v>62</v>
      </c>
      <c r="E11" t="s">
        <v>63</v>
      </c>
      <c r="F11">
        <v>4</v>
      </c>
      <c r="G11" s="2">
        <v>2200</v>
      </c>
      <c r="H11" s="3">
        <v>0</v>
      </c>
      <c r="I11" t="s">
        <v>17</v>
      </c>
      <c r="J11" t="s">
        <v>31</v>
      </c>
      <c r="K11" t="s">
        <v>55</v>
      </c>
      <c r="L11" s="2">
        <v>8800</v>
      </c>
      <c r="M11" t="s">
        <v>32</v>
      </c>
    </row>
    <row r="12" spans="1:13" x14ac:dyDescent="0.3">
      <c r="A12" t="s">
        <v>64</v>
      </c>
      <c r="B12" s="1">
        <v>46175</v>
      </c>
      <c r="C12" t="s">
        <v>65</v>
      </c>
      <c r="D12" t="s">
        <v>62</v>
      </c>
      <c r="E12" t="s">
        <v>51</v>
      </c>
      <c r="F12">
        <v>1</v>
      </c>
      <c r="G12" s="2">
        <v>17575</v>
      </c>
      <c r="H12" s="3">
        <v>0.15</v>
      </c>
      <c r="I12" t="s">
        <v>66</v>
      </c>
      <c r="J12" t="s">
        <v>47</v>
      </c>
      <c r="K12" t="s">
        <v>67</v>
      </c>
      <c r="L12" s="2">
        <v>14938.75</v>
      </c>
      <c r="M12" t="s">
        <v>42</v>
      </c>
    </row>
    <row r="13" spans="1:13" x14ac:dyDescent="0.3">
      <c r="A13" t="s">
        <v>68</v>
      </c>
      <c r="B13" s="1">
        <v>46098</v>
      </c>
      <c r="C13" t="s">
        <v>69</v>
      </c>
      <c r="D13" t="s">
        <v>70</v>
      </c>
      <c r="E13" t="s">
        <v>30</v>
      </c>
      <c r="F13">
        <v>2</v>
      </c>
      <c r="G13" s="2">
        <v>1800</v>
      </c>
      <c r="H13" s="3">
        <v>0.2</v>
      </c>
      <c r="I13" t="s">
        <v>66</v>
      </c>
      <c r="J13" t="s">
        <v>71</v>
      </c>
      <c r="K13" t="s">
        <v>25</v>
      </c>
      <c r="L13" s="2">
        <v>2880</v>
      </c>
      <c r="M13" t="s">
        <v>42</v>
      </c>
    </row>
    <row r="14" spans="1:13" x14ac:dyDescent="0.3">
      <c r="A14" t="s">
        <v>72</v>
      </c>
      <c r="B14" s="1">
        <v>46183</v>
      </c>
      <c r="C14" t="s">
        <v>73</v>
      </c>
      <c r="D14" t="s">
        <v>45</v>
      </c>
      <c r="E14" t="s">
        <v>74</v>
      </c>
      <c r="F14">
        <v>2</v>
      </c>
      <c r="G14" s="2">
        <v>2400</v>
      </c>
      <c r="H14" s="3">
        <v>0</v>
      </c>
      <c r="I14" t="s">
        <v>17</v>
      </c>
      <c r="J14" t="s">
        <v>47</v>
      </c>
      <c r="K14" t="s">
        <v>55</v>
      </c>
      <c r="L14" s="2">
        <v>4800</v>
      </c>
      <c r="M14" t="s">
        <v>20</v>
      </c>
    </row>
    <row r="15" spans="1:13" x14ac:dyDescent="0.3">
      <c r="A15" t="s">
        <v>75</v>
      </c>
      <c r="B15" s="1">
        <v>46051</v>
      </c>
      <c r="C15" t="s">
        <v>76</v>
      </c>
      <c r="D15" t="s">
        <v>77</v>
      </c>
      <c r="E15" t="s">
        <v>36</v>
      </c>
      <c r="F15">
        <v>5</v>
      </c>
      <c r="G15" s="2">
        <v>1400</v>
      </c>
      <c r="H15" s="3">
        <v>0.05</v>
      </c>
      <c r="I15" t="s">
        <v>17</v>
      </c>
      <c r="J15" t="s">
        <v>31</v>
      </c>
      <c r="K15" t="s">
        <v>55</v>
      </c>
      <c r="L15" s="2">
        <v>6650</v>
      </c>
      <c r="M15" t="s">
        <v>42</v>
      </c>
    </row>
    <row r="16" spans="1:13" x14ac:dyDescent="0.3">
      <c r="A16" t="s">
        <v>78</v>
      </c>
      <c r="B16" s="1">
        <v>46159</v>
      </c>
      <c r="C16" t="s">
        <v>79</v>
      </c>
      <c r="D16" t="s">
        <v>29</v>
      </c>
      <c r="E16" t="s">
        <v>30</v>
      </c>
      <c r="F16">
        <v>1</v>
      </c>
      <c r="G16" s="2">
        <v>1800</v>
      </c>
      <c r="H16" s="3">
        <v>0.1</v>
      </c>
      <c r="I16" t="s">
        <v>80</v>
      </c>
      <c r="J16" t="s">
        <v>18</v>
      </c>
      <c r="K16" t="s">
        <v>81</v>
      </c>
      <c r="L16" s="2">
        <v>1620</v>
      </c>
      <c r="M16" t="s">
        <v>82</v>
      </c>
    </row>
    <row r="17" spans="1:13" x14ac:dyDescent="0.3">
      <c r="A17" t="s">
        <v>83</v>
      </c>
      <c r="B17" s="1">
        <v>46199</v>
      </c>
      <c r="C17" t="s">
        <v>84</v>
      </c>
      <c r="D17" t="s">
        <v>23</v>
      </c>
      <c r="E17" t="s">
        <v>85</v>
      </c>
      <c r="F17">
        <v>2</v>
      </c>
      <c r="G17" s="2">
        <v>50925</v>
      </c>
      <c r="H17" s="3">
        <v>0.2</v>
      </c>
      <c r="I17" t="s">
        <v>17</v>
      </c>
      <c r="J17" t="s">
        <v>31</v>
      </c>
      <c r="K17" t="s">
        <v>41</v>
      </c>
      <c r="L17" s="2">
        <v>81480</v>
      </c>
      <c r="M17" t="s">
        <v>52</v>
      </c>
    </row>
    <row r="18" spans="1:13" x14ac:dyDescent="0.3">
      <c r="A18" t="s">
        <v>86</v>
      </c>
      <c r="B18" s="1">
        <v>46039</v>
      </c>
      <c r="C18" t="s">
        <v>87</v>
      </c>
      <c r="D18" t="s">
        <v>35</v>
      </c>
      <c r="E18" t="s">
        <v>16</v>
      </c>
      <c r="F18">
        <v>3</v>
      </c>
      <c r="G18" s="2">
        <v>617.5</v>
      </c>
      <c r="H18" s="3">
        <v>0</v>
      </c>
      <c r="I18" t="s">
        <v>17</v>
      </c>
      <c r="J18" t="s">
        <v>31</v>
      </c>
      <c r="K18" t="s">
        <v>41</v>
      </c>
      <c r="L18" s="2">
        <v>1852.5</v>
      </c>
      <c r="M18" t="s">
        <v>42</v>
      </c>
    </row>
    <row r="19" spans="1:13" x14ac:dyDescent="0.3">
      <c r="A19" t="s">
        <v>88</v>
      </c>
      <c r="B19" s="1">
        <v>46031</v>
      </c>
      <c r="C19" t="s">
        <v>89</v>
      </c>
      <c r="D19" t="s">
        <v>90</v>
      </c>
      <c r="E19" t="s">
        <v>36</v>
      </c>
      <c r="F19">
        <v>1</v>
      </c>
      <c r="G19" s="2">
        <v>1470</v>
      </c>
      <c r="H19" s="3">
        <v>0</v>
      </c>
      <c r="I19" t="s">
        <v>17</v>
      </c>
      <c r="J19" t="s">
        <v>71</v>
      </c>
      <c r="K19" t="s">
        <v>25</v>
      </c>
      <c r="L19" s="2">
        <v>1470</v>
      </c>
      <c r="M19" t="s">
        <v>48</v>
      </c>
    </row>
    <row r="20" spans="1:13" x14ac:dyDescent="0.3">
      <c r="A20" t="s">
        <v>91</v>
      </c>
      <c r="B20" s="1">
        <v>46144</v>
      </c>
      <c r="C20" t="s">
        <v>92</v>
      </c>
      <c r="D20" t="s">
        <v>23</v>
      </c>
      <c r="E20" t="s">
        <v>46</v>
      </c>
      <c r="F20">
        <v>4</v>
      </c>
      <c r="G20" s="2">
        <v>8190</v>
      </c>
      <c r="H20" s="3">
        <v>0</v>
      </c>
      <c r="I20" t="s">
        <v>17</v>
      </c>
      <c r="J20" t="s">
        <v>18</v>
      </c>
      <c r="K20" t="s">
        <v>55</v>
      </c>
      <c r="L20" s="2">
        <v>32760</v>
      </c>
      <c r="M20" t="s">
        <v>56</v>
      </c>
    </row>
    <row r="21" spans="1:13" x14ac:dyDescent="0.3">
      <c r="A21" t="s">
        <v>93</v>
      </c>
      <c r="B21" s="1">
        <v>46036</v>
      </c>
      <c r="C21" t="s">
        <v>94</v>
      </c>
      <c r="D21" t="s">
        <v>95</v>
      </c>
      <c r="E21" t="s">
        <v>74</v>
      </c>
      <c r="F21">
        <v>10</v>
      </c>
      <c r="G21" s="2">
        <v>2400</v>
      </c>
      <c r="H21" s="3">
        <v>0</v>
      </c>
      <c r="I21" t="s">
        <v>17</v>
      </c>
      <c r="J21" t="s">
        <v>71</v>
      </c>
      <c r="K21" t="s">
        <v>41</v>
      </c>
      <c r="L21" s="2">
        <v>24000</v>
      </c>
      <c r="M21" t="s">
        <v>52</v>
      </c>
    </row>
    <row r="22" spans="1:13" x14ac:dyDescent="0.3">
      <c r="A22" t="s">
        <v>96</v>
      </c>
      <c r="B22" s="1">
        <v>46160</v>
      </c>
      <c r="C22" t="s">
        <v>97</v>
      </c>
      <c r="D22" t="s">
        <v>62</v>
      </c>
      <c r="E22" t="s">
        <v>30</v>
      </c>
      <c r="F22">
        <v>2</v>
      </c>
      <c r="G22" s="2">
        <v>1710</v>
      </c>
      <c r="H22" s="3">
        <v>0.05</v>
      </c>
      <c r="I22" t="s">
        <v>17</v>
      </c>
      <c r="J22" t="s">
        <v>31</v>
      </c>
      <c r="K22" t="s">
        <v>19</v>
      </c>
      <c r="L22" s="2">
        <v>3249</v>
      </c>
      <c r="M22" t="s">
        <v>82</v>
      </c>
    </row>
    <row r="23" spans="1:13" x14ac:dyDescent="0.3">
      <c r="A23" t="s">
        <v>98</v>
      </c>
      <c r="B23" s="1">
        <v>46026</v>
      </c>
      <c r="C23" t="s">
        <v>99</v>
      </c>
      <c r="D23" t="s">
        <v>15</v>
      </c>
      <c r="E23" t="s">
        <v>24</v>
      </c>
      <c r="F23">
        <v>1</v>
      </c>
      <c r="G23" s="2">
        <v>11760</v>
      </c>
      <c r="H23" s="3">
        <v>0.1</v>
      </c>
      <c r="I23" t="s">
        <v>17</v>
      </c>
      <c r="J23" t="s">
        <v>71</v>
      </c>
      <c r="K23" t="s">
        <v>55</v>
      </c>
      <c r="L23" s="2">
        <v>10584</v>
      </c>
      <c r="M23" t="s">
        <v>20</v>
      </c>
    </row>
    <row r="24" spans="1:13" x14ac:dyDescent="0.3">
      <c r="A24" t="s">
        <v>100</v>
      </c>
      <c r="B24" s="1">
        <v>46122</v>
      </c>
      <c r="C24" t="s">
        <v>101</v>
      </c>
      <c r="D24" t="s">
        <v>45</v>
      </c>
      <c r="E24" t="s">
        <v>46</v>
      </c>
      <c r="F24">
        <v>1</v>
      </c>
      <c r="G24" s="2">
        <v>8190</v>
      </c>
      <c r="H24" s="3">
        <v>0.2</v>
      </c>
      <c r="I24" t="s">
        <v>80</v>
      </c>
      <c r="J24" t="s">
        <v>71</v>
      </c>
      <c r="K24" t="s">
        <v>67</v>
      </c>
      <c r="L24" s="2">
        <v>6552</v>
      </c>
      <c r="M24" t="s">
        <v>52</v>
      </c>
    </row>
    <row r="25" spans="1:13" x14ac:dyDescent="0.3">
      <c r="A25" t="s">
        <v>102</v>
      </c>
      <c r="B25" s="1">
        <v>46037</v>
      </c>
      <c r="C25" t="s">
        <v>103</v>
      </c>
      <c r="D25" t="s">
        <v>40</v>
      </c>
      <c r="E25" t="s">
        <v>85</v>
      </c>
      <c r="F25">
        <v>2</v>
      </c>
      <c r="G25" s="2">
        <v>46075</v>
      </c>
      <c r="H25" s="3">
        <v>0.2</v>
      </c>
      <c r="I25" t="s">
        <v>17</v>
      </c>
      <c r="J25" t="s">
        <v>104</v>
      </c>
      <c r="K25" t="s">
        <v>19</v>
      </c>
      <c r="L25" s="2">
        <v>73720</v>
      </c>
      <c r="M25" t="s">
        <v>82</v>
      </c>
    </row>
    <row r="26" spans="1:13" x14ac:dyDescent="0.3">
      <c r="A26" t="s">
        <v>105</v>
      </c>
      <c r="B26" s="1">
        <v>46043</v>
      </c>
      <c r="C26" t="s">
        <v>106</v>
      </c>
      <c r="D26" t="s">
        <v>90</v>
      </c>
      <c r="E26" t="s">
        <v>30</v>
      </c>
      <c r="F26">
        <v>1</v>
      </c>
      <c r="G26" s="2">
        <v>1800</v>
      </c>
      <c r="H26" s="3">
        <v>0</v>
      </c>
      <c r="I26" t="s">
        <v>17</v>
      </c>
      <c r="J26" t="s">
        <v>31</v>
      </c>
      <c r="K26" t="s">
        <v>25</v>
      </c>
      <c r="L26" s="2">
        <v>1800</v>
      </c>
      <c r="M26" t="s">
        <v>52</v>
      </c>
    </row>
    <row r="27" spans="1:13" x14ac:dyDescent="0.3">
      <c r="A27" t="s">
        <v>107</v>
      </c>
      <c r="B27" s="1">
        <v>46171</v>
      </c>
      <c r="C27" t="s">
        <v>108</v>
      </c>
      <c r="D27" t="s">
        <v>40</v>
      </c>
      <c r="E27" t="s">
        <v>16</v>
      </c>
      <c r="F27">
        <v>3</v>
      </c>
      <c r="G27" s="2">
        <v>650</v>
      </c>
      <c r="H27" s="3">
        <v>0.1</v>
      </c>
      <c r="I27" t="s">
        <v>17</v>
      </c>
      <c r="J27" t="s">
        <v>109</v>
      </c>
      <c r="K27" t="s">
        <v>67</v>
      </c>
      <c r="L27" s="2">
        <v>1755</v>
      </c>
      <c r="M27" t="s">
        <v>52</v>
      </c>
    </row>
    <row r="28" spans="1:13" x14ac:dyDescent="0.3">
      <c r="A28" t="s">
        <v>110</v>
      </c>
      <c r="B28" s="1">
        <v>46090</v>
      </c>
      <c r="C28" t="s">
        <v>111</v>
      </c>
      <c r="D28" t="s">
        <v>70</v>
      </c>
      <c r="E28" t="s">
        <v>30</v>
      </c>
      <c r="F28">
        <v>3</v>
      </c>
      <c r="G28" s="2">
        <v>1710</v>
      </c>
      <c r="H28" s="3">
        <v>0.05</v>
      </c>
      <c r="I28" t="s">
        <v>17</v>
      </c>
      <c r="J28" t="s">
        <v>18</v>
      </c>
      <c r="K28" t="s">
        <v>25</v>
      </c>
      <c r="L28" s="2">
        <v>4873.5</v>
      </c>
      <c r="M28" t="s">
        <v>48</v>
      </c>
    </row>
    <row r="29" spans="1:13" x14ac:dyDescent="0.3">
      <c r="A29" t="s">
        <v>112</v>
      </c>
      <c r="B29" s="1">
        <v>46048</v>
      </c>
      <c r="C29" t="s">
        <v>113</v>
      </c>
      <c r="D29" t="s">
        <v>15</v>
      </c>
      <c r="E29" t="s">
        <v>51</v>
      </c>
      <c r="F29">
        <v>1</v>
      </c>
      <c r="G29" s="2">
        <v>18500</v>
      </c>
      <c r="H29" s="3">
        <v>0.05</v>
      </c>
      <c r="I29" t="s">
        <v>17</v>
      </c>
      <c r="J29" t="s">
        <v>71</v>
      </c>
      <c r="K29" t="s">
        <v>67</v>
      </c>
      <c r="L29" s="2">
        <v>17575</v>
      </c>
      <c r="M29" t="s">
        <v>26</v>
      </c>
    </row>
    <row r="30" spans="1:13" x14ac:dyDescent="0.3">
      <c r="A30" t="s">
        <v>114</v>
      </c>
      <c r="B30" s="1">
        <v>46063</v>
      </c>
      <c r="C30" t="s">
        <v>115</v>
      </c>
      <c r="D30" t="s">
        <v>62</v>
      </c>
      <c r="E30" t="s">
        <v>51</v>
      </c>
      <c r="F30">
        <v>3</v>
      </c>
      <c r="G30" s="2">
        <v>17575</v>
      </c>
      <c r="H30" s="3">
        <v>0.15</v>
      </c>
      <c r="I30" t="s">
        <v>116</v>
      </c>
      <c r="J30" t="s">
        <v>31</v>
      </c>
      <c r="K30" t="s">
        <v>41</v>
      </c>
      <c r="L30" s="2">
        <v>44816.25</v>
      </c>
      <c r="M30" t="s">
        <v>26</v>
      </c>
    </row>
    <row r="31" spans="1:13" x14ac:dyDescent="0.3">
      <c r="A31" t="s">
        <v>117</v>
      </c>
      <c r="B31" s="1">
        <v>46052</v>
      </c>
      <c r="C31" t="s">
        <v>118</v>
      </c>
      <c r="D31" t="s">
        <v>77</v>
      </c>
      <c r="E31" t="s">
        <v>63</v>
      </c>
      <c r="F31">
        <v>4</v>
      </c>
      <c r="G31" s="2">
        <v>2200</v>
      </c>
      <c r="H31" s="3">
        <v>0</v>
      </c>
      <c r="I31" t="s">
        <v>17</v>
      </c>
      <c r="J31" t="s">
        <v>71</v>
      </c>
      <c r="K31" t="s">
        <v>67</v>
      </c>
      <c r="L31" s="2">
        <v>8800</v>
      </c>
      <c r="M31" t="s">
        <v>82</v>
      </c>
    </row>
    <row r="32" spans="1:13" x14ac:dyDescent="0.3">
      <c r="A32" t="s">
        <v>119</v>
      </c>
      <c r="B32" s="1">
        <v>46148</v>
      </c>
      <c r="C32" t="s">
        <v>120</v>
      </c>
      <c r="D32" t="s">
        <v>45</v>
      </c>
      <c r="E32" t="s">
        <v>16</v>
      </c>
      <c r="F32">
        <v>1</v>
      </c>
      <c r="G32" s="2">
        <v>617.5</v>
      </c>
      <c r="H32" s="3">
        <v>0.1</v>
      </c>
      <c r="I32" t="s">
        <v>17</v>
      </c>
      <c r="J32" t="s">
        <v>47</v>
      </c>
      <c r="K32" t="s">
        <v>41</v>
      </c>
      <c r="L32" s="2">
        <v>555.75</v>
      </c>
      <c r="M32" t="s">
        <v>26</v>
      </c>
    </row>
    <row r="33" spans="1:13" x14ac:dyDescent="0.3">
      <c r="A33" t="s">
        <v>121</v>
      </c>
      <c r="B33" s="1">
        <v>46064</v>
      </c>
      <c r="C33" t="s">
        <v>122</v>
      </c>
      <c r="D33" t="s">
        <v>123</v>
      </c>
      <c r="E33" t="s">
        <v>46</v>
      </c>
      <c r="F33">
        <v>3</v>
      </c>
      <c r="G33" s="2">
        <v>7410</v>
      </c>
      <c r="H33" s="3">
        <v>0.1</v>
      </c>
      <c r="I33" t="s">
        <v>17</v>
      </c>
      <c r="J33" t="s">
        <v>71</v>
      </c>
      <c r="K33" t="s">
        <v>25</v>
      </c>
      <c r="L33" s="2">
        <v>20007</v>
      </c>
      <c r="M33" t="s">
        <v>20</v>
      </c>
    </row>
    <row r="34" spans="1:13" x14ac:dyDescent="0.3">
      <c r="A34" t="s">
        <v>124</v>
      </c>
      <c r="B34" s="1">
        <v>46117</v>
      </c>
      <c r="C34" t="s">
        <v>125</v>
      </c>
      <c r="D34" t="s">
        <v>40</v>
      </c>
      <c r="E34" t="s">
        <v>51</v>
      </c>
      <c r="F34">
        <v>1</v>
      </c>
      <c r="G34" s="2">
        <v>18500</v>
      </c>
      <c r="H34" s="3">
        <v>0</v>
      </c>
      <c r="I34" t="s">
        <v>17</v>
      </c>
      <c r="J34" t="s">
        <v>47</v>
      </c>
      <c r="K34" t="s">
        <v>41</v>
      </c>
      <c r="L34" s="2">
        <v>18500</v>
      </c>
      <c r="M34" t="s">
        <v>52</v>
      </c>
    </row>
    <row r="35" spans="1:13" x14ac:dyDescent="0.3">
      <c r="A35" t="s">
        <v>126</v>
      </c>
      <c r="B35" s="1">
        <v>46193</v>
      </c>
      <c r="C35" t="s">
        <v>127</v>
      </c>
      <c r="D35" t="s">
        <v>15</v>
      </c>
      <c r="E35" t="s">
        <v>36</v>
      </c>
      <c r="F35">
        <v>4</v>
      </c>
      <c r="G35" s="2">
        <v>1400</v>
      </c>
      <c r="H35" s="3">
        <v>0.1</v>
      </c>
      <c r="I35" t="s">
        <v>116</v>
      </c>
      <c r="J35" t="s">
        <v>71</v>
      </c>
      <c r="K35" t="s">
        <v>41</v>
      </c>
      <c r="L35" s="2">
        <v>5040</v>
      </c>
      <c r="M35" t="s">
        <v>32</v>
      </c>
    </row>
    <row r="36" spans="1:13" x14ac:dyDescent="0.3">
      <c r="A36" t="s">
        <v>128</v>
      </c>
      <c r="B36" s="1">
        <v>46029</v>
      </c>
      <c r="C36" t="s">
        <v>129</v>
      </c>
      <c r="D36" t="s">
        <v>50</v>
      </c>
      <c r="E36" t="s">
        <v>85</v>
      </c>
      <c r="F36">
        <v>8</v>
      </c>
      <c r="G36" s="2">
        <v>48500</v>
      </c>
      <c r="H36" s="3">
        <v>0.1</v>
      </c>
      <c r="I36" t="s">
        <v>17</v>
      </c>
      <c r="J36" t="s">
        <v>71</v>
      </c>
      <c r="K36" t="s">
        <v>19</v>
      </c>
      <c r="L36" s="2">
        <v>349200</v>
      </c>
      <c r="M36" t="s">
        <v>32</v>
      </c>
    </row>
    <row r="37" spans="1:13" x14ac:dyDescent="0.3">
      <c r="A37" t="s">
        <v>130</v>
      </c>
      <c r="B37" s="1">
        <v>46032</v>
      </c>
      <c r="D37" t="s">
        <v>90</v>
      </c>
      <c r="E37" t="s">
        <v>46</v>
      </c>
      <c r="F37">
        <v>1</v>
      </c>
      <c r="G37" s="2">
        <v>7800</v>
      </c>
      <c r="H37" s="3">
        <v>0.1</v>
      </c>
      <c r="I37" t="s">
        <v>17</v>
      </c>
      <c r="J37" t="s">
        <v>31</v>
      </c>
      <c r="K37" t="s">
        <v>41</v>
      </c>
      <c r="L37" s="2">
        <v>7020</v>
      </c>
      <c r="M37" t="s">
        <v>32</v>
      </c>
    </row>
    <row r="38" spans="1:13" x14ac:dyDescent="0.3">
      <c r="A38" t="s">
        <v>131</v>
      </c>
      <c r="B38" s="1">
        <v>46107</v>
      </c>
      <c r="C38" t="s">
        <v>132</v>
      </c>
      <c r="D38" t="s">
        <v>45</v>
      </c>
      <c r="E38" t="s">
        <v>63</v>
      </c>
      <c r="F38">
        <v>8</v>
      </c>
      <c r="G38" s="2">
        <v>2310</v>
      </c>
      <c r="H38" s="3">
        <v>0.05</v>
      </c>
      <c r="I38" t="s">
        <v>17</v>
      </c>
      <c r="J38" t="s">
        <v>31</v>
      </c>
      <c r="K38" t="s">
        <v>19</v>
      </c>
      <c r="L38" s="2">
        <v>17556</v>
      </c>
      <c r="M38" t="s">
        <v>26</v>
      </c>
    </row>
    <row r="39" spans="1:13" x14ac:dyDescent="0.3">
      <c r="A39" t="s">
        <v>133</v>
      </c>
      <c r="B39" s="1">
        <v>46068</v>
      </c>
      <c r="C39" t="s">
        <v>134</v>
      </c>
      <c r="D39" t="s">
        <v>40</v>
      </c>
      <c r="E39" t="s">
        <v>135</v>
      </c>
      <c r="F39">
        <v>1</v>
      </c>
      <c r="G39" s="2">
        <v>16800</v>
      </c>
      <c r="H39" s="3">
        <v>0.15</v>
      </c>
      <c r="I39" t="s">
        <v>17</v>
      </c>
      <c r="J39" t="s">
        <v>31</v>
      </c>
      <c r="K39" t="s">
        <v>55</v>
      </c>
      <c r="L39" s="2">
        <v>14280</v>
      </c>
      <c r="M39" t="s">
        <v>48</v>
      </c>
    </row>
    <row r="40" spans="1:13" x14ac:dyDescent="0.3">
      <c r="A40" t="s">
        <v>136</v>
      </c>
      <c r="B40" s="1">
        <v>46071</v>
      </c>
      <c r="C40" t="s">
        <v>137</v>
      </c>
      <c r="D40" t="s">
        <v>45</v>
      </c>
      <c r="E40" t="s">
        <v>16</v>
      </c>
      <c r="F40">
        <v>3</v>
      </c>
      <c r="G40" s="2">
        <v>650</v>
      </c>
      <c r="H40" s="3">
        <v>0</v>
      </c>
      <c r="I40" t="s">
        <v>17</v>
      </c>
      <c r="J40" t="s">
        <v>18</v>
      </c>
      <c r="K40" t="s">
        <v>19</v>
      </c>
      <c r="L40" s="2">
        <v>1950</v>
      </c>
      <c r="M40" t="s">
        <v>138</v>
      </c>
    </row>
    <row r="41" spans="1:13" x14ac:dyDescent="0.3">
      <c r="A41" t="s">
        <v>139</v>
      </c>
      <c r="B41" s="1">
        <v>46182</v>
      </c>
      <c r="C41" t="s">
        <v>140</v>
      </c>
      <c r="D41" t="s">
        <v>35</v>
      </c>
      <c r="E41" t="s">
        <v>74</v>
      </c>
      <c r="F41">
        <v>4</v>
      </c>
      <c r="G41" s="2">
        <v>2400</v>
      </c>
      <c r="H41" s="3">
        <v>0.2</v>
      </c>
      <c r="I41" t="s">
        <v>80</v>
      </c>
      <c r="J41" t="s">
        <v>47</v>
      </c>
      <c r="K41" t="s">
        <v>55</v>
      </c>
      <c r="L41" s="2">
        <v>7680</v>
      </c>
      <c r="M41" t="s">
        <v>26</v>
      </c>
    </row>
    <row r="42" spans="1:13" x14ac:dyDescent="0.3">
      <c r="A42" t="s">
        <v>141</v>
      </c>
      <c r="B42" s="1">
        <v>46164</v>
      </c>
      <c r="C42" t="s">
        <v>142</v>
      </c>
      <c r="D42" t="s">
        <v>50</v>
      </c>
      <c r="E42" t="s">
        <v>24</v>
      </c>
      <c r="F42">
        <v>2</v>
      </c>
      <c r="G42" s="2">
        <v>11200</v>
      </c>
      <c r="H42" s="3">
        <v>0.1</v>
      </c>
      <c r="I42" t="s">
        <v>17</v>
      </c>
      <c r="J42" t="s">
        <v>18</v>
      </c>
      <c r="K42" t="s">
        <v>25</v>
      </c>
      <c r="L42" s="2">
        <v>20160</v>
      </c>
      <c r="M42" t="s">
        <v>20</v>
      </c>
    </row>
    <row r="43" spans="1:13" x14ac:dyDescent="0.3">
      <c r="A43" t="s">
        <v>143</v>
      </c>
      <c r="B43" s="1">
        <v>46100</v>
      </c>
      <c r="C43" t="s">
        <v>144</v>
      </c>
      <c r="D43" t="s">
        <v>45</v>
      </c>
      <c r="E43" t="s">
        <v>24</v>
      </c>
      <c r="F43">
        <v>2</v>
      </c>
      <c r="G43" s="2">
        <v>11200</v>
      </c>
      <c r="H43" s="3">
        <v>0.15</v>
      </c>
      <c r="I43" t="s">
        <v>17</v>
      </c>
      <c r="J43" t="s">
        <v>18</v>
      </c>
      <c r="K43" t="s">
        <v>55</v>
      </c>
      <c r="L43" s="2">
        <v>19040</v>
      </c>
      <c r="M43" t="s">
        <v>52</v>
      </c>
    </row>
    <row r="44" spans="1:13" x14ac:dyDescent="0.3">
      <c r="A44" t="s">
        <v>145</v>
      </c>
      <c r="B44" s="1">
        <v>46153</v>
      </c>
      <c r="C44" t="s">
        <v>146</v>
      </c>
      <c r="D44" t="s">
        <v>62</v>
      </c>
      <c r="E44" t="s">
        <v>85</v>
      </c>
      <c r="F44">
        <v>1</v>
      </c>
      <c r="G44" s="2">
        <v>48500</v>
      </c>
      <c r="H44" s="3">
        <v>0</v>
      </c>
      <c r="I44" t="s">
        <v>17</v>
      </c>
      <c r="J44" t="s">
        <v>71</v>
      </c>
      <c r="K44" t="s">
        <v>67</v>
      </c>
      <c r="L44" s="2">
        <v>48500</v>
      </c>
      <c r="M44" t="s">
        <v>52</v>
      </c>
    </row>
    <row r="45" spans="1:13" x14ac:dyDescent="0.3">
      <c r="A45" t="s">
        <v>147</v>
      </c>
      <c r="B45" s="1">
        <v>46073</v>
      </c>
      <c r="C45" t="s">
        <v>148</v>
      </c>
      <c r="D45" t="s">
        <v>50</v>
      </c>
      <c r="E45" t="s">
        <v>16</v>
      </c>
      <c r="F45">
        <v>1</v>
      </c>
      <c r="G45" s="2">
        <v>617.5</v>
      </c>
      <c r="H45" s="3">
        <v>0.1</v>
      </c>
      <c r="I45" t="s">
        <v>17</v>
      </c>
      <c r="J45" t="s">
        <v>18</v>
      </c>
      <c r="K45" t="s">
        <v>25</v>
      </c>
      <c r="L45" s="2">
        <v>555.75</v>
      </c>
      <c r="M45" t="s">
        <v>52</v>
      </c>
    </row>
    <row r="46" spans="1:13" x14ac:dyDescent="0.3">
      <c r="A46" t="s">
        <v>149</v>
      </c>
      <c r="B46" s="1">
        <v>46201</v>
      </c>
      <c r="C46" t="s">
        <v>150</v>
      </c>
      <c r="D46" t="s">
        <v>70</v>
      </c>
      <c r="E46" t="s">
        <v>46</v>
      </c>
      <c r="F46">
        <v>2</v>
      </c>
      <c r="G46" s="2">
        <v>7410</v>
      </c>
      <c r="H46" s="3">
        <v>0</v>
      </c>
      <c r="I46" t="s">
        <v>17</v>
      </c>
      <c r="J46" t="s">
        <v>18</v>
      </c>
      <c r="K46" t="s">
        <v>41</v>
      </c>
      <c r="L46" s="2">
        <v>14820</v>
      </c>
      <c r="M46" t="s">
        <v>59</v>
      </c>
    </row>
    <row r="47" spans="1:13" x14ac:dyDescent="0.3">
      <c r="A47" t="s">
        <v>151</v>
      </c>
      <c r="B47" s="1">
        <v>46201</v>
      </c>
      <c r="C47" t="s">
        <v>148</v>
      </c>
      <c r="D47" t="s">
        <v>152</v>
      </c>
      <c r="E47" t="s">
        <v>46</v>
      </c>
      <c r="F47">
        <v>1</v>
      </c>
      <c r="G47" s="2">
        <v>7410</v>
      </c>
      <c r="H47" s="3"/>
      <c r="I47" t="s">
        <v>80</v>
      </c>
      <c r="J47" t="s">
        <v>71</v>
      </c>
      <c r="K47" t="s">
        <v>55</v>
      </c>
      <c r="L47" s="2">
        <v>7410</v>
      </c>
      <c r="M47" t="s">
        <v>82</v>
      </c>
    </row>
    <row r="48" spans="1:13" x14ac:dyDescent="0.3">
      <c r="A48" t="s">
        <v>153</v>
      </c>
      <c r="B48" s="1">
        <v>46166</v>
      </c>
      <c r="C48" t="s">
        <v>154</v>
      </c>
      <c r="D48" t="s">
        <v>40</v>
      </c>
      <c r="E48" t="s">
        <v>36</v>
      </c>
      <c r="F48">
        <v>8</v>
      </c>
      <c r="G48" s="2">
        <v>1470</v>
      </c>
      <c r="H48" s="3">
        <v>0.1</v>
      </c>
      <c r="I48" t="s">
        <v>17</v>
      </c>
      <c r="J48" t="s">
        <v>71</v>
      </c>
      <c r="K48" t="s">
        <v>55</v>
      </c>
      <c r="L48" s="2">
        <v>10584</v>
      </c>
      <c r="M48" t="s">
        <v>56</v>
      </c>
    </row>
    <row r="49" spans="1:13" x14ac:dyDescent="0.3">
      <c r="A49" t="s">
        <v>155</v>
      </c>
      <c r="B49" s="1">
        <v>46089</v>
      </c>
      <c r="C49" t="s">
        <v>156</v>
      </c>
      <c r="D49" t="s">
        <v>29</v>
      </c>
      <c r="E49" t="s">
        <v>24</v>
      </c>
      <c r="F49">
        <v>4</v>
      </c>
      <c r="G49" s="2">
        <v>11760</v>
      </c>
      <c r="H49" s="3">
        <v>0.05</v>
      </c>
      <c r="I49" t="s">
        <v>17</v>
      </c>
      <c r="J49" t="s">
        <v>47</v>
      </c>
      <c r="K49" t="s">
        <v>55</v>
      </c>
      <c r="L49" s="2">
        <v>44688</v>
      </c>
      <c r="M49" t="s">
        <v>42</v>
      </c>
    </row>
    <row r="50" spans="1:13" x14ac:dyDescent="0.3">
      <c r="A50" t="s">
        <v>157</v>
      </c>
      <c r="B50" s="1">
        <v>46096</v>
      </c>
      <c r="C50" t="s">
        <v>158</v>
      </c>
      <c r="D50" t="s">
        <v>23</v>
      </c>
      <c r="E50" t="s">
        <v>135</v>
      </c>
      <c r="F50">
        <v>2</v>
      </c>
      <c r="G50" s="2">
        <v>16800</v>
      </c>
      <c r="H50" s="3">
        <v>0.15</v>
      </c>
      <c r="I50" t="s">
        <v>17</v>
      </c>
      <c r="J50" t="s">
        <v>18</v>
      </c>
      <c r="K50" t="s">
        <v>41</v>
      </c>
      <c r="L50" s="2">
        <v>28560</v>
      </c>
      <c r="M50" t="s">
        <v>52</v>
      </c>
    </row>
    <row r="51" spans="1:13" x14ac:dyDescent="0.3">
      <c r="A51" t="s">
        <v>159</v>
      </c>
      <c r="B51" s="1">
        <v>46039</v>
      </c>
      <c r="C51" t="s">
        <v>160</v>
      </c>
      <c r="D51" t="s">
        <v>70</v>
      </c>
      <c r="E51" t="s">
        <v>161</v>
      </c>
      <c r="F51">
        <v>2</v>
      </c>
      <c r="G51" s="2">
        <v>2600</v>
      </c>
      <c r="H51" s="3">
        <v>0.1</v>
      </c>
      <c r="I51" t="s">
        <v>17</v>
      </c>
      <c r="J51" t="s">
        <v>18</v>
      </c>
      <c r="K51" t="s">
        <v>25</v>
      </c>
      <c r="L51" s="2">
        <v>4680</v>
      </c>
      <c r="M51" t="s">
        <v>20</v>
      </c>
    </row>
    <row r="52" spans="1:13" x14ac:dyDescent="0.3">
      <c r="A52" t="s">
        <v>162</v>
      </c>
      <c r="B52" s="1">
        <v>46170</v>
      </c>
      <c r="C52" t="s">
        <v>163</v>
      </c>
      <c r="D52" t="s">
        <v>70</v>
      </c>
      <c r="E52" t="s">
        <v>46</v>
      </c>
      <c r="F52">
        <v>1</v>
      </c>
      <c r="G52" s="2">
        <v>8190</v>
      </c>
      <c r="H52" s="3">
        <v>0.05</v>
      </c>
      <c r="I52" t="s">
        <v>17</v>
      </c>
      <c r="J52" t="s">
        <v>71</v>
      </c>
      <c r="K52" t="s">
        <v>55</v>
      </c>
      <c r="L52" s="2">
        <v>7780.5</v>
      </c>
      <c r="M52" t="s">
        <v>52</v>
      </c>
    </row>
    <row r="53" spans="1:13" x14ac:dyDescent="0.3">
      <c r="A53" t="s">
        <v>164</v>
      </c>
      <c r="B53" s="1">
        <v>46092</v>
      </c>
      <c r="C53" t="s">
        <v>165</v>
      </c>
      <c r="D53" t="s">
        <v>70</v>
      </c>
      <c r="E53" t="s">
        <v>46</v>
      </c>
      <c r="F53">
        <v>1</v>
      </c>
      <c r="G53" s="2">
        <v>8190</v>
      </c>
      <c r="H53" s="3">
        <v>0.05</v>
      </c>
      <c r="I53" t="s">
        <v>17</v>
      </c>
      <c r="J53" t="s">
        <v>18</v>
      </c>
      <c r="K53" t="s">
        <v>41</v>
      </c>
      <c r="L53" s="2">
        <v>7780.5</v>
      </c>
      <c r="M53" t="s">
        <v>48</v>
      </c>
    </row>
    <row r="54" spans="1:13" x14ac:dyDescent="0.3">
      <c r="A54" t="s">
        <v>166</v>
      </c>
      <c r="B54" s="1">
        <v>46159</v>
      </c>
      <c r="C54" t="s">
        <v>167</v>
      </c>
      <c r="D54" t="s">
        <v>168</v>
      </c>
      <c r="E54" t="s">
        <v>161</v>
      </c>
      <c r="F54">
        <v>3</v>
      </c>
      <c r="G54" s="2">
        <v>2730</v>
      </c>
      <c r="H54" s="3">
        <v>0.2</v>
      </c>
      <c r="I54" t="s">
        <v>17</v>
      </c>
      <c r="J54" t="s">
        <v>18</v>
      </c>
      <c r="K54" t="s">
        <v>41</v>
      </c>
      <c r="L54" s="2">
        <v>6552</v>
      </c>
      <c r="M54" t="s">
        <v>20</v>
      </c>
    </row>
    <row r="55" spans="1:13" x14ac:dyDescent="0.3">
      <c r="A55" t="s">
        <v>169</v>
      </c>
      <c r="B55" s="1">
        <v>46089</v>
      </c>
      <c r="C55" t="s">
        <v>170</v>
      </c>
      <c r="D55" t="s">
        <v>70</v>
      </c>
      <c r="E55" t="s">
        <v>36</v>
      </c>
      <c r="F55">
        <v>1</v>
      </c>
      <c r="G55" s="2">
        <v>1470</v>
      </c>
      <c r="H55" s="3">
        <v>0.05</v>
      </c>
      <c r="I55" t="s">
        <v>17</v>
      </c>
      <c r="J55" t="s">
        <v>18</v>
      </c>
      <c r="K55" t="s">
        <v>67</v>
      </c>
      <c r="L55" s="2">
        <v>1396.5</v>
      </c>
      <c r="M55" t="s">
        <v>42</v>
      </c>
    </row>
    <row r="56" spans="1:13" x14ac:dyDescent="0.3">
      <c r="A56" t="s">
        <v>171</v>
      </c>
      <c r="B56" s="1">
        <v>46143</v>
      </c>
      <c r="C56" t="s">
        <v>125</v>
      </c>
      <c r="D56" t="s">
        <v>168</v>
      </c>
      <c r="E56" t="s">
        <v>85</v>
      </c>
      <c r="F56">
        <v>2</v>
      </c>
      <c r="G56" s="2">
        <v>46075</v>
      </c>
      <c r="H56" s="3">
        <v>0.05</v>
      </c>
      <c r="I56" t="s">
        <v>17</v>
      </c>
      <c r="J56" t="s">
        <v>31</v>
      </c>
      <c r="K56" t="s">
        <v>41</v>
      </c>
      <c r="L56" s="2">
        <v>87542.5</v>
      </c>
      <c r="M56" t="s">
        <v>52</v>
      </c>
    </row>
    <row r="57" spans="1:13" x14ac:dyDescent="0.3">
      <c r="A57" t="s">
        <v>172</v>
      </c>
      <c r="B57" s="1">
        <v>46028</v>
      </c>
      <c r="C57" t="s">
        <v>144</v>
      </c>
      <c r="D57" t="s">
        <v>40</v>
      </c>
      <c r="E57" t="s">
        <v>30</v>
      </c>
      <c r="F57">
        <v>1</v>
      </c>
      <c r="G57" s="2">
        <v>1800</v>
      </c>
      <c r="H57" s="3">
        <v>0.1</v>
      </c>
      <c r="I57" t="s">
        <v>173</v>
      </c>
      <c r="J57" t="s">
        <v>47</v>
      </c>
      <c r="K57" t="s">
        <v>67</v>
      </c>
      <c r="L57" s="2">
        <v>1620</v>
      </c>
      <c r="M57" t="s">
        <v>59</v>
      </c>
    </row>
    <row r="58" spans="1:13" x14ac:dyDescent="0.3">
      <c r="A58" t="s">
        <v>174</v>
      </c>
      <c r="B58" s="1">
        <v>46178</v>
      </c>
      <c r="C58" t="s">
        <v>175</v>
      </c>
      <c r="D58" t="s">
        <v>40</v>
      </c>
      <c r="E58" t="s">
        <v>85</v>
      </c>
      <c r="F58">
        <v>3</v>
      </c>
      <c r="G58" s="2">
        <v>46075</v>
      </c>
      <c r="H58" s="3">
        <v>0</v>
      </c>
      <c r="I58" t="s">
        <v>116</v>
      </c>
      <c r="J58" t="s">
        <v>47</v>
      </c>
      <c r="K58" t="s">
        <v>25</v>
      </c>
      <c r="L58" s="2">
        <v>138225</v>
      </c>
      <c r="M58" t="s">
        <v>32</v>
      </c>
    </row>
    <row r="59" spans="1:13" x14ac:dyDescent="0.3">
      <c r="A59" t="s">
        <v>176</v>
      </c>
      <c r="B59" s="1">
        <v>46124</v>
      </c>
      <c r="C59" t="s">
        <v>177</v>
      </c>
      <c r="D59" t="s">
        <v>123</v>
      </c>
      <c r="E59" t="s">
        <v>24</v>
      </c>
      <c r="F59">
        <v>1</v>
      </c>
      <c r="G59" s="2">
        <v>11200</v>
      </c>
      <c r="H59" s="3">
        <v>0.2</v>
      </c>
      <c r="I59" t="s">
        <v>66</v>
      </c>
      <c r="J59" t="s">
        <v>47</v>
      </c>
      <c r="K59" t="s">
        <v>25</v>
      </c>
      <c r="L59" s="2">
        <v>8960</v>
      </c>
      <c r="M59" t="s">
        <v>42</v>
      </c>
    </row>
    <row r="60" spans="1:13" x14ac:dyDescent="0.3">
      <c r="A60" t="s">
        <v>178</v>
      </c>
      <c r="B60" s="1">
        <v>46167</v>
      </c>
      <c r="C60" t="s">
        <v>179</v>
      </c>
      <c r="D60" t="s">
        <v>29</v>
      </c>
      <c r="E60" t="s">
        <v>16</v>
      </c>
      <c r="F60">
        <v>2</v>
      </c>
      <c r="G60" s="2">
        <v>617.5</v>
      </c>
      <c r="H60" s="3">
        <v>0.1</v>
      </c>
      <c r="I60" t="s">
        <v>17</v>
      </c>
      <c r="J60" t="s">
        <v>47</v>
      </c>
      <c r="K60" t="s">
        <v>19</v>
      </c>
      <c r="L60" s="2">
        <v>1111.5</v>
      </c>
      <c r="M60" t="s">
        <v>32</v>
      </c>
    </row>
    <row r="61" spans="1:13" x14ac:dyDescent="0.3">
      <c r="A61" t="s">
        <v>180</v>
      </c>
      <c r="B61" s="1">
        <v>46148</v>
      </c>
      <c r="C61" t="s">
        <v>181</v>
      </c>
      <c r="D61" t="s">
        <v>15</v>
      </c>
      <c r="E61" t="s">
        <v>161</v>
      </c>
      <c r="F61">
        <v>8</v>
      </c>
      <c r="G61" s="2">
        <v>2730</v>
      </c>
      <c r="H61" s="3">
        <v>0.2</v>
      </c>
      <c r="I61" t="s">
        <v>66</v>
      </c>
      <c r="J61" t="s">
        <v>18</v>
      </c>
      <c r="K61" t="s">
        <v>41</v>
      </c>
      <c r="L61" s="2">
        <v>17472</v>
      </c>
      <c r="M61" t="s">
        <v>82</v>
      </c>
    </row>
    <row r="62" spans="1:13" x14ac:dyDescent="0.3">
      <c r="A62" t="s">
        <v>182</v>
      </c>
      <c r="B62" s="1">
        <v>46189</v>
      </c>
      <c r="C62" t="s">
        <v>134</v>
      </c>
      <c r="D62" t="s">
        <v>45</v>
      </c>
      <c r="E62" t="s">
        <v>183</v>
      </c>
      <c r="F62">
        <v>4</v>
      </c>
      <c r="G62" s="2">
        <v>3360</v>
      </c>
      <c r="H62" s="3">
        <v>0.15</v>
      </c>
      <c r="I62" t="s">
        <v>17</v>
      </c>
      <c r="J62" t="s">
        <v>47</v>
      </c>
      <c r="K62" t="s">
        <v>67</v>
      </c>
      <c r="L62" s="2">
        <v>11424</v>
      </c>
      <c r="M62" t="s">
        <v>52</v>
      </c>
    </row>
    <row r="63" spans="1:13" x14ac:dyDescent="0.3">
      <c r="A63" t="s">
        <v>184</v>
      </c>
      <c r="B63" s="1">
        <v>46045</v>
      </c>
      <c r="C63" t="s">
        <v>28</v>
      </c>
      <c r="D63" t="s">
        <v>45</v>
      </c>
      <c r="E63" t="s">
        <v>46</v>
      </c>
      <c r="F63">
        <v>1</v>
      </c>
      <c r="G63" s="2">
        <v>8190</v>
      </c>
      <c r="H63" s="3">
        <v>0.1</v>
      </c>
      <c r="I63" t="s">
        <v>17</v>
      </c>
      <c r="J63" t="s">
        <v>31</v>
      </c>
      <c r="K63" t="s">
        <v>55</v>
      </c>
      <c r="L63" s="2">
        <v>7371</v>
      </c>
      <c r="M63" t="s">
        <v>138</v>
      </c>
    </row>
    <row r="64" spans="1:13" x14ac:dyDescent="0.3">
      <c r="A64" t="s">
        <v>185</v>
      </c>
      <c r="B64" s="1">
        <v>46069</v>
      </c>
      <c r="C64" t="s">
        <v>186</v>
      </c>
      <c r="D64" t="s">
        <v>62</v>
      </c>
      <c r="E64" t="s">
        <v>24</v>
      </c>
      <c r="F64">
        <v>2</v>
      </c>
      <c r="G64" s="2">
        <v>11200</v>
      </c>
      <c r="H64" s="3">
        <v>0.05</v>
      </c>
      <c r="I64" t="s">
        <v>17</v>
      </c>
      <c r="J64" t="s">
        <v>71</v>
      </c>
      <c r="K64" t="s">
        <v>19</v>
      </c>
      <c r="L64" s="2">
        <v>21280</v>
      </c>
      <c r="M64" t="s">
        <v>52</v>
      </c>
    </row>
    <row r="65" spans="1:13" x14ac:dyDescent="0.3">
      <c r="A65" t="s">
        <v>187</v>
      </c>
      <c r="B65" s="1">
        <v>46127</v>
      </c>
      <c r="C65" t="s">
        <v>188</v>
      </c>
      <c r="D65" t="s">
        <v>62</v>
      </c>
      <c r="E65" t="s">
        <v>51</v>
      </c>
      <c r="F65">
        <v>4</v>
      </c>
      <c r="G65" s="2">
        <v>19425</v>
      </c>
      <c r="H65" s="3">
        <v>0.2</v>
      </c>
      <c r="I65" t="s">
        <v>17</v>
      </c>
      <c r="J65" t="s">
        <v>31</v>
      </c>
      <c r="K65" t="s">
        <v>19</v>
      </c>
      <c r="L65" s="2">
        <v>62160</v>
      </c>
      <c r="M65" t="s">
        <v>26</v>
      </c>
    </row>
    <row r="66" spans="1:13" x14ac:dyDescent="0.3">
      <c r="A66" t="s">
        <v>189</v>
      </c>
      <c r="B66" s="1">
        <v>46079</v>
      </c>
      <c r="C66" t="s">
        <v>190</v>
      </c>
      <c r="D66" t="s">
        <v>70</v>
      </c>
      <c r="E66" t="s">
        <v>85</v>
      </c>
      <c r="F66">
        <v>1</v>
      </c>
      <c r="G66" s="2">
        <v>50925</v>
      </c>
      <c r="H66" s="3">
        <v>0.2</v>
      </c>
      <c r="I66" t="s">
        <v>17</v>
      </c>
      <c r="J66" t="s">
        <v>18</v>
      </c>
      <c r="K66" t="s">
        <v>25</v>
      </c>
      <c r="L66" s="2">
        <v>40740</v>
      </c>
      <c r="M66" t="s">
        <v>138</v>
      </c>
    </row>
    <row r="67" spans="1:13" x14ac:dyDescent="0.3">
      <c r="A67" t="s">
        <v>191</v>
      </c>
      <c r="B67" s="1">
        <v>46113</v>
      </c>
      <c r="C67" t="s">
        <v>192</v>
      </c>
      <c r="D67" t="s">
        <v>123</v>
      </c>
      <c r="E67" t="s">
        <v>46</v>
      </c>
      <c r="F67">
        <v>1</v>
      </c>
      <c r="G67" s="2">
        <v>7800</v>
      </c>
      <c r="H67" s="3">
        <v>0.05</v>
      </c>
      <c r="I67" t="s">
        <v>17</v>
      </c>
      <c r="J67" t="s">
        <v>31</v>
      </c>
      <c r="K67" t="s">
        <v>25</v>
      </c>
      <c r="L67" s="2">
        <v>7410</v>
      </c>
      <c r="M67" t="s">
        <v>59</v>
      </c>
    </row>
    <row r="68" spans="1:13" x14ac:dyDescent="0.3">
      <c r="A68" t="s">
        <v>193</v>
      </c>
      <c r="B68" s="1">
        <v>46072</v>
      </c>
      <c r="C68" t="s">
        <v>194</v>
      </c>
      <c r="D68" t="s">
        <v>23</v>
      </c>
      <c r="E68" t="s">
        <v>85</v>
      </c>
      <c r="F68">
        <v>2</v>
      </c>
      <c r="G68" s="2">
        <v>48500</v>
      </c>
      <c r="H68" s="3">
        <v>0.2</v>
      </c>
      <c r="I68" t="s">
        <v>17</v>
      </c>
      <c r="J68" t="s">
        <v>71</v>
      </c>
      <c r="K68" t="s">
        <v>67</v>
      </c>
      <c r="L68" s="2">
        <v>77600</v>
      </c>
      <c r="M68" t="s">
        <v>52</v>
      </c>
    </row>
    <row r="69" spans="1:13" x14ac:dyDescent="0.3">
      <c r="A69" t="s">
        <v>195</v>
      </c>
      <c r="B69" s="1">
        <v>46115</v>
      </c>
      <c r="C69" t="s">
        <v>196</v>
      </c>
      <c r="D69" t="s">
        <v>50</v>
      </c>
      <c r="E69" t="s">
        <v>135</v>
      </c>
      <c r="F69">
        <v>1</v>
      </c>
      <c r="G69" s="2">
        <v>15960</v>
      </c>
      <c r="H69" s="3">
        <v>0.15</v>
      </c>
      <c r="I69" t="s">
        <v>17</v>
      </c>
      <c r="J69" t="s">
        <v>47</v>
      </c>
      <c r="K69" t="s">
        <v>41</v>
      </c>
      <c r="L69" s="2">
        <v>13566</v>
      </c>
      <c r="M69" t="s">
        <v>56</v>
      </c>
    </row>
    <row r="70" spans="1:13" x14ac:dyDescent="0.3">
      <c r="A70" t="s">
        <v>197</v>
      </c>
      <c r="B70" s="1">
        <v>46049</v>
      </c>
      <c r="C70" t="s">
        <v>198</v>
      </c>
      <c r="D70" t="s">
        <v>90</v>
      </c>
      <c r="E70" t="s">
        <v>16</v>
      </c>
      <c r="F70">
        <v>3</v>
      </c>
      <c r="G70" s="2">
        <v>650</v>
      </c>
      <c r="H70" s="3">
        <v>0.1</v>
      </c>
      <c r="I70" t="s">
        <v>17</v>
      </c>
      <c r="J70" t="s">
        <v>31</v>
      </c>
      <c r="K70" t="s">
        <v>67</v>
      </c>
      <c r="L70" s="2">
        <v>1755</v>
      </c>
      <c r="M70" t="s">
        <v>56</v>
      </c>
    </row>
    <row r="71" spans="1:13" x14ac:dyDescent="0.3">
      <c r="A71" t="s">
        <v>199</v>
      </c>
      <c r="B71" s="1">
        <v>46052</v>
      </c>
      <c r="C71" t="s">
        <v>200</v>
      </c>
      <c r="D71" t="s">
        <v>90</v>
      </c>
      <c r="E71" t="s">
        <v>63</v>
      </c>
      <c r="F71">
        <v>2</v>
      </c>
      <c r="G71" s="2">
        <v>2090</v>
      </c>
      <c r="H71" s="3">
        <v>0</v>
      </c>
      <c r="I71" t="s">
        <v>17</v>
      </c>
      <c r="J71" t="s">
        <v>71</v>
      </c>
      <c r="K71" t="s">
        <v>25</v>
      </c>
      <c r="L71" s="2">
        <v>4180</v>
      </c>
      <c r="M71" t="s">
        <v>26</v>
      </c>
    </row>
    <row r="72" spans="1:13" x14ac:dyDescent="0.3">
      <c r="A72" t="s">
        <v>201</v>
      </c>
      <c r="B72" s="1">
        <v>46044</v>
      </c>
      <c r="C72" t="s">
        <v>202</v>
      </c>
      <c r="D72" t="s">
        <v>23</v>
      </c>
      <c r="E72" t="s">
        <v>63</v>
      </c>
      <c r="F72">
        <v>3</v>
      </c>
      <c r="G72" s="2">
        <v>2200</v>
      </c>
      <c r="H72" s="3">
        <v>0.1</v>
      </c>
      <c r="I72" t="s">
        <v>17</v>
      </c>
      <c r="J72" t="s">
        <v>18</v>
      </c>
      <c r="K72" t="s">
        <v>55</v>
      </c>
      <c r="L72" s="2">
        <v>5940</v>
      </c>
      <c r="M72" t="s">
        <v>26</v>
      </c>
    </row>
    <row r="73" spans="1:13" x14ac:dyDescent="0.3">
      <c r="A73" t="s">
        <v>203</v>
      </c>
      <c r="B73" s="1">
        <v>46173</v>
      </c>
      <c r="C73" t="s">
        <v>204</v>
      </c>
      <c r="D73" t="s">
        <v>70</v>
      </c>
      <c r="E73" t="s">
        <v>135</v>
      </c>
      <c r="F73">
        <v>3</v>
      </c>
      <c r="G73" s="2">
        <v>15960</v>
      </c>
      <c r="H73" s="3">
        <v>0</v>
      </c>
      <c r="I73" t="s">
        <v>17</v>
      </c>
      <c r="J73" t="s">
        <v>71</v>
      </c>
      <c r="K73" t="s">
        <v>67</v>
      </c>
      <c r="L73" s="2">
        <v>47880</v>
      </c>
      <c r="M73" t="s">
        <v>42</v>
      </c>
    </row>
    <row r="74" spans="1:13" x14ac:dyDescent="0.3">
      <c r="A74" t="s">
        <v>205</v>
      </c>
      <c r="B74" s="1">
        <v>46063</v>
      </c>
      <c r="D74" t="s">
        <v>23</v>
      </c>
      <c r="E74" t="s">
        <v>30</v>
      </c>
      <c r="F74">
        <v>3</v>
      </c>
      <c r="G74" s="2">
        <v>1890</v>
      </c>
      <c r="H74" s="3">
        <v>0</v>
      </c>
      <c r="I74" t="s">
        <v>17</v>
      </c>
      <c r="J74" t="s">
        <v>47</v>
      </c>
      <c r="K74" t="s">
        <v>19</v>
      </c>
      <c r="L74" s="2">
        <v>5670</v>
      </c>
      <c r="M74" t="s">
        <v>52</v>
      </c>
    </row>
    <row r="75" spans="1:13" x14ac:dyDescent="0.3">
      <c r="A75" t="s">
        <v>206</v>
      </c>
      <c r="B75" s="1">
        <v>46096</v>
      </c>
      <c r="C75" t="s">
        <v>79</v>
      </c>
      <c r="D75" t="s">
        <v>123</v>
      </c>
      <c r="E75" t="s">
        <v>135</v>
      </c>
      <c r="F75">
        <v>3</v>
      </c>
      <c r="G75" s="2">
        <v>16800</v>
      </c>
      <c r="H75" s="3">
        <v>0.1</v>
      </c>
      <c r="I75" t="s">
        <v>17</v>
      </c>
      <c r="J75" t="s">
        <v>71</v>
      </c>
      <c r="K75" t="s">
        <v>55</v>
      </c>
      <c r="L75" s="2">
        <v>45360</v>
      </c>
      <c r="M75" t="s">
        <v>42</v>
      </c>
    </row>
    <row r="76" spans="1:13" x14ac:dyDescent="0.3">
      <c r="A76" t="s">
        <v>207</v>
      </c>
      <c r="B76" s="1">
        <v>46162</v>
      </c>
      <c r="C76" t="s">
        <v>99</v>
      </c>
      <c r="E76" t="s">
        <v>74</v>
      </c>
      <c r="F76">
        <v>1</v>
      </c>
      <c r="G76" s="2">
        <v>2280</v>
      </c>
      <c r="H76" s="3">
        <v>0.05</v>
      </c>
      <c r="I76" t="s">
        <v>17</v>
      </c>
      <c r="J76" t="s">
        <v>71</v>
      </c>
      <c r="K76" t="s">
        <v>67</v>
      </c>
      <c r="L76" s="2">
        <v>2166</v>
      </c>
      <c r="M76" t="s">
        <v>48</v>
      </c>
    </row>
    <row r="77" spans="1:13" x14ac:dyDescent="0.3">
      <c r="A77" t="s">
        <v>208</v>
      </c>
      <c r="B77" s="1">
        <v>46168</v>
      </c>
      <c r="C77" t="s">
        <v>209</v>
      </c>
      <c r="D77" t="s">
        <v>77</v>
      </c>
      <c r="E77" t="s">
        <v>135</v>
      </c>
      <c r="F77">
        <v>2</v>
      </c>
      <c r="G77" s="2">
        <v>17640</v>
      </c>
      <c r="H77" s="3">
        <v>0.1</v>
      </c>
      <c r="I77" t="s">
        <v>17</v>
      </c>
      <c r="J77" t="s">
        <v>18</v>
      </c>
      <c r="K77" t="s">
        <v>55</v>
      </c>
      <c r="L77" s="2">
        <v>31752</v>
      </c>
      <c r="M77" t="s">
        <v>42</v>
      </c>
    </row>
    <row r="78" spans="1:13" x14ac:dyDescent="0.3">
      <c r="A78" t="s">
        <v>210</v>
      </c>
      <c r="B78" s="1">
        <v>46176</v>
      </c>
      <c r="C78" t="s">
        <v>211</v>
      </c>
      <c r="D78" t="s">
        <v>168</v>
      </c>
      <c r="E78" t="s">
        <v>161</v>
      </c>
      <c r="F78">
        <v>4</v>
      </c>
      <c r="G78" s="2">
        <v>2470</v>
      </c>
      <c r="H78" s="3">
        <v>0.15</v>
      </c>
      <c r="I78" t="s">
        <v>17</v>
      </c>
      <c r="J78" t="s">
        <v>31</v>
      </c>
      <c r="K78" t="s">
        <v>67</v>
      </c>
      <c r="L78" s="2">
        <v>8398</v>
      </c>
      <c r="M78" t="s">
        <v>48</v>
      </c>
    </row>
    <row r="79" spans="1:13" x14ac:dyDescent="0.3">
      <c r="A79" t="s">
        <v>212</v>
      </c>
      <c r="B79" s="1">
        <v>46033</v>
      </c>
      <c r="C79" t="s">
        <v>213</v>
      </c>
      <c r="D79" t="s">
        <v>29</v>
      </c>
      <c r="E79" t="s">
        <v>30</v>
      </c>
      <c r="F79">
        <v>2</v>
      </c>
      <c r="G79" s="2">
        <v>1800</v>
      </c>
      <c r="H79" s="3">
        <v>0.2</v>
      </c>
      <c r="I79" t="s">
        <v>17</v>
      </c>
      <c r="J79" t="s">
        <v>18</v>
      </c>
      <c r="K79" t="s">
        <v>55</v>
      </c>
      <c r="L79" s="2">
        <v>2880</v>
      </c>
      <c r="M79" t="s">
        <v>42</v>
      </c>
    </row>
    <row r="80" spans="1:13" x14ac:dyDescent="0.3">
      <c r="A80" t="s">
        <v>214</v>
      </c>
      <c r="B80" s="1">
        <v>46143</v>
      </c>
      <c r="C80" t="s">
        <v>215</v>
      </c>
      <c r="D80" t="s">
        <v>35</v>
      </c>
      <c r="E80" t="s">
        <v>161</v>
      </c>
      <c r="F80">
        <v>2</v>
      </c>
      <c r="G80" s="2">
        <v>2600</v>
      </c>
      <c r="H80" s="3">
        <v>0.2</v>
      </c>
      <c r="I80" t="s">
        <v>17</v>
      </c>
      <c r="J80" t="s">
        <v>18</v>
      </c>
      <c r="K80" t="s">
        <v>55</v>
      </c>
      <c r="L80" s="2">
        <v>4160</v>
      </c>
    </row>
    <row r="81" spans="1:13" x14ac:dyDescent="0.3">
      <c r="A81" t="s">
        <v>216</v>
      </c>
      <c r="B81" s="1">
        <v>46192</v>
      </c>
      <c r="C81" t="s">
        <v>217</v>
      </c>
      <c r="D81" t="s">
        <v>70</v>
      </c>
      <c r="E81" t="s">
        <v>51</v>
      </c>
      <c r="F81">
        <v>1</v>
      </c>
      <c r="G81" s="2">
        <v>18500</v>
      </c>
      <c r="H81" s="3">
        <v>0</v>
      </c>
      <c r="I81" t="s">
        <v>17</v>
      </c>
      <c r="J81" t="s">
        <v>18</v>
      </c>
      <c r="K81" t="s">
        <v>25</v>
      </c>
      <c r="L81" s="2">
        <v>18500</v>
      </c>
      <c r="M81" t="s">
        <v>20</v>
      </c>
    </row>
    <row r="82" spans="1:13" x14ac:dyDescent="0.3">
      <c r="A82" t="s">
        <v>218</v>
      </c>
      <c r="B82" s="1">
        <v>46191</v>
      </c>
      <c r="C82" t="s">
        <v>219</v>
      </c>
      <c r="D82" t="s">
        <v>90</v>
      </c>
      <c r="E82" t="s">
        <v>51</v>
      </c>
      <c r="F82">
        <v>2</v>
      </c>
      <c r="G82" s="2">
        <v>18500</v>
      </c>
      <c r="H82" s="3">
        <v>0</v>
      </c>
      <c r="I82" t="s">
        <v>17</v>
      </c>
      <c r="J82" t="s">
        <v>18</v>
      </c>
      <c r="K82" t="s">
        <v>19</v>
      </c>
      <c r="L82" s="2">
        <v>37000</v>
      </c>
      <c r="M82" t="s">
        <v>52</v>
      </c>
    </row>
    <row r="83" spans="1:13" x14ac:dyDescent="0.3">
      <c r="A83" t="s">
        <v>220</v>
      </c>
      <c r="B83" s="1">
        <v>46091</v>
      </c>
      <c r="C83" t="s">
        <v>221</v>
      </c>
      <c r="D83" t="s">
        <v>152</v>
      </c>
      <c r="E83" t="s">
        <v>30</v>
      </c>
      <c r="F83">
        <v>8</v>
      </c>
      <c r="G83" s="2">
        <v>1890</v>
      </c>
      <c r="H83" s="3">
        <v>0.1</v>
      </c>
      <c r="I83" t="s">
        <v>66</v>
      </c>
      <c r="J83" t="s">
        <v>31</v>
      </c>
      <c r="K83" t="s">
        <v>222</v>
      </c>
      <c r="L83" s="2">
        <v>13608</v>
      </c>
      <c r="M83" t="s">
        <v>52</v>
      </c>
    </row>
    <row r="84" spans="1:13" x14ac:dyDescent="0.3">
      <c r="A84" t="s">
        <v>223</v>
      </c>
      <c r="B84" s="1">
        <v>46063</v>
      </c>
      <c r="C84" t="s">
        <v>224</v>
      </c>
      <c r="D84" t="s">
        <v>45</v>
      </c>
      <c r="E84" t="s">
        <v>51</v>
      </c>
      <c r="F84">
        <v>1</v>
      </c>
      <c r="G84" s="2">
        <v>17575</v>
      </c>
      <c r="H84" s="3">
        <v>0.1</v>
      </c>
      <c r="I84" t="s">
        <v>17</v>
      </c>
      <c r="J84" t="s">
        <v>31</v>
      </c>
      <c r="K84" t="s">
        <v>41</v>
      </c>
      <c r="L84" s="2">
        <v>15817.5</v>
      </c>
      <c r="M84" t="s">
        <v>56</v>
      </c>
    </row>
    <row r="85" spans="1:13" x14ac:dyDescent="0.3">
      <c r="A85" t="s">
        <v>225</v>
      </c>
      <c r="B85" s="1">
        <v>46097</v>
      </c>
      <c r="C85" t="s">
        <v>148</v>
      </c>
      <c r="D85" t="s">
        <v>152</v>
      </c>
      <c r="E85" t="s">
        <v>85</v>
      </c>
      <c r="F85">
        <v>1</v>
      </c>
      <c r="G85" s="2">
        <v>48500</v>
      </c>
      <c r="H85" s="3">
        <v>0.1</v>
      </c>
      <c r="I85" t="s">
        <v>116</v>
      </c>
      <c r="J85" t="s">
        <v>71</v>
      </c>
      <c r="K85" t="s">
        <v>55</v>
      </c>
      <c r="L85" s="2">
        <v>43650</v>
      </c>
    </row>
    <row r="86" spans="1:13" x14ac:dyDescent="0.3">
      <c r="A86" t="s">
        <v>226</v>
      </c>
      <c r="B86" s="1">
        <v>46176</v>
      </c>
      <c r="C86" t="s">
        <v>227</v>
      </c>
      <c r="D86" t="s">
        <v>152</v>
      </c>
      <c r="E86" t="s">
        <v>85</v>
      </c>
      <c r="F86">
        <v>5</v>
      </c>
      <c r="G86" s="2">
        <v>50925</v>
      </c>
      <c r="H86" s="3">
        <v>0</v>
      </c>
      <c r="I86" t="s">
        <v>17</v>
      </c>
      <c r="J86" t="s">
        <v>47</v>
      </c>
      <c r="K86" t="s">
        <v>19</v>
      </c>
      <c r="L86" s="2">
        <v>254625</v>
      </c>
      <c r="M86" t="s">
        <v>26</v>
      </c>
    </row>
    <row r="87" spans="1:13" x14ac:dyDescent="0.3">
      <c r="A87" t="s">
        <v>228</v>
      </c>
      <c r="B87" s="1">
        <v>46099</v>
      </c>
      <c r="C87" t="s">
        <v>154</v>
      </c>
      <c r="D87" t="s">
        <v>90</v>
      </c>
      <c r="E87" t="s">
        <v>183</v>
      </c>
      <c r="F87">
        <v>3</v>
      </c>
      <c r="G87" s="2">
        <v>3200</v>
      </c>
      <c r="H87" s="3">
        <v>0.2</v>
      </c>
      <c r="I87" t="s">
        <v>17</v>
      </c>
      <c r="J87" t="s">
        <v>18</v>
      </c>
      <c r="K87" t="s">
        <v>67</v>
      </c>
      <c r="L87" s="2">
        <v>7680</v>
      </c>
      <c r="M87" t="s">
        <v>138</v>
      </c>
    </row>
    <row r="88" spans="1:13" x14ac:dyDescent="0.3">
      <c r="A88" t="s">
        <v>229</v>
      </c>
      <c r="B88" s="1">
        <v>46164</v>
      </c>
      <c r="C88" t="s">
        <v>230</v>
      </c>
      <c r="D88" t="s">
        <v>29</v>
      </c>
      <c r="E88" t="s">
        <v>51</v>
      </c>
      <c r="F88">
        <v>2</v>
      </c>
      <c r="G88" s="2">
        <v>18500</v>
      </c>
      <c r="H88" s="3">
        <v>0.05</v>
      </c>
      <c r="I88" t="s">
        <v>66</v>
      </c>
      <c r="J88" t="s">
        <v>71</v>
      </c>
      <c r="K88" t="s">
        <v>55</v>
      </c>
      <c r="L88" s="2">
        <v>35150</v>
      </c>
      <c r="M88" t="s">
        <v>20</v>
      </c>
    </row>
    <row r="89" spans="1:13" x14ac:dyDescent="0.3">
      <c r="A89" t="s">
        <v>231</v>
      </c>
      <c r="B89" s="1">
        <v>46104</v>
      </c>
      <c r="C89" t="s">
        <v>232</v>
      </c>
      <c r="D89" t="s">
        <v>123</v>
      </c>
      <c r="E89" t="s">
        <v>46</v>
      </c>
      <c r="F89">
        <v>3</v>
      </c>
      <c r="G89" s="2">
        <v>7800</v>
      </c>
      <c r="H89" s="3">
        <v>0.1</v>
      </c>
      <c r="I89" t="s">
        <v>17</v>
      </c>
      <c r="J89" t="s">
        <v>31</v>
      </c>
      <c r="K89" t="s">
        <v>41</v>
      </c>
      <c r="L89" s="2">
        <v>21060</v>
      </c>
      <c r="M89" t="s">
        <v>82</v>
      </c>
    </row>
    <row r="90" spans="1:13" x14ac:dyDescent="0.3">
      <c r="A90" t="s">
        <v>233</v>
      </c>
      <c r="B90" s="1">
        <v>46174</v>
      </c>
      <c r="C90" t="s">
        <v>234</v>
      </c>
      <c r="D90" t="s">
        <v>35</v>
      </c>
      <c r="E90" t="s">
        <v>63</v>
      </c>
      <c r="F90">
        <v>5</v>
      </c>
      <c r="G90" s="2">
        <v>2310</v>
      </c>
      <c r="H90" s="3">
        <v>0.1</v>
      </c>
      <c r="I90" t="s">
        <v>17</v>
      </c>
      <c r="J90" t="s">
        <v>71</v>
      </c>
      <c r="K90" t="s">
        <v>55</v>
      </c>
      <c r="L90" s="2">
        <v>10395</v>
      </c>
      <c r="M90" t="s">
        <v>59</v>
      </c>
    </row>
    <row r="91" spans="1:13" x14ac:dyDescent="0.3">
      <c r="A91" t="s">
        <v>235</v>
      </c>
      <c r="B91" s="1">
        <v>46042</v>
      </c>
      <c r="C91" t="s">
        <v>215</v>
      </c>
      <c r="D91" t="s">
        <v>62</v>
      </c>
      <c r="E91" t="s">
        <v>135</v>
      </c>
      <c r="F91">
        <v>2</v>
      </c>
      <c r="G91" s="2">
        <v>15960</v>
      </c>
      <c r="H91" s="3">
        <v>0.2</v>
      </c>
      <c r="I91" t="s">
        <v>17</v>
      </c>
      <c r="J91" t="s">
        <v>18</v>
      </c>
      <c r="K91" t="s">
        <v>67</v>
      </c>
      <c r="L91" s="2">
        <v>25536</v>
      </c>
      <c r="M91" t="s">
        <v>56</v>
      </c>
    </row>
    <row r="92" spans="1:13" x14ac:dyDescent="0.3">
      <c r="A92" t="s">
        <v>236</v>
      </c>
      <c r="B92" s="1">
        <v>46161</v>
      </c>
      <c r="C92" t="s">
        <v>237</v>
      </c>
      <c r="D92" t="s">
        <v>168</v>
      </c>
      <c r="E92" t="s">
        <v>183</v>
      </c>
      <c r="F92">
        <v>1</v>
      </c>
      <c r="G92" s="2">
        <v>3200</v>
      </c>
      <c r="H92" s="3">
        <v>0.2</v>
      </c>
      <c r="I92" t="s">
        <v>17</v>
      </c>
      <c r="J92" t="s">
        <v>31</v>
      </c>
      <c r="K92" t="s">
        <v>55</v>
      </c>
      <c r="L92" s="2">
        <v>2560</v>
      </c>
      <c r="M92" t="s">
        <v>42</v>
      </c>
    </row>
    <row r="93" spans="1:13" x14ac:dyDescent="0.3">
      <c r="A93" t="s">
        <v>238</v>
      </c>
      <c r="B93" s="1">
        <v>46185</v>
      </c>
      <c r="C93" t="s">
        <v>239</v>
      </c>
      <c r="D93" t="s">
        <v>123</v>
      </c>
      <c r="E93" t="s">
        <v>63</v>
      </c>
      <c r="F93">
        <v>2</v>
      </c>
      <c r="G93" s="2">
        <v>2090</v>
      </c>
      <c r="H93" s="3">
        <v>0.2</v>
      </c>
      <c r="I93" t="s">
        <v>17</v>
      </c>
      <c r="J93" t="s">
        <v>47</v>
      </c>
      <c r="K93" t="s">
        <v>19</v>
      </c>
      <c r="L93" s="2">
        <v>3344</v>
      </c>
      <c r="M93" t="s">
        <v>26</v>
      </c>
    </row>
    <row r="94" spans="1:13" x14ac:dyDescent="0.3">
      <c r="A94" t="s">
        <v>240</v>
      </c>
      <c r="B94" s="1">
        <v>46114</v>
      </c>
      <c r="C94" t="s">
        <v>241</v>
      </c>
      <c r="D94" t="s">
        <v>35</v>
      </c>
      <c r="E94" t="s">
        <v>161</v>
      </c>
      <c r="F94">
        <v>1</v>
      </c>
      <c r="G94" s="2">
        <v>2600</v>
      </c>
      <c r="H94" s="3">
        <v>0.15</v>
      </c>
      <c r="I94" t="s">
        <v>17</v>
      </c>
      <c r="J94" t="s">
        <v>71</v>
      </c>
      <c r="K94" t="s">
        <v>19</v>
      </c>
      <c r="L94" s="2">
        <v>2210</v>
      </c>
      <c r="M94" t="s">
        <v>48</v>
      </c>
    </row>
    <row r="95" spans="1:13" x14ac:dyDescent="0.3">
      <c r="A95" t="s">
        <v>242</v>
      </c>
      <c r="B95" s="1">
        <v>46120</v>
      </c>
      <c r="C95" t="s">
        <v>243</v>
      </c>
      <c r="D95" t="s">
        <v>40</v>
      </c>
      <c r="E95" t="s">
        <v>74</v>
      </c>
      <c r="F95">
        <v>1</v>
      </c>
      <c r="G95" s="2">
        <v>2520</v>
      </c>
      <c r="H95" s="3">
        <v>0.15</v>
      </c>
      <c r="I95" t="s">
        <v>17</v>
      </c>
      <c r="J95" t="s">
        <v>18</v>
      </c>
      <c r="K95" t="s">
        <v>67</v>
      </c>
      <c r="L95" s="2">
        <v>2142</v>
      </c>
      <c r="M95" t="s">
        <v>20</v>
      </c>
    </row>
    <row r="96" spans="1:13" x14ac:dyDescent="0.3">
      <c r="A96" t="s">
        <v>244</v>
      </c>
      <c r="B96" s="1">
        <v>46142</v>
      </c>
      <c r="C96" t="s">
        <v>115</v>
      </c>
      <c r="D96" t="s">
        <v>77</v>
      </c>
      <c r="E96" t="s">
        <v>135</v>
      </c>
      <c r="F96">
        <v>3</v>
      </c>
      <c r="G96" s="2">
        <v>16800</v>
      </c>
      <c r="H96" s="3">
        <v>0</v>
      </c>
      <c r="I96" t="s">
        <v>17</v>
      </c>
      <c r="J96" t="s">
        <v>18</v>
      </c>
      <c r="K96" t="s">
        <v>67</v>
      </c>
      <c r="L96" s="2">
        <v>50400</v>
      </c>
      <c r="M96" t="s">
        <v>56</v>
      </c>
    </row>
    <row r="97" spans="1:13" x14ac:dyDescent="0.3">
      <c r="A97" t="s">
        <v>245</v>
      </c>
      <c r="B97" s="1">
        <v>46100</v>
      </c>
      <c r="C97" t="s">
        <v>246</v>
      </c>
      <c r="D97" t="s">
        <v>23</v>
      </c>
      <c r="E97" t="s">
        <v>161</v>
      </c>
      <c r="F97">
        <v>5</v>
      </c>
      <c r="G97" s="2">
        <v>2600</v>
      </c>
      <c r="H97" s="3">
        <v>0</v>
      </c>
      <c r="I97" t="s">
        <v>17</v>
      </c>
      <c r="J97" t="s">
        <v>47</v>
      </c>
      <c r="K97" t="s">
        <v>19</v>
      </c>
      <c r="L97" s="2">
        <v>13000</v>
      </c>
      <c r="M97" t="s">
        <v>32</v>
      </c>
    </row>
    <row r="98" spans="1:13" x14ac:dyDescent="0.3">
      <c r="A98" t="s">
        <v>247</v>
      </c>
      <c r="B98" s="1">
        <v>46093</v>
      </c>
      <c r="C98" t="s">
        <v>248</v>
      </c>
      <c r="D98" t="s">
        <v>168</v>
      </c>
      <c r="E98" t="s">
        <v>183</v>
      </c>
      <c r="F98">
        <v>5</v>
      </c>
      <c r="G98" s="2">
        <v>3360</v>
      </c>
      <c r="H98" s="3">
        <v>0.2</v>
      </c>
      <c r="I98" t="s">
        <v>116</v>
      </c>
      <c r="J98" t="s">
        <v>71</v>
      </c>
      <c r="K98" t="s">
        <v>25</v>
      </c>
      <c r="L98" s="2">
        <v>13440</v>
      </c>
      <c r="M98" t="s">
        <v>138</v>
      </c>
    </row>
    <row r="99" spans="1:13" x14ac:dyDescent="0.3">
      <c r="A99" t="s">
        <v>249</v>
      </c>
      <c r="B99" s="1">
        <v>46079</v>
      </c>
      <c r="C99" t="s">
        <v>250</v>
      </c>
      <c r="D99" t="s">
        <v>95</v>
      </c>
      <c r="E99" t="s">
        <v>24</v>
      </c>
      <c r="F99">
        <v>3</v>
      </c>
      <c r="G99" s="2">
        <v>11200</v>
      </c>
      <c r="H99" s="3">
        <v>0.2</v>
      </c>
      <c r="I99" t="s">
        <v>17</v>
      </c>
      <c r="J99" t="s">
        <v>31</v>
      </c>
      <c r="K99" t="s">
        <v>67</v>
      </c>
      <c r="L99" s="2">
        <v>26880</v>
      </c>
      <c r="M99" t="s">
        <v>56</v>
      </c>
    </row>
    <row r="100" spans="1:13" x14ac:dyDescent="0.3">
      <c r="A100" t="s">
        <v>251</v>
      </c>
      <c r="B100" s="1">
        <v>46031</v>
      </c>
      <c r="C100" t="s">
        <v>252</v>
      </c>
      <c r="D100" t="s">
        <v>40</v>
      </c>
      <c r="E100" t="s">
        <v>36</v>
      </c>
      <c r="F100">
        <v>4</v>
      </c>
      <c r="G100" s="2">
        <v>1400</v>
      </c>
      <c r="H100" s="3">
        <v>0</v>
      </c>
      <c r="I100" t="s">
        <v>80</v>
      </c>
      <c r="J100" t="s">
        <v>71</v>
      </c>
      <c r="K100" t="s">
        <v>41</v>
      </c>
      <c r="L100" s="2">
        <v>5600</v>
      </c>
      <c r="M100" t="s">
        <v>59</v>
      </c>
    </row>
    <row r="101" spans="1:13" x14ac:dyDescent="0.3">
      <c r="A101" t="s">
        <v>253</v>
      </c>
      <c r="B101" s="1">
        <v>46161</v>
      </c>
      <c r="C101" t="s">
        <v>254</v>
      </c>
      <c r="D101" t="s">
        <v>77</v>
      </c>
      <c r="E101" t="s">
        <v>36</v>
      </c>
      <c r="F101">
        <v>2</v>
      </c>
      <c r="G101" s="2">
        <v>1400</v>
      </c>
      <c r="H101" s="3">
        <v>0.05</v>
      </c>
      <c r="I101" t="s">
        <v>66</v>
      </c>
      <c r="J101" t="s">
        <v>47</v>
      </c>
      <c r="K101" t="s">
        <v>81</v>
      </c>
      <c r="L101" s="2">
        <v>2660</v>
      </c>
      <c r="M101" t="s">
        <v>42</v>
      </c>
    </row>
    <row r="102" spans="1:13" x14ac:dyDescent="0.3">
      <c r="A102" t="s">
        <v>255</v>
      </c>
      <c r="B102" s="1">
        <v>46142</v>
      </c>
      <c r="C102" t="s">
        <v>256</v>
      </c>
      <c r="D102" t="s">
        <v>15</v>
      </c>
      <c r="E102" t="s">
        <v>30</v>
      </c>
      <c r="F102">
        <v>4</v>
      </c>
      <c r="G102" s="2">
        <v>1890</v>
      </c>
      <c r="H102" s="3">
        <v>0</v>
      </c>
      <c r="I102" t="s">
        <v>66</v>
      </c>
      <c r="J102" t="s">
        <v>31</v>
      </c>
      <c r="K102" t="s">
        <v>55</v>
      </c>
      <c r="L102" s="2">
        <v>7560</v>
      </c>
      <c r="M102" t="s">
        <v>20</v>
      </c>
    </row>
    <row r="103" spans="1:13" x14ac:dyDescent="0.3">
      <c r="A103" t="s">
        <v>257</v>
      </c>
      <c r="B103" s="1">
        <v>46090</v>
      </c>
      <c r="C103" t="s">
        <v>258</v>
      </c>
      <c r="D103" t="s">
        <v>152</v>
      </c>
      <c r="E103" t="s">
        <v>63</v>
      </c>
      <c r="F103">
        <v>2</v>
      </c>
      <c r="G103" s="2">
        <v>2200</v>
      </c>
      <c r="H103" s="3">
        <v>0.2</v>
      </c>
      <c r="I103" t="s">
        <v>17</v>
      </c>
      <c r="J103" t="s">
        <v>47</v>
      </c>
      <c r="K103" t="s">
        <v>19</v>
      </c>
      <c r="L103" s="2">
        <v>3520</v>
      </c>
      <c r="M103" t="s">
        <v>52</v>
      </c>
    </row>
    <row r="104" spans="1:13" x14ac:dyDescent="0.3">
      <c r="A104" t="s">
        <v>259</v>
      </c>
      <c r="B104" s="1">
        <v>46143</v>
      </c>
      <c r="C104" t="s">
        <v>260</v>
      </c>
      <c r="D104" t="s">
        <v>168</v>
      </c>
      <c r="E104" t="s">
        <v>183</v>
      </c>
      <c r="F104">
        <v>5</v>
      </c>
      <c r="G104" s="2">
        <v>3200</v>
      </c>
      <c r="H104" s="3">
        <v>0.15</v>
      </c>
      <c r="I104" t="s">
        <v>17</v>
      </c>
      <c r="J104" t="s">
        <v>18</v>
      </c>
      <c r="K104" t="s">
        <v>67</v>
      </c>
      <c r="L104" s="2">
        <v>13600</v>
      </c>
      <c r="M104" t="s">
        <v>32</v>
      </c>
    </row>
    <row r="105" spans="1:13" x14ac:dyDescent="0.3">
      <c r="A105" t="s">
        <v>261</v>
      </c>
      <c r="B105" s="1">
        <v>46052</v>
      </c>
      <c r="C105" t="s">
        <v>250</v>
      </c>
      <c r="D105" t="s">
        <v>50</v>
      </c>
      <c r="E105" t="s">
        <v>16</v>
      </c>
      <c r="F105">
        <v>8</v>
      </c>
      <c r="G105" s="2">
        <v>617.5</v>
      </c>
      <c r="H105" s="3">
        <v>0.05</v>
      </c>
      <c r="I105" t="s">
        <v>116</v>
      </c>
      <c r="J105" t="s">
        <v>71</v>
      </c>
      <c r="K105" t="s">
        <v>25</v>
      </c>
      <c r="L105" s="2">
        <v>4693</v>
      </c>
      <c r="M105" t="s">
        <v>59</v>
      </c>
    </row>
    <row r="106" spans="1:13" x14ac:dyDescent="0.3">
      <c r="A106" t="s">
        <v>262</v>
      </c>
      <c r="B106" s="1">
        <v>46122</v>
      </c>
      <c r="C106" t="s">
        <v>101</v>
      </c>
      <c r="D106" t="s">
        <v>62</v>
      </c>
      <c r="E106" t="s">
        <v>36</v>
      </c>
      <c r="F106">
        <v>3</v>
      </c>
      <c r="G106" s="2">
        <v>1470</v>
      </c>
      <c r="H106" s="3">
        <v>0.2</v>
      </c>
      <c r="I106" t="s">
        <v>17</v>
      </c>
      <c r="J106" t="s">
        <v>18</v>
      </c>
      <c r="K106" t="s">
        <v>19</v>
      </c>
      <c r="L106" s="2">
        <v>3528</v>
      </c>
      <c r="M106" t="s">
        <v>56</v>
      </c>
    </row>
    <row r="107" spans="1:13" x14ac:dyDescent="0.3">
      <c r="A107" t="s">
        <v>263</v>
      </c>
      <c r="B107" s="1">
        <v>46180</v>
      </c>
      <c r="C107" t="s">
        <v>264</v>
      </c>
      <c r="D107" t="s">
        <v>70</v>
      </c>
      <c r="E107" t="s">
        <v>135</v>
      </c>
      <c r="F107">
        <v>1</v>
      </c>
      <c r="G107" s="2">
        <v>17640</v>
      </c>
      <c r="H107" s="3">
        <v>0.05</v>
      </c>
      <c r="I107" t="s">
        <v>17</v>
      </c>
      <c r="J107" t="s">
        <v>47</v>
      </c>
      <c r="K107" t="s">
        <v>19</v>
      </c>
      <c r="L107" s="2">
        <v>16758</v>
      </c>
      <c r="M107" t="s">
        <v>138</v>
      </c>
    </row>
    <row r="108" spans="1:13" x14ac:dyDescent="0.3">
      <c r="A108" t="s">
        <v>265</v>
      </c>
      <c r="B108" s="1">
        <v>46162</v>
      </c>
      <c r="C108" t="s">
        <v>266</v>
      </c>
      <c r="D108" t="s">
        <v>77</v>
      </c>
      <c r="E108" t="s">
        <v>74</v>
      </c>
      <c r="F108">
        <v>2</v>
      </c>
      <c r="G108" s="2">
        <v>2280</v>
      </c>
      <c r="H108" s="3">
        <v>0.1</v>
      </c>
      <c r="I108" t="s">
        <v>17</v>
      </c>
      <c r="J108" t="s">
        <v>31</v>
      </c>
      <c r="K108" t="s">
        <v>41</v>
      </c>
      <c r="L108" s="2">
        <v>4104</v>
      </c>
      <c r="M108" t="s">
        <v>48</v>
      </c>
    </row>
    <row r="109" spans="1:13" x14ac:dyDescent="0.3">
      <c r="A109" t="s">
        <v>267</v>
      </c>
      <c r="B109" s="1">
        <v>46028</v>
      </c>
      <c r="C109" t="s">
        <v>113</v>
      </c>
      <c r="D109" t="s">
        <v>168</v>
      </c>
      <c r="E109" t="s">
        <v>36</v>
      </c>
      <c r="F109">
        <v>1</v>
      </c>
      <c r="G109" s="2">
        <v>1400</v>
      </c>
      <c r="H109" s="3">
        <v>0</v>
      </c>
      <c r="I109" t="s">
        <v>17</v>
      </c>
      <c r="J109" t="s">
        <v>71</v>
      </c>
      <c r="K109" t="s">
        <v>25</v>
      </c>
      <c r="L109" s="2">
        <v>1400</v>
      </c>
      <c r="M109" t="s">
        <v>52</v>
      </c>
    </row>
    <row r="110" spans="1:13" x14ac:dyDescent="0.3">
      <c r="A110" t="s">
        <v>268</v>
      </c>
      <c r="B110" s="1">
        <v>46082</v>
      </c>
      <c r="C110" t="s">
        <v>269</v>
      </c>
      <c r="D110" t="s">
        <v>35</v>
      </c>
      <c r="E110" t="s">
        <v>30</v>
      </c>
      <c r="F110">
        <v>4</v>
      </c>
      <c r="G110" s="2">
        <v>1800</v>
      </c>
      <c r="H110" s="3">
        <v>0.15</v>
      </c>
      <c r="I110" t="s">
        <v>17</v>
      </c>
      <c r="J110" t="s">
        <v>47</v>
      </c>
      <c r="K110" t="s">
        <v>41</v>
      </c>
      <c r="L110" s="2">
        <v>6120</v>
      </c>
      <c r="M110" t="s">
        <v>42</v>
      </c>
    </row>
    <row r="111" spans="1:13" x14ac:dyDescent="0.3">
      <c r="A111" t="s">
        <v>270</v>
      </c>
      <c r="B111" s="1">
        <v>46192</v>
      </c>
      <c r="C111" t="s">
        <v>271</v>
      </c>
      <c r="D111" t="s">
        <v>90</v>
      </c>
      <c r="E111" t="s">
        <v>16</v>
      </c>
      <c r="F111">
        <v>1</v>
      </c>
      <c r="G111" s="2">
        <v>650</v>
      </c>
      <c r="H111" s="3">
        <v>0.05</v>
      </c>
      <c r="I111" t="s">
        <v>17</v>
      </c>
      <c r="J111" t="s">
        <v>31</v>
      </c>
      <c r="K111" t="s">
        <v>41</v>
      </c>
      <c r="L111" s="2">
        <v>617.5</v>
      </c>
      <c r="M111" t="s">
        <v>26</v>
      </c>
    </row>
    <row r="112" spans="1:13" x14ac:dyDescent="0.3">
      <c r="A112" t="s">
        <v>272</v>
      </c>
      <c r="B112" s="1">
        <v>46036</v>
      </c>
      <c r="C112" t="s">
        <v>188</v>
      </c>
      <c r="D112" t="s">
        <v>50</v>
      </c>
      <c r="E112" t="s">
        <v>85</v>
      </c>
      <c r="F112">
        <v>2</v>
      </c>
      <c r="G112" s="2">
        <v>50925</v>
      </c>
      <c r="H112" s="3">
        <v>0</v>
      </c>
      <c r="I112" t="s">
        <v>17</v>
      </c>
      <c r="J112" t="s">
        <v>47</v>
      </c>
      <c r="K112" t="s">
        <v>25</v>
      </c>
      <c r="L112" s="2">
        <v>101850</v>
      </c>
      <c r="M112" t="s">
        <v>48</v>
      </c>
    </row>
    <row r="113" spans="1:13" x14ac:dyDescent="0.3">
      <c r="A113" t="s">
        <v>273</v>
      </c>
      <c r="B113" s="1">
        <v>46050</v>
      </c>
      <c r="C113" t="s">
        <v>274</v>
      </c>
      <c r="D113" t="s">
        <v>62</v>
      </c>
      <c r="E113" t="s">
        <v>51</v>
      </c>
      <c r="F113">
        <v>1</v>
      </c>
      <c r="G113" s="2">
        <v>18500</v>
      </c>
      <c r="H113" s="3">
        <v>0.15</v>
      </c>
      <c r="I113" t="s">
        <v>17</v>
      </c>
      <c r="J113" t="s">
        <v>31</v>
      </c>
      <c r="K113" t="s">
        <v>19</v>
      </c>
      <c r="L113" s="2">
        <v>15725</v>
      </c>
      <c r="M113" t="s">
        <v>56</v>
      </c>
    </row>
    <row r="114" spans="1:13" x14ac:dyDescent="0.3">
      <c r="A114" t="s">
        <v>275</v>
      </c>
      <c r="B114" s="1">
        <v>46125</v>
      </c>
      <c r="C114" t="s">
        <v>276</v>
      </c>
      <c r="D114" t="s">
        <v>70</v>
      </c>
      <c r="E114" t="s">
        <v>74</v>
      </c>
      <c r="F114">
        <v>1</v>
      </c>
      <c r="G114" s="2">
        <v>2280</v>
      </c>
      <c r="H114" s="3">
        <v>0.2</v>
      </c>
      <c r="I114" t="s">
        <v>80</v>
      </c>
      <c r="J114" t="s">
        <v>47</v>
      </c>
      <c r="K114" t="s">
        <v>25</v>
      </c>
      <c r="L114" s="2">
        <v>1824</v>
      </c>
      <c r="M114" t="s">
        <v>59</v>
      </c>
    </row>
    <row r="115" spans="1:13" x14ac:dyDescent="0.3">
      <c r="A115" t="s">
        <v>277</v>
      </c>
      <c r="B115" s="1">
        <v>46039</v>
      </c>
      <c r="C115" t="s">
        <v>258</v>
      </c>
      <c r="D115" t="s">
        <v>50</v>
      </c>
      <c r="E115" t="s">
        <v>135</v>
      </c>
      <c r="F115">
        <v>3</v>
      </c>
      <c r="G115" s="2">
        <v>16800</v>
      </c>
      <c r="H115" s="3">
        <v>0.15</v>
      </c>
      <c r="I115" t="s">
        <v>17</v>
      </c>
      <c r="J115" t="s">
        <v>47</v>
      </c>
      <c r="K115" t="s">
        <v>55</v>
      </c>
      <c r="L115" s="2">
        <v>42840</v>
      </c>
      <c r="M115" t="s">
        <v>82</v>
      </c>
    </row>
    <row r="116" spans="1:13" x14ac:dyDescent="0.3">
      <c r="A116" t="s">
        <v>278</v>
      </c>
      <c r="B116" s="1">
        <v>46177</v>
      </c>
      <c r="C116" t="s">
        <v>279</v>
      </c>
      <c r="D116" t="s">
        <v>70</v>
      </c>
      <c r="E116" t="s">
        <v>63</v>
      </c>
      <c r="F116">
        <v>4</v>
      </c>
      <c r="G116" s="2">
        <v>2200</v>
      </c>
      <c r="H116" s="3">
        <v>0</v>
      </c>
      <c r="I116" t="s">
        <v>66</v>
      </c>
      <c r="J116" t="s">
        <v>18</v>
      </c>
      <c r="K116" t="s">
        <v>41</v>
      </c>
      <c r="L116" s="2">
        <v>8800</v>
      </c>
      <c r="M116" t="s">
        <v>32</v>
      </c>
    </row>
    <row r="117" spans="1:13" x14ac:dyDescent="0.3">
      <c r="A117" t="s">
        <v>280</v>
      </c>
      <c r="B117" s="1">
        <v>46109</v>
      </c>
      <c r="C117" t="s">
        <v>281</v>
      </c>
      <c r="D117" t="s">
        <v>90</v>
      </c>
      <c r="E117" t="s">
        <v>46</v>
      </c>
      <c r="F117">
        <v>2</v>
      </c>
      <c r="G117" s="2">
        <v>8190</v>
      </c>
      <c r="H117" s="3">
        <v>0.2</v>
      </c>
      <c r="I117" t="s">
        <v>17</v>
      </c>
      <c r="J117" t="s">
        <v>47</v>
      </c>
      <c r="K117" t="s">
        <v>67</v>
      </c>
      <c r="L117" s="2">
        <v>13104</v>
      </c>
      <c r="M117" t="s">
        <v>59</v>
      </c>
    </row>
    <row r="118" spans="1:13" x14ac:dyDescent="0.3">
      <c r="A118" t="s">
        <v>282</v>
      </c>
      <c r="B118" s="1">
        <v>46198</v>
      </c>
      <c r="C118" t="s">
        <v>283</v>
      </c>
      <c r="D118" t="s">
        <v>77</v>
      </c>
      <c r="E118" t="s">
        <v>46</v>
      </c>
      <c r="F118">
        <v>1</v>
      </c>
      <c r="G118" s="2">
        <v>7410</v>
      </c>
      <c r="H118" s="3">
        <v>0</v>
      </c>
      <c r="I118" t="s">
        <v>17</v>
      </c>
      <c r="J118" t="s">
        <v>71</v>
      </c>
      <c r="K118" t="s">
        <v>25</v>
      </c>
      <c r="L118" s="2">
        <v>7410</v>
      </c>
      <c r="M118" t="s">
        <v>20</v>
      </c>
    </row>
    <row r="119" spans="1:13" x14ac:dyDescent="0.3">
      <c r="A119" t="s">
        <v>284</v>
      </c>
      <c r="B119" s="1">
        <v>46173</v>
      </c>
      <c r="C119" t="s">
        <v>285</v>
      </c>
      <c r="D119" t="s">
        <v>152</v>
      </c>
      <c r="E119" t="s">
        <v>51</v>
      </c>
      <c r="F119">
        <v>2</v>
      </c>
      <c r="G119" s="2">
        <v>19425</v>
      </c>
      <c r="H119" s="3">
        <v>0</v>
      </c>
      <c r="I119" t="s">
        <v>17</v>
      </c>
      <c r="J119" t="s">
        <v>47</v>
      </c>
      <c r="K119" t="s">
        <v>25</v>
      </c>
      <c r="L119" s="2">
        <v>38850</v>
      </c>
      <c r="M119" t="s">
        <v>26</v>
      </c>
    </row>
    <row r="120" spans="1:13" x14ac:dyDescent="0.3">
      <c r="A120" t="s">
        <v>286</v>
      </c>
      <c r="B120" s="1">
        <v>46113</v>
      </c>
      <c r="C120" t="s">
        <v>94</v>
      </c>
      <c r="D120" t="s">
        <v>15</v>
      </c>
      <c r="E120" t="s">
        <v>183</v>
      </c>
      <c r="F120">
        <v>2</v>
      </c>
      <c r="G120" s="2">
        <v>3200</v>
      </c>
      <c r="H120" s="3">
        <v>0</v>
      </c>
      <c r="I120" t="s">
        <v>17</v>
      </c>
      <c r="J120" t="s">
        <v>47</v>
      </c>
      <c r="K120" t="s">
        <v>25</v>
      </c>
      <c r="L120" s="2">
        <v>6400</v>
      </c>
      <c r="M120" t="s">
        <v>138</v>
      </c>
    </row>
    <row r="121" spans="1:13" x14ac:dyDescent="0.3">
      <c r="A121" t="s">
        <v>287</v>
      </c>
      <c r="B121" s="1">
        <v>46052</v>
      </c>
      <c r="C121" t="s">
        <v>129</v>
      </c>
      <c r="D121" t="s">
        <v>29</v>
      </c>
      <c r="E121" t="s">
        <v>135</v>
      </c>
      <c r="F121">
        <v>3</v>
      </c>
      <c r="G121" s="2">
        <v>15960</v>
      </c>
      <c r="H121" s="3">
        <v>0.1</v>
      </c>
      <c r="I121" t="s">
        <v>66</v>
      </c>
      <c r="J121" t="s">
        <v>31</v>
      </c>
      <c r="K121" t="s">
        <v>41</v>
      </c>
      <c r="L121" s="2">
        <v>43092</v>
      </c>
      <c r="M121" t="s">
        <v>26</v>
      </c>
    </row>
    <row r="122" spans="1:13" x14ac:dyDescent="0.3">
      <c r="A122" t="s">
        <v>288</v>
      </c>
      <c r="B122" s="1">
        <v>46202</v>
      </c>
      <c r="C122" t="s">
        <v>289</v>
      </c>
      <c r="D122" t="s">
        <v>29</v>
      </c>
      <c r="E122" t="s">
        <v>135</v>
      </c>
      <c r="F122">
        <v>8</v>
      </c>
      <c r="G122" s="2">
        <v>16800</v>
      </c>
      <c r="H122" s="3">
        <v>0.05</v>
      </c>
      <c r="I122" t="s">
        <v>17</v>
      </c>
      <c r="J122" t="s">
        <v>31</v>
      </c>
      <c r="K122" t="s">
        <v>41</v>
      </c>
      <c r="L122" s="2">
        <v>127680</v>
      </c>
      <c r="M122" t="s">
        <v>20</v>
      </c>
    </row>
    <row r="123" spans="1:13" x14ac:dyDescent="0.3">
      <c r="A123" t="s">
        <v>290</v>
      </c>
      <c r="B123" s="1">
        <v>46046</v>
      </c>
      <c r="C123" t="s">
        <v>291</v>
      </c>
      <c r="D123" t="s">
        <v>123</v>
      </c>
      <c r="E123" t="s">
        <v>51</v>
      </c>
      <c r="F123">
        <v>1</v>
      </c>
      <c r="G123" s="2">
        <v>18500</v>
      </c>
      <c r="H123" s="3">
        <v>0.1</v>
      </c>
      <c r="I123" t="s">
        <v>17</v>
      </c>
      <c r="J123" t="s">
        <v>47</v>
      </c>
      <c r="K123" t="s">
        <v>67</v>
      </c>
      <c r="L123" s="2">
        <v>16650</v>
      </c>
      <c r="M123" t="s">
        <v>48</v>
      </c>
    </row>
    <row r="124" spans="1:13" x14ac:dyDescent="0.3">
      <c r="A124" t="s">
        <v>292</v>
      </c>
      <c r="B124" s="1">
        <v>46175</v>
      </c>
      <c r="C124" t="s">
        <v>209</v>
      </c>
      <c r="D124" t="s">
        <v>15</v>
      </c>
      <c r="E124" t="s">
        <v>16</v>
      </c>
      <c r="F124">
        <v>1</v>
      </c>
      <c r="G124" s="2">
        <v>617.5</v>
      </c>
      <c r="H124" s="3">
        <v>0.15</v>
      </c>
      <c r="I124" t="s">
        <v>17</v>
      </c>
      <c r="J124" t="s">
        <v>18</v>
      </c>
      <c r="K124" t="s">
        <v>55</v>
      </c>
      <c r="L124" s="2">
        <v>524.88</v>
      </c>
      <c r="M124" t="s">
        <v>56</v>
      </c>
    </row>
    <row r="125" spans="1:13" x14ac:dyDescent="0.3">
      <c r="A125" t="s">
        <v>293</v>
      </c>
      <c r="B125" s="1">
        <v>46178</v>
      </c>
      <c r="C125" t="s">
        <v>294</v>
      </c>
      <c r="D125" t="s">
        <v>62</v>
      </c>
      <c r="E125" t="s">
        <v>161</v>
      </c>
      <c r="F125">
        <v>1</v>
      </c>
      <c r="G125" s="2">
        <v>2730</v>
      </c>
      <c r="H125" s="3">
        <v>0.15</v>
      </c>
      <c r="I125" t="s">
        <v>17</v>
      </c>
      <c r="J125" t="s">
        <v>47</v>
      </c>
      <c r="K125" t="s">
        <v>25</v>
      </c>
      <c r="L125" s="2">
        <v>2320.5</v>
      </c>
      <c r="M125" t="s">
        <v>56</v>
      </c>
    </row>
    <row r="126" spans="1:13" x14ac:dyDescent="0.3">
      <c r="A126" t="s">
        <v>295</v>
      </c>
      <c r="B126" s="1">
        <v>46157</v>
      </c>
      <c r="C126" t="s">
        <v>296</v>
      </c>
      <c r="D126" t="s">
        <v>95</v>
      </c>
      <c r="E126" t="s">
        <v>135</v>
      </c>
      <c r="F126">
        <v>1</v>
      </c>
      <c r="G126" s="2">
        <v>15960</v>
      </c>
      <c r="H126" s="3">
        <v>0.1</v>
      </c>
      <c r="I126" t="s">
        <v>116</v>
      </c>
      <c r="J126" t="s">
        <v>71</v>
      </c>
      <c r="K126" t="s">
        <v>67</v>
      </c>
      <c r="L126" s="2">
        <v>14364</v>
      </c>
      <c r="M126" t="s">
        <v>52</v>
      </c>
    </row>
    <row r="127" spans="1:13" x14ac:dyDescent="0.3">
      <c r="A127" t="s">
        <v>297</v>
      </c>
      <c r="B127" s="1">
        <v>46058</v>
      </c>
      <c r="C127" t="s">
        <v>298</v>
      </c>
      <c r="D127" t="s">
        <v>29</v>
      </c>
      <c r="E127" t="s">
        <v>135</v>
      </c>
      <c r="F127">
        <v>1</v>
      </c>
      <c r="G127" s="2">
        <v>17640</v>
      </c>
      <c r="H127" s="3">
        <v>0</v>
      </c>
      <c r="I127" t="s">
        <v>17</v>
      </c>
      <c r="J127" t="s">
        <v>71</v>
      </c>
      <c r="K127" t="s">
        <v>55</v>
      </c>
      <c r="L127" s="2">
        <v>17640</v>
      </c>
      <c r="M127" t="s">
        <v>82</v>
      </c>
    </row>
    <row r="128" spans="1:13" x14ac:dyDescent="0.3">
      <c r="A128" t="s">
        <v>299</v>
      </c>
      <c r="B128" s="1">
        <v>46203</v>
      </c>
      <c r="C128" t="s">
        <v>300</v>
      </c>
      <c r="D128" t="s">
        <v>23</v>
      </c>
      <c r="E128" t="s">
        <v>51</v>
      </c>
      <c r="F128">
        <v>3</v>
      </c>
      <c r="G128" s="2">
        <v>17575</v>
      </c>
      <c r="H128" s="3">
        <v>0.2</v>
      </c>
      <c r="I128" t="s">
        <v>17</v>
      </c>
      <c r="J128" t="s">
        <v>31</v>
      </c>
      <c r="K128" t="s">
        <v>55</v>
      </c>
      <c r="L128" s="2">
        <v>42180</v>
      </c>
      <c r="M128" t="s">
        <v>20</v>
      </c>
    </row>
    <row r="129" spans="1:13" x14ac:dyDescent="0.3">
      <c r="A129" t="s">
        <v>301</v>
      </c>
      <c r="B129" s="1">
        <v>46140</v>
      </c>
      <c r="C129" t="s">
        <v>302</v>
      </c>
      <c r="D129" t="s">
        <v>77</v>
      </c>
      <c r="E129" t="s">
        <v>63</v>
      </c>
      <c r="F129">
        <v>5</v>
      </c>
      <c r="G129" s="2">
        <v>2310</v>
      </c>
      <c r="H129" s="3">
        <v>0.15</v>
      </c>
      <c r="I129" t="s">
        <v>17</v>
      </c>
      <c r="J129" t="s">
        <v>47</v>
      </c>
      <c r="K129" t="s">
        <v>19</v>
      </c>
      <c r="L129" s="2">
        <v>9817.5</v>
      </c>
      <c r="M129" t="s">
        <v>32</v>
      </c>
    </row>
    <row r="130" spans="1:13" x14ac:dyDescent="0.3">
      <c r="A130" t="s">
        <v>303</v>
      </c>
      <c r="B130" s="1">
        <v>46028</v>
      </c>
      <c r="C130" t="s">
        <v>304</v>
      </c>
      <c r="D130" t="s">
        <v>35</v>
      </c>
      <c r="E130" t="s">
        <v>30</v>
      </c>
      <c r="F130">
        <v>4</v>
      </c>
      <c r="G130" s="2">
        <v>1800</v>
      </c>
      <c r="H130" s="3">
        <v>0.15</v>
      </c>
      <c r="I130" t="s">
        <v>17</v>
      </c>
      <c r="J130" t="s">
        <v>18</v>
      </c>
      <c r="K130" t="s">
        <v>19</v>
      </c>
      <c r="L130" s="2">
        <v>6120</v>
      </c>
      <c r="M130" t="s">
        <v>52</v>
      </c>
    </row>
    <row r="131" spans="1:13" x14ac:dyDescent="0.3">
      <c r="A131" t="s">
        <v>305</v>
      </c>
      <c r="B131" s="1">
        <v>46134</v>
      </c>
      <c r="C131" t="s">
        <v>306</v>
      </c>
      <c r="D131" t="s">
        <v>40</v>
      </c>
      <c r="E131" t="s">
        <v>161</v>
      </c>
      <c r="F131">
        <v>2</v>
      </c>
      <c r="G131" s="2">
        <v>2600</v>
      </c>
      <c r="H131" s="3">
        <v>0.1</v>
      </c>
      <c r="I131" t="s">
        <v>66</v>
      </c>
      <c r="J131" t="s">
        <v>47</v>
      </c>
      <c r="K131" t="s">
        <v>41</v>
      </c>
      <c r="L131" s="2">
        <v>4680</v>
      </c>
      <c r="M131" t="s">
        <v>42</v>
      </c>
    </row>
    <row r="132" spans="1:13" x14ac:dyDescent="0.3">
      <c r="A132" t="s">
        <v>307</v>
      </c>
      <c r="B132" s="1">
        <v>46153</v>
      </c>
      <c r="C132" t="s">
        <v>308</v>
      </c>
      <c r="D132" t="s">
        <v>95</v>
      </c>
      <c r="E132" t="s">
        <v>63</v>
      </c>
      <c r="F132">
        <v>2</v>
      </c>
      <c r="G132" s="2">
        <v>2200</v>
      </c>
      <c r="H132" s="3">
        <v>0</v>
      </c>
      <c r="I132" t="s">
        <v>80</v>
      </c>
      <c r="J132" t="s">
        <v>71</v>
      </c>
      <c r="K132" t="s">
        <v>41</v>
      </c>
      <c r="L132" s="2">
        <v>4400</v>
      </c>
      <c r="M132" t="s">
        <v>42</v>
      </c>
    </row>
    <row r="133" spans="1:13" x14ac:dyDescent="0.3">
      <c r="A133" t="s">
        <v>309</v>
      </c>
      <c r="B133" s="1">
        <v>46060</v>
      </c>
      <c r="C133" t="s">
        <v>310</v>
      </c>
      <c r="D133" t="s">
        <v>45</v>
      </c>
      <c r="E133" t="s">
        <v>24</v>
      </c>
      <c r="F133">
        <v>1</v>
      </c>
      <c r="G133" s="2">
        <v>10640</v>
      </c>
      <c r="H133" s="3">
        <v>0</v>
      </c>
      <c r="I133" t="s">
        <v>17</v>
      </c>
      <c r="J133" t="s">
        <v>18</v>
      </c>
      <c r="K133" t="s">
        <v>55</v>
      </c>
      <c r="L133" s="2">
        <v>10640</v>
      </c>
      <c r="M133" t="s">
        <v>48</v>
      </c>
    </row>
    <row r="134" spans="1:13" x14ac:dyDescent="0.3">
      <c r="A134" t="s">
        <v>311</v>
      </c>
      <c r="B134" s="1">
        <v>46171</v>
      </c>
      <c r="C134" t="s">
        <v>192</v>
      </c>
      <c r="D134" t="s">
        <v>62</v>
      </c>
      <c r="E134" t="s">
        <v>74</v>
      </c>
      <c r="F134">
        <v>8</v>
      </c>
      <c r="G134" s="2">
        <v>2400</v>
      </c>
      <c r="H134" s="3">
        <v>0.15</v>
      </c>
      <c r="I134" t="s">
        <v>17</v>
      </c>
      <c r="J134" t="s">
        <v>71</v>
      </c>
      <c r="K134" t="s">
        <v>55</v>
      </c>
      <c r="L134" s="2">
        <v>16320</v>
      </c>
      <c r="M134" t="s">
        <v>42</v>
      </c>
    </row>
    <row r="135" spans="1:13" x14ac:dyDescent="0.3">
      <c r="A135" t="s">
        <v>312</v>
      </c>
      <c r="B135" s="1">
        <v>46143</v>
      </c>
      <c r="C135" t="s">
        <v>179</v>
      </c>
      <c r="D135" t="s">
        <v>62</v>
      </c>
      <c r="E135" t="s">
        <v>74</v>
      </c>
      <c r="F135">
        <v>2</v>
      </c>
      <c r="G135" s="2">
        <v>2400</v>
      </c>
      <c r="H135" s="3">
        <v>0.05</v>
      </c>
      <c r="I135" t="s">
        <v>17</v>
      </c>
      <c r="J135" t="s">
        <v>31</v>
      </c>
      <c r="K135" t="s">
        <v>67</v>
      </c>
      <c r="L135" s="2">
        <v>4560</v>
      </c>
      <c r="M135" t="s">
        <v>56</v>
      </c>
    </row>
    <row r="136" spans="1:13" x14ac:dyDescent="0.3">
      <c r="A136" t="s">
        <v>313</v>
      </c>
      <c r="B136" s="1">
        <v>46138</v>
      </c>
      <c r="C136" t="s">
        <v>179</v>
      </c>
      <c r="D136" t="s">
        <v>168</v>
      </c>
      <c r="E136" t="s">
        <v>16</v>
      </c>
      <c r="F136">
        <v>2</v>
      </c>
      <c r="G136" s="2">
        <v>617.5</v>
      </c>
      <c r="H136" s="3">
        <v>0.05</v>
      </c>
      <c r="I136" t="s">
        <v>17</v>
      </c>
      <c r="J136" t="s">
        <v>18</v>
      </c>
      <c r="K136" t="s">
        <v>55</v>
      </c>
      <c r="L136" s="2">
        <v>1173.25</v>
      </c>
      <c r="M136" t="s">
        <v>48</v>
      </c>
    </row>
    <row r="137" spans="1:13" x14ac:dyDescent="0.3">
      <c r="A137" t="s">
        <v>314</v>
      </c>
      <c r="B137" s="1">
        <v>46164</v>
      </c>
      <c r="C137" t="s">
        <v>315</v>
      </c>
      <c r="D137" t="s">
        <v>29</v>
      </c>
      <c r="E137" t="s">
        <v>85</v>
      </c>
      <c r="F137">
        <v>5</v>
      </c>
      <c r="G137" s="2">
        <v>48500</v>
      </c>
      <c r="H137" s="3">
        <v>0.1</v>
      </c>
      <c r="I137" t="s">
        <v>80</v>
      </c>
      <c r="J137" t="s">
        <v>18</v>
      </c>
      <c r="K137" t="s">
        <v>25</v>
      </c>
      <c r="L137" s="2">
        <v>218250</v>
      </c>
      <c r="M137" t="s">
        <v>59</v>
      </c>
    </row>
    <row r="138" spans="1:13" x14ac:dyDescent="0.3">
      <c r="A138" t="s">
        <v>316</v>
      </c>
      <c r="B138" s="1">
        <v>46038</v>
      </c>
      <c r="C138" t="s">
        <v>317</v>
      </c>
      <c r="D138" t="s">
        <v>62</v>
      </c>
      <c r="E138" t="s">
        <v>63</v>
      </c>
      <c r="F138">
        <v>4</v>
      </c>
      <c r="G138" s="2">
        <v>2090</v>
      </c>
      <c r="H138" s="3">
        <v>0.05</v>
      </c>
      <c r="I138" t="s">
        <v>116</v>
      </c>
      <c r="J138" t="s">
        <v>71</v>
      </c>
      <c r="K138" t="s">
        <v>19</v>
      </c>
      <c r="L138" s="2">
        <v>7942</v>
      </c>
      <c r="M138" t="s">
        <v>52</v>
      </c>
    </row>
    <row r="139" spans="1:13" x14ac:dyDescent="0.3">
      <c r="A139" t="s">
        <v>318</v>
      </c>
      <c r="B139" s="1">
        <v>46135</v>
      </c>
      <c r="C139" t="s">
        <v>319</v>
      </c>
      <c r="D139" t="s">
        <v>62</v>
      </c>
      <c r="E139" t="s">
        <v>51</v>
      </c>
      <c r="F139">
        <v>2</v>
      </c>
      <c r="G139" s="2">
        <v>18500</v>
      </c>
      <c r="H139" s="3">
        <v>0</v>
      </c>
      <c r="I139" t="s">
        <v>17</v>
      </c>
      <c r="J139" t="s">
        <v>18</v>
      </c>
      <c r="K139" t="s">
        <v>67</v>
      </c>
      <c r="L139" s="2">
        <v>37000</v>
      </c>
      <c r="M139" t="s">
        <v>48</v>
      </c>
    </row>
    <row r="140" spans="1:13" x14ac:dyDescent="0.3">
      <c r="A140" t="s">
        <v>320</v>
      </c>
      <c r="B140" s="1">
        <v>46036</v>
      </c>
      <c r="C140" t="s">
        <v>321</v>
      </c>
      <c r="D140" t="s">
        <v>29</v>
      </c>
      <c r="E140" t="s">
        <v>74</v>
      </c>
      <c r="F140">
        <v>3</v>
      </c>
      <c r="G140" s="2">
        <v>2520</v>
      </c>
      <c r="H140" s="3">
        <v>0</v>
      </c>
      <c r="I140" t="s">
        <v>17</v>
      </c>
      <c r="J140" t="s">
        <v>47</v>
      </c>
      <c r="K140" t="s">
        <v>25</v>
      </c>
      <c r="L140" s="2">
        <v>7560</v>
      </c>
      <c r="M140" t="s">
        <v>59</v>
      </c>
    </row>
    <row r="141" spans="1:13" x14ac:dyDescent="0.3">
      <c r="A141" t="s">
        <v>322</v>
      </c>
      <c r="B141" s="1">
        <v>46108</v>
      </c>
      <c r="C141" t="s">
        <v>269</v>
      </c>
      <c r="D141" t="s">
        <v>15</v>
      </c>
      <c r="E141" t="s">
        <v>183</v>
      </c>
      <c r="F141">
        <v>3</v>
      </c>
      <c r="G141" s="2">
        <v>3360</v>
      </c>
      <c r="H141" s="3">
        <v>0.05</v>
      </c>
      <c r="I141" t="s">
        <v>17</v>
      </c>
      <c r="J141" t="s">
        <v>31</v>
      </c>
      <c r="K141" t="s">
        <v>67</v>
      </c>
      <c r="L141" s="2">
        <v>9576</v>
      </c>
      <c r="M141" t="s">
        <v>82</v>
      </c>
    </row>
    <row r="142" spans="1:13" x14ac:dyDescent="0.3">
      <c r="A142" t="s">
        <v>323</v>
      </c>
      <c r="B142" s="1">
        <v>46119</v>
      </c>
      <c r="C142" t="s">
        <v>61</v>
      </c>
      <c r="D142" t="s">
        <v>95</v>
      </c>
      <c r="E142" t="s">
        <v>36</v>
      </c>
      <c r="F142">
        <v>4</v>
      </c>
      <c r="G142" s="2">
        <v>1330</v>
      </c>
      <c r="H142" s="3">
        <v>0.2</v>
      </c>
      <c r="I142" t="s">
        <v>17</v>
      </c>
      <c r="J142" t="s">
        <v>47</v>
      </c>
      <c r="K142" t="s">
        <v>19</v>
      </c>
      <c r="L142" s="2">
        <v>4256</v>
      </c>
      <c r="M142" t="s">
        <v>138</v>
      </c>
    </row>
    <row r="143" spans="1:13" x14ac:dyDescent="0.3">
      <c r="A143" t="s">
        <v>324</v>
      </c>
      <c r="B143" s="1">
        <v>46102</v>
      </c>
      <c r="C143" t="s">
        <v>101</v>
      </c>
      <c r="D143" t="s">
        <v>50</v>
      </c>
      <c r="E143" t="s">
        <v>24</v>
      </c>
      <c r="F143">
        <v>2</v>
      </c>
      <c r="G143" s="2">
        <v>11200</v>
      </c>
      <c r="H143" s="3">
        <v>0.1</v>
      </c>
      <c r="I143" t="s">
        <v>17</v>
      </c>
      <c r="J143" t="s">
        <v>31</v>
      </c>
      <c r="K143" t="s">
        <v>67</v>
      </c>
      <c r="L143" s="2">
        <v>20160</v>
      </c>
      <c r="M143" t="s">
        <v>42</v>
      </c>
    </row>
    <row r="144" spans="1:13" x14ac:dyDescent="0.3">
      <c r="A144" t="s">
        <v>325</v>
      </c>
      <c r="B144" s="1">
        <v>46152</v>
      </c>
      <c r="C144" t="s">
        <v>326</v>
      </c>
      <c r="D144" t="s">
        <v>29</v>
      </c>
      <c r="E144" t="s">
        <v>51</v>
      </c>
      <c r="F144">
        <v>4</v>
      </c>
      <c r="G144" s="2">
        <v>18500</v>
      </c>
      <c r="H144" s="3">
        <v>0.15</v>
      </c>
      <c r="I144" t="s">
        <v>17</v>
      </c>
      <c r="J144" t="s">
        <v>18</v>
      </c>
      <c r="K144" t="s">
        <v>41</v>
      </c>
      <c r="L144" s="2">
        <v>62900</v>
      </c>
      <c r="M144" t="s">
        <v>59</v>
      </c>
    </row>
    <row r="145" spans="1:13" x14ac:dyDescent="0.3">
      <c r="A145" t="s">
        <v>327</v>
      </c>
      <c r="B145" s="1">
        <v>46069</v>
      </c>
      <c r="C145" t="s">
        <v>328</v>
      </c>
      <c r="D145" t="s">
        <v>90</v>
      </c>
      <c r="E145" t="s">
        <v>85</v>
      </c>
      <c r="F145">
        <v>4</v>
      </c>
      <c r="G145" s="2">
        <v>46075</v>
      </c>
      <c r="H145" s="3">
        <v>0</v>
      </c>
      <c r="I145" t="s">
        <v>17</v>
      </c>
      <c r="J145" t="s">
        <v>47</v>
      </c>
      <c r="K145" t="s">
        <v>41</v>
      </c>
      <c r="L145" s="2">
        <v>184300</v>
      </c>
      <c r="M145" t="s">
        <v>56</v>
      </c>
    </row>
    <row r="146" spans="1:13" x14ac:dyDescent="0.3">
      <c r="A146" t="s">
        <v>329</v>
      </c>
      <c r="B146" s="1">
        <v>46179</v>
      </c>
      <c r="C146" t="s">
        <v>330</v>
      </c>
      <c r="D146" t="s">
        <v>45</v>
      </c>
      <c r="E146" t="s">
        <v>85</v>
      </c>
      <c r="F146">
        <v>4</v>
      </c>
      <c r="G146" s="2">
        <v>48500</v>
      </c>
      <c r="H146" s="3">
        <v>0</v>
      </c>
      <c r="I146" t="s">
        <v>17</v>
      </c>
      <c r="J146" t="s">
        <v>71</v>
      </c>
      <c r="K146" t="s">
        <v>67</v>
      </c>
      <c r="L146" s="2">
        <v>194000</v>
      </c>
      <c r="M146" t="s">
        <v>48</v>
      </c>
    </row>
    <row r="147" spans="1:13" x14ac:dyDescent="0.3">
      <c r="A147" t="s">
        <v>331</v>
      </c>
      <c r="B147" s="1">
        <v>46135</v>
      </c>
      <c r="C147" t="s">
        <v>332</v>
      </c>
      <c r="D147" t="s">
        <v>62</v>
      </c>
      <c r="E147" t="s">
        <v>135</v>
      </c>
      <c r="F147">
        <v>4</v>
      </c>
      <c r="G147" s="2">
        <v>16800</v>
      </c>
      <c r="H147" s="3">
        <v>0.15</v>
      </c>
      <c r="I147" t="s">
        <v>17</v>
      </c>
      <c r="J147" t="s">
        <v>71</v>
      </c>
      <c r="K147" t="s">
        <v>67</v>
      </c>
      <c r="L147" s="2">
        <v>57120</v>
      </c>
      <c r="M147" t="s">
        <v>20</v>
      </c>
    </row>
    <row r="148" spans="1:13" x14ac:dyDescent="0.3">
      <c r="A148" t="s">
        <v>333</v>
      </c>
      <c r="B148" s="1">
        <v>46187</v>
      </c>
      <c r="C148" t="s">
        <v>321</v>
      </c>
      <c r="D148" t="s">
        <v>62</v>
      </c>
      <c r="E148" t="s">
        <v>36</v>
      </c>
      <c r="F148">
        <v>3</v>
      </c>
      <c r="G148" s="2">
        <v>1330</v>
      </c>
      <c r="H148" s="3">
        <v>0</v>
      </c>
      <c r="I148" t="s">
        <v>334</v>
      </c>
      <c r="J148" t="s">
        <v>31</v>
      </c>
      <c r="K148" t="s">
        <v>41</v>
      </c>
      <c r="L148" s="2">
        <v>3990</v>
      </c>
      <c r="M148" t="s">
        <v>26</v>
      </c>
    </row>
    <row r="149" spans="1:13" x14ac:dyDescent="0.3">
      <c r="A149" t="s">
        <v>335</v>
      </c>
      <c r="B149" s="1">
        <v>46138</v>
      </c>
      <c r="C149" t="s">
        <v>336</v>
      </c>
      <c r="D149" t="s">
        <v>77</v>
      </c>
      <c r="E149" t="s">
        <v>51</v>
      </c>
      <c r="F149">
        <v>1</v>
      </c>
      <c r="G149" s="2">
        <v>18500</v>
      </c>
      <c r="H149" s="3">
        <v>0.1</v>
      </c>
      <c r="I149" t="s">
        <v>17</v>
      </c>
      <c r="J149" t="s">
        <v>47</v>
      </c>
      <c r="K149" t="s">
        <v>19</v>
      </c>
      <c r="L149" s="2">
        <v>16650</v>
      </c>
      <c r="M149" t="s">
        <v>32</v>
      </c>
    </row>
    <row r="150" spans="1:13" x14ac:dyDescent="0.3">
      <c r="A150" t="s">
        <v>337</v>
      </c>
      <c r="B150" s="1">
        <v>46036</v>
      </c>
      <c r="C150" t="s">
        <v>338</v>
      </c>
      <c r="D150" t="s">
        <v>70</v>
      </c>
      <c r="E150" t="s">
        <v>51</v>
      </c>
      <c r="F150">
        <v>2</v>
      </c>
      <c r="G150" s="2">
        <v>18500</v>
      </c>
      <c r="H150" s="3">
        <v>0.1</v>
      </c>
      <c r="I150" t="s">
        <v>116</v>
      </c>
      <c r="J150" t="s">
        <v>31</v>
      </c>
      <c r="K150" t="s">
        <v>67</v>
      </c>
      <c r="L150" s="2">
        <v>33300</v>
      </c>
      <c r="M150" t="s">
        <v>42</v>
      </c>
    </row>
    <row r="151" spans="1:13" x14ac:dyDescent="0.3">
      <c r="A151" t="s">
        <v>339</v>
      </c>
      <c r="B151" s="1">
        <v>46189</v>
      </c>
      <c r="C151" t="s">
        <v>340</v>
      </c>
      <c r="D151" t="s">
        <v>35</v>
      </c>
      <c r="E151" t="s">
        <v>30</v>
      </c>
      <c r="F151">
        <v>1</v>
      </c>
      <c r="G151" s="2">
        <v>1890</v>
      </c>
      <c r="H151" s="3">
        <v>0.05</v>
      </c>
      <c r="I151" t="s">
        <v>80</v>
      </c>
      <c r="J151" t="s">
        <v>18</v>
      </c>
      <c r="K151" t="s">
        <v>55</v>
      </c>
      <c r="L151" s="2">
        <v>1795.5</v>
      </c>
      <c r="M151" t="s">
        <v>48</v>
      </c>
    </row>
    <row r="152" spans="1:13" x14ac:dyDescent="0.3">
      <c r="A152" t="s">
        <v>341</v>
      </c>
      <c r="B152" s="1">
        <v>46024</v>
      </c>
      <c r="C152" t="s">
        <v>294</v>
      </c>
      <c r="D152" t="s">
        <v>77</v>
      </c>
      <c r="E152" t="s">
        <v>63</v>
      </c>
      <c r="F152">
        <v>1</v>
      </c>
      <c r="G152" s="2">
        <v>2310</v>
      </c>
      <c r="H152" s="3">
        <v>0</v>
      </c>
      <c r="I152" t="s">
        <v>66</v>
      </c>
      <c r="J152" t="s">
        <v>47</v>
      </c>
      <c r="K152" t="s">
        <v>41</v>
      </c>
      <c r="L152" s="2">
        <v>2310</v>
      </c>
      <c r="M152" t="s">
        <v>26</v>
      </c>
    </row>
    <row r="153" spans="1:13" x14ac:dyDescent="0.3">
      <c r="A153" t="s">
        <v>342</v>
      </c>
      <c r="B153" s="1">
        <v>46054</v>
      </c>
      <c r="C153" t="s">
        <v>219</v>
      </c>
      <c r="D153" t="s">
        <v>168</v>
      </c>
      <c r="E153" t="s">
        <v>24</v>
      </c>
      <c r="F153">
        <v>2</v>
      </c>
      <c r="G153" s="2">
        <v>10640</v>
      </c>
      <c r="H153" s="3">
        <v>0.15</v>
      </c>
      <c r="I153" t="s">
        <v>17</v>
      </c>
      <c r="J153" t="s">
        <v>31</v>
      </c>
      <c r="K153" t="s">
        <v>25</v>
      </c>
      <c r="L153" s="2">
        <v>18088</v>
      </c>
      <c r="M153" t="s">
        <v>48</v>
      </c>
    </row>
    <row r="154" spans="1:13" x14ac:dyDescent="0.3">
      <c r="A154" t="s">
        <v>343</v>
      </c>
      <c r="B154" s="1">
        <v>46084</v>
      </c>
      <c r="C154" t="s">
        <v>302</v>
      </c>
      <c r="D154" t="s">
        <v>123</v>
      </c>
      <c r="E154" t="s">
        <v>30</v>
      </c>
      <c r="F154">
        <v>1</v>
      </c>
      <c r="G154" s="2">
        <v>1800</v>
      </c>
      <c r="H154" s="3">
        <v>0</v>
      </c>
      <c r="I154" t="s">
        <v>17</v>
      </c>
      <c r="J154" t="s">
        <v>71</v>
      </c>
      <c r="K154" t="s">
        <v>19</v>
      </c>
      <c r="L154" s="2">
        <v>1800</v>
      </c>
      <c r="M154" t="s">
        <v>82</v>
      </c>
    </row>
    <row r="155" spans="1:13" x14ac:dyDescent="0.3">
      <c r="A155" t="s">
        <v>344</v>
      </c>
      <c r="B155" s="1">
        <v>46115</v>
      </c>
      <c r="C155" t="s">
        <v>330</v>
      </c>
      <c r="D155" t="s">
        <v>15</v>
      </c>
      <c r="E155" t="s">
        <v>51</v>
      </c>
      <c r="F155">
        <v>2</v>
      </c>
      <c r="G155" s="2">
        <v>19425</v>
      </c>
      <c r="H155" s="3">
        <v>0.15</v>
      </c>
      <c r="I155" t="s">
        <v>17</v>
      </c>
      <c r="J155" t="s">
        <v>31</v>
      </c>
      <c r="K155" t="s">
        <v>55</v>
      </c>
      <c r="L155" s="2">
        <v>33022.5</v>
      </c>
      <c r="M155" t="s">
        <v>138</v>
      </c>
    </row>
    <row r="156" spans="1:13" x14ac:dyDescent="0.3">
      <c r="A156" t="s">
        <v>345</v>
      </c>
      <c r="B156" s="1">
        <v>46087</v>
      </c>
      <c r="C156" t="s">
        <v>346</v>
      </c>
      <c r="D156" t="s">
        <v>123</v>
      </c>
      <c r="E156" t="s">
        <v>16</v>
      </c>
      <c r="F156">
        <v>2</v>
      </c>
      <c r="G156" s="2">
        <v>617.5</v>
      </c>
      <c r="H156" s="3">
        <v>0</v>
      </c>
      <c r="I156" t="s">
        <v>17</v>
      </c>
      <c r="J156" t="s">
        <v>71</v>
      </c>
      <c r="K156" t="s">
        <v>19</v>
      </c>
      <c r="L156" s="2">
        <v>1235</v>
      </c>
      <c r="M156" t="s">
        <v>138</v>
      </c>
    </row>
    <row r="157" spans="1:13" x14ac:dyDescent="0.3">
      <c r="A157" t="s">
        <v>347</v>
      </c>
      <c r="B157" s="1">
        <v>46162</v>
      </c>
      <c r="C157" t="s">
        <v>348</v>
      </c>
      <c r="D157" t="s">
        <v>35</v>
      </c>
      <c r="E157" t="s">
        <v>74</v>
      </c>
      <c r="F157">
        <v>1</v>
      </c>
      <c r="G157" s="2">
        <v>2520</v>
      </c>
      <c r="H157" s="3">
        <v>0.2</v>
      </c>
      <c r="I157" t="s">
        <v>17</v>
      </c>
      <c r="J157" t="s">
        <v>71</v>
      </c>
      <c r="K157" t="s">
        <v>19</v>
      </c>
      <c r="L157" s="2">
        <v>2016</v>
      </c>
      <c r="M157" t="s">
        <v>56</v>
      </c>
    </row>
    <row r="158" spans="1:13" x14ac:dyDescent="0.3">
      <c r="A158" t="s">
        <v>349</v>
      </c>
      <c r="B158" s="1">
        <v>46032</v>
      </c>
      <c r="C158" t="s">
        <v>350</v>
      </c>
      <c r="D158" t="s">
        <v>45</v>
      </c>
      <c r="E158" t="s">
        <v>24</v>
      </c>
      <c r="F158">
        <v>1</v>
      </c>
      <c r="G158" s="2">
        <v>11200</v>
      </c>
      <c r="H158" s="3">
        <v>0</v>
      </c>
      <c r="I158" t="s">
        <v>66</v>
      </c>
      <c r="J158" t="s">
        <v>18</v>
      </c>
      <c r="K158" t="s">
        <v>25</v>
      </c>
      <c r="L158" s="2">
        <v>11200</v>
      </c>
    </row>
    <row r="159" spans="1:13" x14ac:dyDescent="0.3">
      <c r="A159" t="s">
        <v>351</v>
      </c>
      <c r="B159" s="1">
        <v>46087</v>
      </c>
      <c r="C159" t="s">
        <v>132</v>
      </c>
      <c r="D159" t="s">
        <v>168</v>
      </c>
      <c r="E159" t="s">
        <v>74</v>
      </c>
      <c r="F159">
        <v>1</v>
      </c>
      <c r="G159" s="2">
        <v>2280</v>
      </c>
      <c r="H159" s="3">
        <v>0.05</v>
      </c>
      <c r="I159" t="s">
        <v>66</v>
      </c>
      <c r="J159" t="s">
        <v>47</v>
      </c>
      <c r="K159" t="s">
        <v>19</v>
      </c>
      <c r="L159" s="2">
        <v>2166</v>
      </c>
      <c r="M159" t="s">
        <v>138</v>
      </c>
    </row>
    <row r="160" spans="1:13" x14ac:dyDescent="0.3">
      <c r="A160" t="s">
        <v>352</v>
      </c>
      <c r="B160" s="1">
        <v>46134</v>
      </c>
      <c r="C160" t="s">
        <v>353</v>
      </c>
      <c r="D160" t="s">
        <v>77</v>
      </c>
      <c r="E160" t="s">
        <v>161</v>
      </c>
      <c r="F160">
        <v>4</v>
      </c>
      <c r="G160" s="2">
        <v>2600</v>
      </c>
      <c r="H160" s="3">
        <v>0.1</v>
      </c>
      <c r="I160" t="s">
        <v>173</v>
      </c>
      <c r="J160" t="s">
        <v>18</v>
      </c>
      <c r="K160" t="s">
        <v>67</v>
      </c>
      <c r="L160" s="2">
        <v>9360</v>
      </c>
      <c r="M160" t="s">
        <v>82</v>
      </c>
    </row>
    <row r="161" spans="1:13" x14ac:dyDescent="0.3">
      <c r="A161" t="s">
        <v>354</v>
      </c>
      <c r="B161" s="1">
        <v>46091</v>
      </c>
      <c r="C161" t="s">
        <v>355</v>
      </c>
      <c r="D161" t="s">
        <v>29</v>
      </c>
      <c r="E161" t="s">
        <v>63</v>
      </c>
      <c r="F161">
        <v>3</v>
      </c>
      <c r="G161" s="2">
        <v>2200</v>
      </c>
      <c r="H161" s="3">
        <v>0</v>
      </c>
      <c r="I161" t="s">
        <v>17</v>
      </c>
      <c r="J161" t="s">
        <v>47</v>
      </c>
      <c r="K161" t="s">
        <v>19</v>
      </c>
      <c r="L161" s="2">
        <v>6600</v>
      </c>
      <c r="M161" t="s">
        <v>42</v>
      </c>
    </row>
    <row r="162" spans="1:13" x14ac:dyDescent="0.3">
      <c r="A162" t="s">
        <v>356</v>
      </c>
      <c r="B162" s="1">
        <v>46106</v>
      </c>
      <c r="C162" t="s">
        <v>357</v>
      </c>
      <c r="D162" t="s">
        <v>95</v>
      </c>
      <c r="E162" t="s">
        <v>135</v>
      </c>
      <c r="F162">
        <v>2</v>
      </c>
      <c r="G162" s="2">
        <v>16800</v>
      </c>
      <c r="H162" s="3">
        <v>0.15</v>
      </c>
      <c r="I162" t="s">
        <v>17</v>
      </c>
      <c r="J162" t="s">
        <v>47</v>
      </c>
      <c r="K162" t="s">
        <v>55</v>
      </c>
      <c r="L162" s="2">
        <v>28560</v>
      </c>
      <c r="M162" t="s">
        <v>20</v>
      </c>
    </row>
    <row r="163" spans="1:13" x14ac:dyDescent="0.3">
      <c r="A163" t="s">
        <v>358</v>
      </c>
      <c r="B163" s="1">
        <v>46113</v>
      </c>
      <c r="C163" t="s">
        <v>137</v>
      </c>
      <c r="D163" t="s">
        <v>40</v>
      </c>
      <c r="E163" t="s">
        <v>161</v>
      </c>
      <c r="F163">
        <v>1</v>
      </c>
      <c r="G163" s="2">
        <v>2730</v>
      </c>
      <c r="H163" s="3">
        <v>0</v>
      </c>
      <c r="I163" t="s">
        <v>17</v>
      </c>
      <c r="J163" t="s">
        <v>71</v>
      </c>
      <c r="K163" t="s">
        <v>19</v>
      </c>
      <c r="L163" s="2">
        <v>2730</v>
      </c>
    </row>
    <row r="164" spans="1:13" x14ac:dyDescent="0.3">
      <c r="A164" t="s">
        <v>359</v>
      </c>
      <c r="B164" t="s">
        <v>360</v>
      </c>
      <c r="C164" t="s">
        <v>361</v>
      </c>
      <c r="D164" t="s">
        <v>95</v>
      </c>
      <c r="E164" t="s">
        <v>46</v>
      </c>
      <c r="F164">
        <v>1</v>
      </c>
      <c r="G164" s="2">
        <v>7800</v>
      </c>
      <c r="H164" s="3">
        <v>0</v>
      </c>
      <c r="I164" t="s">
        <v>17</v>
      </c>
      <c r="J164" t="s">
        <v>18</v>
      </c>
      <c r="K164" t="s">
        <v>25</v>
      </c>
      <c r="L164" s="2">
        <v>7800</v>
      </c>
      <c r="M164" t="s">
        <v>20</v>
      </c>
    </row>
    <row r="165" spans="1:13" x14ac:dyDescent="0.3">
      <c r="A165" t="s">
        <v>362</v>
      </c>
      <c r="B165" s="1">
        <v>46177</v>
      </c>
      <c r="C165" t="s">
        <v>363</v>
      </c>
      <c r="D165" t="s">
        <v>50</v>
      </c>
      <c r="E165" t="s">
        <v>74</v>
      </c>
      <c r="F165">
        <v>2</v>
      </c>
      <c r="G165" s="2">
        <v>2280</v>
      </c>
      <c r="H165" s="3">
        <v>0.05</v>
      </c>
      <c r="I165" t="s">
        <v>17</v>
      </c>
      <c r="J165" t="s">
        <v>47</v>
      </c>
      <c r="K165" t="s">
        <v>55</v>
      </c>
      <c r="L165" s="2">
        <v>4332</v>
      </c>
      <c r="M165" t="s">
        <v>138</v>
      </c>
    </row>
    <row r="166" spans="1:13" x14ac:dyDescent="0.3">
      <c r="A166" t="s">
        <v>364</v>
      </c>
      <c r="B166" s="1">
        <v>46189</v>
      </c>
      <c r="C166" t="s">
        <v>319</v>
      </c>
      <c r="D166" t="s">
        <v>45</v>
      </c>
      <c r="E166" t="s">
        <v>24</v>
      </c>
      <c r="F166">
        <v>8</v>
      </c>
      <c r="G166" s="2">
        <v>11760</v>
      </c>
      <c r="H166" s="3">
        <v>0</v>
      </c>
      <c r="I166" t="s">
        <v>17</v>
      </c>
      <c r="J166" t="s">
        <v>31</v>
      </c>
      <c r="K166" t="s">
        <v>67</v>
      </c>
      <c r="L166" s="2">
        <v>94080</v>
      </c>
      <c r="M166" t="s">
        <v>26</v>
      </c>
    </row>
    <row r="167" spans="1:13" x14ac:dyDescent="0.3">
      <c r="A167" t="s">
        <v>365</v>
      </c>
      <c r="B167" s="1">
        <v>46203</v>
      </c>
      <c r="C167" t="s">
        <v>332</v>
      </c>
      <c r="D167" t="s">
        <v>62</v>
      </c>
      <c r="E167" t="s">
        <v>24</v>
      </c>
      <c r="F167">
        <v>10</v>
      </c>
      <c r="G167" s="2">
        <v>11760</v>
      </c>
      <c r="H167" s="3">
        <v>0.05</v>
      </c>
      <c r="I167" t="s">
        <v>17</v>
      </c>
      <c r="J167" t="s">
        <v>31</v>
      </c>
      <c r="K167" t="s">
        <v>41</v>
      </c>
      <c r="L167" s="2">
        <v>111720</v>
      </c>
      <c r="M167" t="s">
        <v>42</v>
      </c>
    </row>
    <row r="168" spans="1:13" x14ac:dyDescent="0.3">
      <c r="A168" t="s">
        <v>366</v>
      </c>
      <c r="B168" s="1">
        <v>46138</v>
      </c>
      <c r="C168" t="s">
        <v>367</v>
      </c>
      <c r="D168" t="s">
        <v>50</v>
      </c>
      <c r="E168" t="s">
        <v>85</v>
      </c>
      <c r="F168">
        <v>2</v>
      </c>
      <c r="G168" s="2">
        <v>48500</v>
      </c>
      <c r="H168" s="3">
        <v>0</v>
      </c>
      <c r="I168" t="s">
        <v>17</v>
      </c>
      <c r="J168" t="s">
        <v>31</v>
      </c>
      <c r="K168" t="s">
        <v>25</v>
      </c>
      <c r="L168" s="2">
        <v>97000</v>
      </c>
      <c r="M168" t="s">
        <v>82</v>
      </c>
    </row>
    <row r="169" spans="1:13" x14ac:dyDescent="0.3">
      <c r="A169" t="s">
        <v>368</v>
      </c>
      <c r="B169" s="1">
        <v>46097</v>
      </c>
      <c r="C169" t="s">
        <v>361</v>
      </c>
      <c r="D169" t="s">
        <v>77</v>
      </c>
      <c r="E169" t="s">
        <v>135</v>
      </c>
      <c r="F169">
        <v>5</v>
      </c>
      <c r="G169" s="2">
        <v>16800</v>
      </c>
      <c r="H169" s="3">
        <v>0.2</v>
      </c>
      <c r="I169" t="s">
        <v>17</v>
      </c>
      <c r="J169" t="s">
        <v>71</v>
      </c>
      <c r="K169" t="s">
        <v>19</v>
      </c>
      <c r="L169" s="2">
        <v>67200</v>
      </c>
      <c r="M169" t="s">
        <v>52</v>
      </c>
    </row>
    <row r="170" spans="1:13" x14ac:dyDescent="0.3">
      <c r="A170" t="s">
        <v>369</v>
      </c>
      <c r="B170" s="1">
        <v>46058</v>
      </c>
      <c r="C170" t="s">
        <v>269</v>
      </c>
      <c r="D170" t="s">
        <v>23</v>
      </c>
      <c r="E170" t="s">
        <v>46</v>
      </c>
      <c r="F170">
        <v>1</v>
      </c>
      <c r="G170" s="2">
        <v>8190</v>
      </c>
      <c r="H170" s="3">
        <v>0.15</v>
      </c>
      <c r="I170" t="s">
        <v>17</v>
      </c>
      <c r="J170" t="s">
        <v>31</v>
      </c>
      <c r="K170" t="s">
        <v>19</v>
      </c>
      <c r="L170" s="2">
        <v>6961.5</v>
      </c>
      <c r="M170" t="s">
        <v>26</v>
      </c>
    </row>
    <row r="171" spans="1:13" x14ac:dyDescent="0.3">
      <c r="A171" t="s">
        <v>370</v>
      </c>
      <c r="B171" s="1">
        <v>46124</v>
      </c>
      <c r="C171" t="s">
        <v>371</v>
      </c>
      <c r="D171" t="s">
        <v>123</v>
      </c>
      <c r="E171" t="s">
        <v>85</v>
      </c>
      <c r="F171">
        <v>2</v>
      </c>
      <c r="G171" s="2">
        <v>46075</v>
      </c>
      <c r="H171" s="3">
        <v>0.1</v>
      </c>
      <c r="I171" t="s">
        <v>17</v>
      </c>
      <c r="J171" t="s">
        <v>372</v>
      </c>
      <c r="K171" t="s">
        <v>19</v>
      </c>
      <c r="L171" s="2">
        <v>82935</v>
      </c>
      <c r="M171" t="s">
        <v>56</v>
      </c>
    </row>
    <row r="172" spans="1:13" x14ac:dyDescent="0.3">
      <c r="A172" t="s">
        <v>373</v>
      </c>
      <c r="B172" s="1">
        <v>46142</v>
      </c>
      <c r="C172" t="s">
        <v>269</v>
      </c>
      <c r="D172" t="s">
        <v>95</v>
      </c>
      <c r="E172" t="s">
        <v>51</v>
      </c>
      <c r="F172">
        <v>2</v>
      </c>
      <c r="G172" s="2">
        <v>18500</v>
      </c>
      <c r="H172" s="3">
        <v>0.15</v>
      </c>
      <c r="I172" t="s">
        <v>17</v>
      </c>
      <c r="J172" t="s">
        <v>18</v>
      </c>
      <c r="K172" t="s">
        <v>25</v>
      </c>
      <c r="L172" s="2">
        <v>31450</v>
      </c>
      <c r="M172" t="s">
        <v>20</v>
      </c>
    </row>
    <row r="173" spans="1:13" x14ac:dyDescent="0.3">
      <c r="A173" t="s">
        <v>374</v>
      </c>
      <c r="B173" s="1">
        <v>46054</v>
      </c>
      <c r="C173" t="s">
        <v>367</v>
      </c>
      <c r="D173" t="s">
        <v>152</v>
      </c>
      <c r="E173" t="s">
        <v>30</v>
      </c>
      <c r="F173">
        <v>2</v>
      </c>
      <c r="G173" s="2">
        <v>1800</v>
      </c>
      <c r="H173" s="3">
        <v>0</v>
      </c>
      <c r="I173" t="s">
        <v>17</v>
      </c>
      <c r="J173" t="s">
        <v>47</v>
      </c>
      <c r="K173" t="s">
        <v>19</v>
      </c>
      <c r="L173" s="2">
        <v>3600</v>
      </c>
      <c r="M173" t="s">
        <v>26</v>
      </c>
    </row>
    <row r="174" spans="1:13" x14ac:dyDescent="0.3">
      <c r="A174" t="s">
        <v>375</v>
      </c>
      <c r="B174" s="1">
        <v>46073</v>
      </c>
      <c r="C174" t="s">
        <v>376</v>
      </c>
      <c r="D174" t="s">
        <v>95</v>
      </c>
      <c r="F174">
        <v>1</v>
      </c>
      <c r="G174" s="2">
        <v>17575</v>
      </c>
      <c r="H174" s="3">
        <v>0.2</v>
      </c>
      <c r="I174" t="s">
        <v>17</v>
      </c>
      <c r="J174" t="s">
        <v>71</v>
      </c>
      <c r="K174" t="s">
        <v>25</v>
      </c>
      <c r="L174" s="2">
        <v>14060</v>
      </c>
      <c r="M174" t="s">
        <v>48</v>
      </c>
    </row>
    <row r="175" spans="1:13" x14ac:dyDescent="0.3">
      <c r="A175" t="s">
        <v>377</v>
      </c>
      <c r="B175" s="1">
        <v>46062</v>
      </c>
      <c r="C175" t="s">
        <v>378</v>
      </c>
      <c r="D175" t="s">
        <v>50</v>
      </c>
      <c r="E175" t="s">
        <v>74</v>
      </c>
      <c r="F175">
        <v>3</v>
      </c>
      <c r="G175" s="2">
        <v>2280</v>
      </c>
      <c r="H175" s="3">
        <v>0.15</v>
      </c>
      <c r="I175" t="s">
        <v>17</v>
      </c>
      <c r="J175" t="s">
        <v>31</v>
      </c>
      <c r="K175" t="s">
        <v>19</v>
      </c>
      <c r="L175" s="2">
        <v>5814</v>
      </c>
      <c r="M175" t="s">
        <v>48</v>
      </c>
    </row>
    <row r="176" spans="1:13" x14ac:dyDescent="0.3">
      <c r="A176" t="s">
        <v>379</v>
      </c>
      <c r="B176" s="1">
        <v>46090</v>
      </c>
      <c r="C176" t="s">
        <v>353</v>
      </c>
      <c r="D176" t="s">
        <v>95</v>
      </c>
      <c r="E176" t="s">
        <v>24</v>
      </c>
      <c r="F176">
        <v>4</v>
      </c>
      <c r="G176" s="2">
        <v>10640</v>
      </c>
      <c r="H176" s="3">
        <v>0.1</v>
      </c>
      <c r="I176" t="s">
        <v>17</v>
      </c>
      <c r="J176" t="s">
        <v>47</v>
      </c>
      <c r="K176" t="s">
        <v>67</v>
      </c>
      <c r="L176" s="2">
        <v>38304</v>
      </c>
      <c r="M176" t="s">
        <v>56</v>
      </c>
    </row>
    <row r="177" spans="1:13" x14ac:dyDescent="0.3">
      <c r="A177" t="s">
        <v>380</v>
      </c>
      <c r="B177" s="1">
        <v>46085</v>
      </c>
      <c r="C177" t="s">
        <v>381</v>
      </c>
      <c r="D177" t="s">
        <v>29</v>
      </c>
      <c r="E177" t="s">
        <v>74</v>
      </c>
      <c r="F177">
        <v>2</v>
      </c>
      <c r="G177" s="2">
        <v>2280</v>
      </c>
      <c r="H177" s="3">
        <v>0.1</v>
      </c>
      <c r="I177" t="s">
        <v>17</v>
      </c>
      <c r="J177" t="s">
        <v>18</v>
      </c>
      <c r="K177" t="s">
        <v>55</v>
      </c>
      <c r="L177" s="2">
        <v>4104</v>
      </c>
      <c r="M177" t="s">
        <v>56</v>
      </c>
    </row>
    <row r="178" spans="1:13" x14ac:dyDescent="0.3">
      <c r="A178" t="s">
        <v>382</v>
      </c>
      <c r="B178" s="1">
        <v>46141</v>
      </c>
      <c r="C178" t="s">
        <v>190</v>
      </c>
      <c r="D178" t="s">
        <v>23</v>
      </c>
      <c r="E178" t="s">
        <v>36</v>
      </c>
      <c r="F178">
        <v>3</v>
      </c>
      <c r="G178" s="2">
        <v>1400</v>
      </c>
      <c r="H178" s="3">
        <v>0.05</v>
      </c>
      <c r="I178" t="s">
        <v>66</v>
      </c>
      <c r="J178" t="s">
        <v>18</v>
      </c>
      <c r="K178" t="s">
        <v>41</v>
      </c>
      <c r="L178" s="2">
        <v>3990</v>
      </c>
      <c r="M178" t="s">
        <v>138</v>
      </c>
    </row>
    <row r="179" spans="1:13" x14ac:dyDescent="0.3">
      <c r="A179" t="s">
        <v>383</v>
      </c>
      <c r="B179" s="1">
        <v>46154</v>
      </c>
      <c r="C179" t="s">
        <v>384</v>
      </c>
      <c r="D179" t="s">
        <v>152</v>
      </c>
      <c r="E179" t="s">
        <v>63</v>
      </c>
      <c r="F179">
        <v>2</v>
      </c>
      <c r="G179" s="2">
        <v>2310</v>
      </c>
      <c r="H179" s="3">
        <v>0.1</v>
      </c>
      <c r="I179" t="s">
        <v>17</v>
      </c>
      <c r="J179" t="s">
        <v>71</v>
      </c>
      <c r="K179" t="s">
        <v>19</v>
      </c>
      <c r="L179" s="2">
        <v>4158</v>
      </c>
      <c r="M179" t="s">
        <v>20</v>
      </c>
    </row>
    <row r="180" spans="1:13" x14ac:dyDescent="0.3">
      <c r="A180" t="s">
        <v>385</v>
      </c>
      <c r="B180" s="1">
        <v>46097</v>
      </c>
      <c r="C180" t="s">
        <v>386</v>
      </c>
      <c r="D180" t="s">
        <v>70</v>
      </c>
      <c r="E180" t="s">
        <v>183</v>
      </c>
      <c r="F180">
        <v>2</v>
      </c>
      <c r="G180" s="2">
        <v>3200</v>
      </c>
      <c r="H180" s="3">
        <v>0</v>
      </c>
      <c r="I180" t="s">
        <v>17</v>
      </c>
      <c r="J180" t="s">
        <v>71</v>
      </c>
      <c r="K180" t="s">
        <v>55</v>
      </c>
      <c r="L180" s="2">
        <v>6400</v>
      </c>
      <c r="M180" t="s">
        <v>82</v>
      </c>
    </row>
    <row r="181" spans="1:13" x14ac:dyDescent="0.3">
      <c r="A181" t="s">
        <v>387</v>
      </c>
      <c r="B181" s="1">
        <v>46142</v>
      </c>
      <c r="C181" t="s">
        <v>388</v>
      </c>
      <c r="D181" t="s">
        <v>62</v>
      </c>
      <c r="E181" t="s">
        <v>135</v>
      </c>
      <c r="F181">
        <v>2</v>
      </c>
      <c r="G181" s="2">
        <v>17640</v>
      </c>
      <c r="H181" s="3">
        <v>0</v>
      </c>
      <c r="I181" t="s">
        <v>80</v>
      </c>
      <c r="J181" t="s">
        <v>71</v>
      </c>
      <c r="K181" t="s">
        <v>25</v>
      </c>
      <c r="L181" s="2">
        <v>35280</v>
      </c>
      <c r="M181" t="s">
        <v>138</v>
      </c>
    </row>
    <row r="182" spans="1:13" x14ac:dyDescent="0.3">
      <c r="A182" t="s">
        <v>389</v>
      </c>
      <c r="B182" s="1">
        <v>46035</v>
      </c>
      <c r="C182" t="s">
        <v>111</v>
      </c>
      <c r="D182" t="s">
        <v>168</v>
      </c>
      <c r="E182" t="s">
        <v>135</v>
      </c>
      <c r="F182">
        <v>2</v>
      </c>
      <c r="G182" s="2">
        <v>16800</v>
      </c>
      <c r="H182" s="3">
        <v>0.2</v>
      </c>
      <c r="I182" t="s">
        <v>17</v>
      </c>
      <c r="J182" t="s">
        <v>31</v>
      </c>
      <c r="K182" t="s">
        <v>55</v>
      </c>
      <c r="L182" s="2">
        <v>26880</v>
      </c>
      <c r="M182" t="s">
        <v>59</v>
      </c>
    </row>
    <row r="183" spans="1:13" x14ac:dyDescent="0.3">
      <c r="A183" t="s">
        <v>390</v>
      </c>
      <c r="B183" s="1">
        <v>46090</v>
      </c>
      <c r="C183" t="s">
        <v>391</v>
      </c>
      <c r="D183" t="s">
        <v>123</v>
      </c>
      <c r="E183" t="s">
        <v>36</v>
      </c>
      <c r="F183">
        <v>4</v>
      </c>
      <c r="G183" s="2">
        <v>1330</v>
      </c>
      <c r="H183" s="3">
        <v>0.05</v>
      </c>
      <c r="I183" t="s">
        <v>17</v>
      </c>
      <c r="J183" t="s">
        <v>47</v>
      </c>
      <c r="K183" t="s">
        <v>25</v>
      </c>
      <c r="L183" s="2">
        <v>5054</v>
      </c>
      <c r="M183" t="s">
        <v>26</v>
      </c>
    </row>
    <row r="184" spans="1:13" x14ac:dyDescent="0.3">
      <c r="A184" t="s">
        <v>392</v>
      </c>
      <c r="B184" s="1">
        <v>46041</v>
      </c>
      <c r="C184" t="s">
        <v>393</v>
      </c>
      <c r="D184" t="s">
        <v>70</v>
      </c>
      <c r="E184" t="s">
        <v>51</v>
      </c>
      <c r="F184">
        <v>2</v>
      </c>
      <c r="G184" s="2">
        <v>17575</v>
      </c>
      <c r="H184" s="3">
        <v>0.15</v>
      </c>
      <c r="I184" t="s">
        <v>17</v>
      </c>
      <c r="J184" t="s">
        <v>31</v>
      </c>
      <c r="K184" t="s">
        <v>55</v>
      </c>
      <c r="L184" s="2">
        <v>29877.5</v>
      </c>
      <c r="M184" t="s">
        <v>138</v>
      </c>
    </row>
    <row r="185" spans="1:13" x14ac:dyDescent="0.3">
      <c r="A185" t="s">
        <v>394</v>
      </c>
      <c r="B185" s="1">
        <v>46109</v>
      </c>
      <c r="C185" t="s">
        <v>69</v>
      </c>
      <c r="D185" t="s">
        <v>152</v>
      </c>
      <c r="E185" t="s">
        <v>36</v>
      </c>
      <c r="F185">
        <v>4</v>
      </c>
      <c r="G185" s="2">
        <v>1470</v>
      </c>
      <c r="H185" s="3">
        <v>0</v>
      </c>
      <c r="I185" t="s">
        <v>17</v>
      </c>
      <c r="J185" t="s">
        <v>31</v>
      </c>
      <c r="K185" t="s">
        <v>19</v>
      </c>
      <c r="L185" s="2">
        <v>5880</v>
      </c>
      <c r="M185" t="s">
        <v>20</v>
      </c>
    </row>
    <row r="186" spans="1:13" x14ac:dyDescent="0.3">
      <c r="A186" t="s">
        <v>395</v>
      </c>
      <c r="B186" s="1">
        <v>46058</v>
      </c>
      <c r="C186" t="s">
        <v>396</v>
      </c>
      <c r="D186" t="s">
        <v>123</v>
      </c>
      <c r="E186" t="s">
        <v>36</v>
      </c>
      <c r="F186">
        <v>4</v>
      </c>
      <c r="G186" s="2">
        <v>1400</v>
      </c>
      <c r="H186" s="3">
        <v>0.15</v>
      </c>
      <c r="I186" t="s">
        <v>17</v>
      </c>
      <c r="J186" t="s">
        <v>47</v>
      </c>
      <c r="K186" t="s">
        <v>41</v>
      </c>
      <c r="L186" s="2">
        <v>4760</v>
      </c>
      <c r="M186" t="s">
        <v>32</v>
      </c>
    </row>
    <row r="187" spans="1:13" x14ac:dyDescent="0.3">
      <c r="A187" t="s">
        <v>397</v>
      </c>
      <c r="B187" s="1">
        <v>46180</v>
      </c>
      <c r="C187" t="s">
        <v>115</v>
      </c>
      <c r="D187" t="s">
        <v>123</v>
      </c>
      <c r="E187" t="s">
        <v>135</v>
      </c>
      <c r="F187">
        <v>3</v>
      </c>
      <c r="G187" s="2">
        <v>17640</v>
      </c>
      <c r="H187" s="3">
        <v>0.15</v>
      </c>
      <c r="I187" t="s">
        <v>17</v>
      </c>
      <c r="J187" t="s">
        <v>18</v>
      </c>
      <c r="K187" t="s">
        <v>19</v>
      </c>
      <c r="L187" s="2">
        <v>44982</v>
      </c>
      <c r="M187" t="s">
        <v>138</v>
      </c>
    </row>
    <row r="188" spans="1:13" x14ac:dyDescent="0.3">
      <c r="A188" t="s">
        <v>398</v>
      </c>
      <c r="B188" s="1">
        <v>46107</v>
      </c>
      <c r="C188" t="s">
        <v>399</v>
      </c>
      <c r="D188" t="s">
        <v>95</v>
      </c>
      <c r="E188" t="s">
        <v>63</v>
      </c>
      <c r="F188">
        <v>10</v>
      </c>
      <c r="G188" s="2">
        <v>2090</v>
      </c>
      <c r="H188" s="3">
        <v>0.15</v>
      </c>
      <c r="I188" t="s">
        <v>17</v>
      </c>
      <c r="J188" t="s">
        <v>47</v>
      </c>
      <c r="K188" t="s">
        <v>25</v>
      </c>
      <c r="L188" s="2">
        <v>17765</v>
      </c>
      <c r="M188" t="s">
        <v>48</v>
      </c>
    </row>
    <row r="189" spans="1:13" x14ac:dyDescent="0.3">
      <c r="A189" t="s">
        <v>400</v>
      </c>
      <c r="B189" s="1">
        <v>46081</v>
      </c>
      <c r="C189" t="s">
        <v>401</v>
      </c>
      <c r="D189" t="s">
        <v>123</v>
      </c>
      <c r="E189" t="s">
        <v>16</v>
      </c>
      <c r="F189">
        <v>3</v>
      </c>
      <c r="G189" s="2">
        <v>682.5</v>
      </c>
      <c r="H189" s="3">
        <v>0</v>
      </c>
      <c r="I189" t="s">
        <v>17</v>
      </c>
      <c r="J189" t="s">
        <v>71</v>
      </c>
      <c r="K189" t="s">
        <v>19</v>
      </c>
      <c r="L189" s="2">
        <v>2047.5</v>
      </c>
      <c r="M189" t="s">
        <v>48</v>
      </c>
    </row>
    <row r="190" spans="1:13" x14ac:dyDescent="0.3">
      <c r="A190" t="s">
        <v>402</v>
      </c>
      <c r="B190" s="1">
        <v>46202</v>
      </c>
      <c r="C190" t="s">
        <v>403</v>
      </c>
      <c r="D190" t="s">
        <v>15</v>
      </c>
      <c r="E190" t="s">
        <v>24</v>
      </c>
      <c r="F190">
        <v>1</v>
      </c>
      <c r="G190" s="2">
        <v>11760</v>
      </c>
      <c r="H190" s="3">
        <v>0.05</v>
      </c>
      <c r="I190" t="s">
        <v>17</v>
      </c>
      <c r="J190" t="s">
        <v>18</v>
      </c>
      <c r="K190" t="s">
        <v>25</v>
      </c>
      <c r="L190" s="2">
        <v>11172</v>
      </c>
      <c r="M190" t="s">
        <v>48</v>
      </c>
    </row>
    <row r="191" spans="1:13" x14ac:dyDescent="0.3">
      <c r="A191" t="s">
        <v>404</v>
      </c>
      <c r="B191" s="1">
        <v>46143</v>
      </c>
      <c r="C191" t="s">
        <v>405</v>
      </c>
      <c r="D191" t="s">
        <v>90</v>
      </c>
      <c r="E191" t="s">
        <v>85</v>
      </c>
      <c r="F191">
        <v>3</v>
      </c>
      <c r="G191" s="2">
        <v>48500</v>
      </c>
      <c r="H191" s="3">
        <v>0.2</v>
      </c>
      <c r="I191" t="s">
        <v>17</v>
      </c>
      <c r="J191" t="s">
        <v>18</v>
      </c>
      <c r="K191" t="s">
        <v>25</v>
      </c>
      <c r="L191" s="2">
        <v>116400</v>
      </c>
      <c r="M191" t="s">
        <v>32</v>
      </c>
    </row>
    <row r="192" spans="1:13" x14ac:dyDescent="0.3">
      <c r="A192" t="s">
        <v>406</v>
      </c>
      <c r="B192" s="1">
        <v>46103</v>
      </c>
      <c r="C192" t="s">
        <v>407</v>
      </c>
      <c r="D192" t="s">
        <v>50</v>
      </c>
      <c r="E192" t="s">
        <v>46</v>
      </c>
      <c r="F192">
        <v>5</v>
      </c>
      <c r="G192" s="2">
        <v>7800</v>
      </c>
      <c r="H192" s="3">
        <v>0.05</v>
      </c>
      <c r="I192" t="s">
        <v>17</v>
      </c>
      <c r="J192" t="s">
        <v>71</v>
      </c>
      <c r="K192" t="s">
        <v>41</v>
      </c>
      <c r="L192" s="2">
        <v>37050</v>
      </c>
      <c r="M192" t="s">
        <v>26</v>
      </c>
    </row>
    <row r="193" spans="1:13" x14ac:dyDescent="0.3">
      <c r="A193" t="s">
        <v>408</v>
      </c>
      <c r="B193" s="1">
        <v>46165</v>
      </c>
      <c r="C193" t="s">
        <v>409</v>
      </c>
      <c r="D193" t="s">
        <v>45</v>
      </c>
      <c r="E193" t="s">
        <v>24</v>
      </c>
      <c r="F193">
        <v>8</v>
      </c>
      <c r="G193" s="2">
        <v>11200</v>
      </c>
      <c r="H193" s="3">
        <v>0.05</v>
      </c>
      <c r="I193" t="s">
        <v>17</v>
      </c>
      <c r="J193" t="s">
        <v>47</v>
      </c>
      <c r="K193" t="s">
        <v>55</v>
      </c>
      <c r="L193" s="2">
        <v>85120</v>
      </c>
      <c r="M193" t="s">
        <v>138</v>
      </c>
    </row>
    <row r="194" spans="1:13" x14ac:dyDescent="0.3">
      <c r="A194" t="s">
        <v>410</v>
      </c>
      <c r="B194" s="1">
        <v>46166</v>
      </c>
      <c r="C194" t="s">
        <v>411</v>
      </c>
      <c r="D194" t="s">
        <v>77</v>
      </c>
      <c r="E194" t="s">
        <v>85</v>
      </c>
      <c r="F194">
        <v>1</v>
      </c>
      <c r="G194" s="2">
        <v>50925</v>
      </c>
      <c r="H194" s="3">
        <v>0</v>
      </c>
      <c r="I194" t="s">
        <v>17</v>
      </c>
      <c r="J194" t="s">
        <v>47</v>
      </c>
      <c r="K194" t="s">
        <v>41</v>
      </c>
      <c r="L194" s="2">
        <v>50925</v>
      </c>
      <c r="M194" t="s">
        <v>26</v>
      </c>
    </row>
    <row r="195" spans="1:13" x14ac:dyDescent="0.3">
      <c r="A195" t="s">
        <v>412</v>
      </c>
      <c r="B195" s="1">
        <v>46033</v>
      </c>
      <c r="C195" t="s">
        <v>89</v>
      </c>
      <c r="D195" t="s">
        <v>45</v>
      </c>
      <c r="F195">
        <v>1</v>
      </c>
      <c r="G195" s="2">
        <v>50925</v>
      </c>
      <c r="H195" s="3">
        <v>0.1</v>
      </c>
      <c r="I195" t="s">
        <v>17</v>
      </c>
      <c r="J195" t="s">
        <v>71</v>
      </c>
      <c r="K195" t="s">
        <v>25</v>
      </c>
      <c r="L195" s="2">
        <v>45832.5</v>
      </c>
      <c r="M195" t="s">
        <v>26</v>
      </c>
    </row>
    <row r="196" spans="1:13" x14ac:dyDescent="0.3">
      <c r="A196" t="s">
        <v>413</v>
      </c>
      <c r="B196" s="1">
        <v>46166</v>
      </c>
      <c r="C196" t="s">
        <v>414</v>
      </c>
      <c r="D196" t="s">
        <v>123</v>
      </c>
      <c r="E196" t="s">
        <v>135</v>
      </c>
      <c r="F196">
        <v>1</v>
      </c>
      <c r="G196" s="2">
        <v>16800</v>
      </c>
      <c r="H196" s="3">
        <v>0.15</v>
      </c>
      <c r="I196" t="s">
        <v>17</v>
      </c>
      <c r="J196" t="s">
        <v>31</v>
      </c>
      <c r="K196" t="s">
        <v>25</v>
      </c>
      <c r="L196" s="2">
        <v>14280</v>
      </c>
      <c r="M196" t="s">
        <v>52</v>
      </c>
    </row>
    <row r="197" spans="1:13" x14ac:dyDescent="0.3">
      <c r="A197" t="s">
        <v>415</v>
      </c>
      <c r="B197" s="1">
        <v>46186</v>
      </c>
      <c r="C197" t="s">
        <v>363</v>
      </c>
      <c r="D197" t="s">
        <v>23</v>
      </c>
      <c r="E197" t="s">
        <v>16</v>
      </c>
      <c r="F197">
        <v>1</v>
      </c>
      <c r="G197" s="2">
        <v>617.5</v>
      </c>
      <c r="H197" s="3">
        <v>0.05</v>
      </c>
      <c r="I197" t="s">
        <v>17</v>
      </c>
      <c r="J197" t="s">
        <v>31</v>
      </c>
      <c r="K197" t="s">
        <v>25</v>
      </c>
      <c r="L197" s="2">
        <v>586.62</v>
      </c>
      <c r="M197" t="s">
        <v>59</v>
      </c>
    </row>
    <row r="198" spans="1:13" x14ac:dyDescent="0.3">
      <c r="A198" t="s">
        <v>416</v>
      </c>
      <c r="B198" s="1">
        <v>46127</v>
      </c>
      <c r="C198" t="s">
        <v>315</v>
      </c>
      <c r="D198" t="s">
        <v>95</v>
      </c>
      <c r="E198" t="s">
        <v>46</v>
      </c>
      <c r="F198">
        <v>2</v>
      </c>
      <c r="G198" s="2">
        <v>7800</v>
      </c>
      <c r="H198" s="3">
        <v>0</v>
      </c>
      <c r="I198" t="s">
        <v>17</v>
      </c>
      <c r="J198" t="s">
        <v>47</v>
      </c>
      <c r="K198" t="s">
        <v>19</v>
      </c>
      <c r="L198" s="2">
        <v>15600</v>
      </c>
      <c r="M198" t="s">
        <v>42</v>
      </c>
    </row>
    <row r="199" spans="1:13" x14ac:dyDescent="0.3">
      <c r="A199" t="s">
        <v>417</v>
      </c>
      <c r="B199" s="1">
        <v>46189</v>
      </c>
      <c r="C199" t="s">
        <v>298</v>
      </c>
      <c r="D199" t="s">
        <v>40</v>
      </c>
      <c r="E199" t="s">
        <v>24</v>
      </c>
      <c r="F199">
        <v>2</v>
      </c>
      <c r="G199" s="2">
        <v>10640</v>
      </c>
      <c r="H199" s="3">
        <v>0.2</v>
      </c>
      <c r="I199" t="s">
        <v>66</v>
      </c>
      <c r="J199" t="s">
        <v>18</v>
      </c>
      <c r="K199" t="s">
        <v>41</v>
      </c>
      <c r="L199" s="2">
        <v>17024</v>
      </c>
      <c r="M199" t="s">
        <v>20</v>
      </c>
    </row>
    <row r="200" spans="1:13" x14ac:dyDescent="0.3">
      <c r="A200" t="s">
        <v>418</v>
      </c>
      <c r="B200" s="1">
        <v>46124</v>
      </c>
      <c r="C200" t="s">
        <v>419</v>
      </c>
      <c r="D200" t="s">
        <v>29</v>
      </c>
      <c r="E200" t="s">
        <v>46</v>
      </c>
      <c r="F200">
        <v>1</v>
      </c>
      <c r="G200" s="2">
        <v>7800</v>
      </c>
      <c r="H200" s="3">
        <v>0.2</v>
      </c>
      <c r="I200" t="s">
        <v>116</v>
      </c>
      <c r="J200" t="s">
        <v>31</v>
      </c>
      <c r="K200" t="s">
        <v>67</v>
      </c>
      <c r="L200" s="2">
        <v>6240</v>
      </c>
      <c r="M200" t="s">
        <v>48</v>
      </c>
    </row>
    <row r="201" spans="1:13" x14ac:dyDescent="0.3">
      <c r="A201" t="s">
        <v>420</v>
      </c>
      <c r="B201" s="1">
        <v>46177</v>
      </c>
      <c r="C201" t="s">
        <v>421</v>
      </c>
      <c r="D201" t="s">
        <v>15</v>
      </c>
      <c r="E201" t="s">
        <v>36</v>
      </c>
      <c r="F201">
        <v>1</v>
      </c>
      <c r="G201" s="2">
        <v>1470</v>
      </c>
      <c r="H201" s="3">
        <v>0.2</v>
      </c>
      <c r="I201" t="s">
        <v>17</v>
      </c>
      <c r="J201" t="s">
        <v>18</v>
      </c>
      <c r="K201" t="s">
        <v>67</v>
      </c>
      <c r="L201" s="2">
        <v>1176</v>
      </c>
      <c r="M201" t="s">
        <v>52</v>
      </c>
    </row>
    <row r="202" spans="1:13" x14ac:dyDescent="0.3">
      <c r="A202" t="s">
        <v>422</v>
      </c>
      <c r="B202" s="1">
        <v>46051</v>
      </c>
      <c r="C202" t="s">
        <v>234</v>
      </c>
      <c r="D202" t="s">
        <v>35</v>
      </c>
      <c r="E202" t="s">
        <v>30</v>
      </c>
      <c r="F202">
        <v>4</v>
      </c>
      <c r="G202" s="2">
        <v>1800</v>
      </c>
      <c r="H202" s="3">
        <v>0.2</v>
      </c>
      <c r="I202" t="s">
        <v>17</v>
      </c>
      <c r="J202" t="s">
        <v>47</v>
      </c>
      <c r="K202" t="s">
        <v>67</v>
      </c>
      <c r="L202" s="2">
        <v>5760</v>
      </c>
      <c r="M202" t="s">
        <v>48</v>
      </c>
    </row>
    <row r="203" spans="1:13" x14ac:dyDescent="0.3">
      <c r="A203" t="s">
        <v>423</v>
      </c>
      <c r="B203" s="1">
        <v>46195</v>
      </c>
      <c r="C203" t="s">
        <v>396</v>
      </c>
      <c r="D203" t="s">
        <v>29</v>
      </c>
      <c r="E203" t="s">
        <v>24</v>
      </c>
      <c r="F203">
        <v>1</v>
      </c>
      <c r="G203" s="2">
        <v>11760</v>
      </c>
      <c r="H203" s="3">
        <v>0.2</v>
      </c>
      <c r="I203" t="s">
        <v>66</v>
      </c>
      <c r="J203" t="s">
        <v>31</v>
      </c>
      <c r="K203" t="s">
        <v>55</v>
      </c>
      <c r="L203" s="2">
        <v>9408</v>
      </c>
      <c r="M203" t="s">
        <v>42</v>
      </c>
    </row>
    <row r="204" spans="1:13" x14ac:dyDescent="0.3">
      <c r="A204" t="s">
        <v>424</v>
      </c>
      <c r="B204" s="1">
        <v>46070</v>
      </c>
      <c r="C204" t="s">
        <v>264</v>
      </c>
      <c r="D204" t="s">
        <v>50</v>
      </c>
      <c r="E204" t="s">
        <v>46</v>
      </c>
      <c r="F204">
        <v>2</v>
      </c>
      <c r="G204" s="2">
        <v>8190</v>
      </c>
      <c r="H204" s="3">
        <v>0</v>
      </c>
      <c r="I204" t="s">
        <v>17</v>
      </c>
      <c r="J204" t="s">
        <v>18</v>
      </c>
      <c r="K204" t="s">
        <v>67</v>
      </c>
      <c r="L204" s="2">
        <v>16380</v>
      </c>
      <c r="M204" t="s">
        <v>138</v>
      </c>
    </row>
    <row r="205" spans="1:13" x14ac:dyDescent="0.3">
      <c r="A205" t="s">
        <v>425</v>
      </c>
      <c r="B205" s="1">
        <v>46100</v>
      </c>
      <c r="C205" t="s">
        <v>426</v>
      </c>
      <c r="D205" t="s">
        <v>40</v>
      </c>
      <c r="E205" t="s">
        <v>85</v>
      </c>
      <c r="F205">
        <v>3</v>
      </c>
      <c r="G205" s="2">
        <v>48500</v>
      </c>
      <c r="H205" s="3">
        <v>0.05</v>
      </c>
      <c r="I205" t="s">
        <v>17</v>
      </c>
      <c r="J205" t="s">
        <v>31</v>
      </c>
      <c r="K205" t="s">
        <v>55</v>
      </c>
      <c r="L205" s="2">
        <v>138225</v>
      </c>
      <c r="M205" t="s">
        <v>26</v>
      </c>
    </row>
    <row r="206" spans="1:13" x14ac:dyDescent="0.3">
      <c r="A206" t="s">
        <v>427</v>
      </c>
      <c r="B206" s="1">
        <v>46063</v>
      </c>
      <c r="C206" t="s">
        <v>246</v>
      </c>
      <c r="D206" t="s">
        <v>70</v>
      </c>
      <c r="E206" t="s">
        <v>74</v>
      </c>
      <c r="F206">
        <v>2</v>
      </c>
      <c r="G206" s="2">
        <v>2280</v>
      </c>
      <c r="H206" s="3">
        <v>0.2</v>
      </c>
      <c r="I206" t="s">
        <v>17</v>
      </c>
      <c r="J206" t="s">
        <v>47</v>
      </c>
      <c r="K206" t="s">
        <v>25</v>
      </c>
      <c r="L206" s="2">
        <v>3648</v>
      </c>
      <c r="M206" t="s">
        <v>52</v>
      </c>
    </row>
    <row r="207" spans="1:13" x14ac:dyDescent="0.3">
      <c r="A207" t="s">
        <v>428</v>
      </c>
      <c r="B207" s="1">
        <v>46079</v>
      </c>
      <c r="C207" t="s">
        <v>252</v>
      </c>
      <c r="D207" t="s">
        <v>50</v>
      </c>
      <c r="E207" t="s">
        <v>46</v>
      </c>
      <c r="F207">
        <v>1</v>
      </c>
      <c r="G207" s="2">
        <v>7800</v>
      </c>
      <c r="H207" s="3">
        <v>0.2</v>
      </c>
      <c r="I207" t="s">
        <v>116</v>
      </c>
      <c r="J207" t="s">
        <v>18</v>
      </c>
      <c r="K207" t="s">
        <v>25</v>
      </c>
      <c r="L207" s="2">
        <v>6240</v>
      </c>
      <c r="M207" t="s">
        <v>52</v>
      </c>
    </row>
    <row r="208" spans="1:13" x14ac:dyDescent="0.3">
      <c r="A208" t="s">
        <v>429</v>
      </c>
      <c r="B208" s="1">
        <v>46086</v>
      </c>
      <c r="C208" t="s">
        <v>430</v>
      </c>
      <c r="D208" t="s">
        <v>95</v>
      </c>
      <c r="E208" t="s">
        <v>183</v>
      </c>
      <c r="F208">
        <v>5</v>
      </c>
      <c r="G208" s="2">
        <v>3200</v>
      </c>
      <c r="H208" s="3">
        <v>0</v>
      </c>
      <c r="I208" t="s">
        <v>17</v>
      </c>
      <c r="J208" t="s">
        <v>31</v>
      </c>
      <c r="K208" t="s">
        <v>19</v>
      </c>
      <c r="L208" s="2">
        <v>16000</v>
      </c>
      <c r="M208" t="s">
        <v>82</v>
      </c>
    </row>
    <row r="209" spans="1:13" x14ac:dyDescent="0.3">
      <c r="A209" t="s">
        <v>431</v>
      </c>
      <c r="B209" s="1">
        <v>46152</v>
      </c>
      <c r="C209" t="s">
        <v>217</v>
      </c>
      <c r="D209" t="s">
        <v>23</v>
      </c>
      <c r="E209" t="s">
        <v>183</v>
      </c>
      <c r="F209">
        <v>2</v>
      </c>
      <c r="G209" s="2">
        <v>3360</v>
      </c>
      <c r="H209" s="3">
        <v>0</v>
      </c>
      <c r="I209" t="s">
        <v>17</v>
      </c>
      <c r="J209" t="s">
        <v>104</v>
      </c>
      <c r="K209" t="s">
        <v>25</v>
      </c>
      <c r="L209" s="2">
        <v>6720</v>
      </c>
    </row>
    <row r="210" spans="1:13" x14ac:dyDescent="0.3">
      <c r="A210" t="s">
        <v>432</v>
      </c>
      <c r="B210" s="1">
        <v>46046</v>
      </c>
      <c r="C210" t="s">
        <v>148</v>
      </c>
      <c r="D210" t="s">
        <v>77</v>
      </c>
      <c r="E210" t="s">
        <v>51</v>
      </c>
      <c r="F210">
        <v>2</v>
      </c>
      <c r="G210" s="2">
        <v>19425</v>
      </c>
      <c r="H210" s="3">
        <v>0</v>
      </c>
      <c r="I210" t="s">
        <v>17</v>
      </c>
      <c r="J210" t="s">
        <v>31</v>
      </c>
      <c r="K210" t="s">
        <v>25</v>
      </c>
      <c r="L210" s="2">
        <v>38850</v>
      </c>
      <c r="M210" t="s">
        <v>56</v>
      </c>
    </row>
    <row r="211" spans="1:13" x14ac:dyDescent="0.3">
      <c r="A211" t="s">
        <v>433</v>
      </c>
      <c r="B211" s="1">
        <v>46195</v>
      </c>
      <c r="C211" t="s">
        <v>434</v>
      </c>
      <c r="D211" t="s">
        <v>29</v>
      </c>
      <c r="E211" t="s">
        <v>135</v>
      </c>
      <c r="F211">
        <v>3</v>
      </c>
      <c r="G211" s="2">
        <v>15960</v>
      </c>
      <c r="H211" s="3">
        <v>0.1</v>
      </c>
      <c r="I211" t="s">
        <v>17</v>
      </c>
      <c r="J211" t="s">
        <v>31</v>
      </c>
      <c r="K211" t="s">
        <v>19</v>
      </c>
      <c r="L211" s="2">
        <v>43092</v>
      </c>
      <c r="M211" t="s">
        <v>32</v>
      </c>
    </row>
    <row r="212" spans="1:13" x14ac:dyDescent="0.3">
      <c r="A212" t="s">
        <v>435</v>
      </c>
      <c r="B212" s="1">
        <v>46111</v>
      </c>
      <c r="C212" t="s">
        <v>436</v>
      </c>
      <c r="D212" t="s">
        <v>123</v>
      </c>
      <c r="E212" t="s">
        <v>63</v>
      </c>
      <c r="F212">
        <v>2</v>
      </c>
      <c r="G212" s="2">
        <v>2090</v>
      </c>
      <c r="H212" s="3">
        <v>0</v>
      </c>
      <c r="I212" t="s">
        <v>80</v>
      </c>
      <c r="J212" t="s">
        <v>31</v>
      </c>
      <c r="K212" t="s">
        <v>67</v>
      </c>
      <c r="L212" s="2">
        <v>4180</v>
      </c>
      <c r="M212" t="s">
        <v>32</v>
      </c>
    </row>
    <row r="213" spans="1:13" x14ac:dyDescent="0.3">
      <c r="A213" t="s">
        <v>437</v>
      </c>
      <c r="B213" s="1">
        <v>46069</v>
      </c>
      <c r="C213" t="s">
        <v>438</v>
      </c>
      <c r="D213" t="s">
        <v>29</v>
      </c>
      <c r="E213" t="s">
        <v>30</v>
      </c>
      <c r="F213">
        <v>4</v>
      </c>
      <c r="G213" s="2">
        <v>1890</v>
      </c>
      <c r="H213" s="3">
        <v>0.2</v>
      </c>
      <c r="I213" t="s">
        <v>17</v>
      </c>
      <c r="J213" t="s">
        <v>18</v>
      </c>
      <c r="K213" t="s">
        <v>55</v>
      </c>
      <c r="L213" s="2">
        <v>6048</v>
      </c>
      <c r="M213" t="s">
        <v>32</v>
      </c>
    </row>
    <row r="214" spans="1:13" x14ac:dyDescent="0.3">
      <c r="A214" t="s">
        <v>439</v>
      </c>
      <c r="B214" s="1">
        <v>46119</v>
      </c>
      <c r="C214" t="s">
        <v>440</v>
      </c>
      <c r="D214" t="s">
        <v>15</v>
      </c>
      <c r="E214" t="s">
        <v>74</v>
      </c>
      <c r="F214">
        <v>8</v>
      </c>
      <c r="G214" s="2">
        <v>2400</v>
      </c>
      <c r="H214" s="3">
        <v>0.15</v>
      </c>
      <c r="I214" t="s">
        <v>17</v>
      </c>
      <c r="J214" t="s">
        <v>71</v>
      </c>
      <c r="K214" t="s">
        <v>25</v>
      </c>
      <c r="L214" s="2">
        <v>16320</v>
      </c>
      <c r="M214" t="s">
        <v>32</v>
      </c>
    </row>
    <row r="215" spans="1:13" x14ac:dyDescent="0.3">
      <c r="A215" t="s">
        <v>441</v>
      </c>
      <c r="B215" s="1">
        <v>46158</v>
      </c>
      <c r="C215" t="s">
        <v>442</v>
      </c>
      <c r="D215" t="s">
        <v>50</v>
      </c>
      <c r="E215" t="s">
        <v>85</v>
      </c>
      <c r="F215">
        <v>10</v>
      </c>
      <c r="G215" s="2">
        <v>48500</v>
      </c>
      <c r="H215" s="3">
        <v>0</v>
      </c>
      <c r="I215" t="s">
        <v>17</v>
      </c>
      <c r="J215" t="s">
        <v>18</v>
      </c>
      <c r="K215" t="s">
        <v>25</v>
      </c>
      <c r="L215" s="2">
        <v>485000</v>
      </c>
      <c r="M215" t="s">
        <v>32</v>
      </c>
    </row>
    <row r="216" spans="1:13" x14ac:dyDescent="0.3">
      <c r="A216" t="s">
        <v>443</v>
      </c>
      <c r="B216" s="1">
        <v>46081</v>
      </c>
      <c r="C216" t="s">
        <v>444</v>
      </c>
      <c r="D216" t="s">
        <v>23</v>
      </c>
      <c r="E216" t="s">
        <v>46</v>
      </c>
      <c r="F216">
        <v>2</v>
      </c>
      <c r="G216" s="2">
        <v>7410</v>
      </c>
      <c r="H216" s="3">
        <v>0.05</v>
      </c>
      <c r="I216" t="s">
        <v>17</v>
      </c>
      <c r="J216" t="s">
        <v>18</v>
      </c>
      <c r="K216" t="s">
        <v>25</v>
      </c>
      <c r="L216" s="2">
        <v>14079</v>
      </c>
      <c r="M216" t="s">
        <v>20</v>
      </c>
    </row>
    <row r="217" spans="1:13" x14ac:dyDescent="0.3">
      <c r="A217" t="s">
        <v>445</v>
      </c>
      <c r="B217" s="1">
        <v>46084</v>
      </c>
      <c r="C217" t="s">
        <v>446</v>
      </c>
      <c r="D217" t="s">
        <v>23</v>
      </c>
      <c r="E217" t="s">
        <v>63</v>
      </c>
      <c r="F217">
        <v>1</v>
      </c>
      <c r="G217" s="2">
        <v>2090</v>
      </c>
      <c r="H217" s="3">
        <v>0</v>
      </c>
      <c r="I217" t="s">
        <v>17</v>
      </c>
      <c r="J217" t="s">
        <v>31</v>
      </c>
      <c r="K217" t="s">
        <v>55</v>
      </c>
      <c r="L217" s="2">
        <v>2090</v>
      </c>
      <c r="M217" t="s">
        <v>56</v>
      </c>
    </row>
    <row r="218" spans="1:13" x14ac:dyDescent="0.3">
      <c r="A218" t="s">
        <v>447</v>
      </c>
      <c r="B218" s="1">
        <v>46082</v>
      </c>
      <c r="C218" t="s">
        <v>448</v>
      </c>
      <c r="D218" t="s">
        <v>152</v>
      </c>
      <c r="E218" t="s">
        <v>24</v>
      </c>
      <c r="F218">
        <v>4</v>
      </c>
      <c r="G218" s="2">
        <v>11200</v>
      </c>
      <c r="H218" s="3">
        <v>0</v>
      </c>
      <c r="I218" t="s">
        <v>17</v>
      </c>
      <c r="J218" t="s">
        <v>47</v>
      </c>
      <c r="K218" t="s">
        <v>25</v>
      </c>
      <c r="L218" s="2">
        <v>44800</v>
      </c>
      <c r="M218" t="s">
        <v>48</v>
      </c>
    </row>
    <row r="219" spans="1:13" x14ac:dyDescent="0.3">
      <c r="A219" t="s">
        <v>449</v>
      </c>
      <c r="B219" s="1">
        <v>46195</v>
      </c>
      <c r="C219" t="s">
        <v>450</v>
      </c>
      <c r="D219" t="s">
        <v>90</v>
      </c>
      <c r="E219" t="s">
        <v>36</v>
      </c>
      <c r="F219">
        <v>1</v>
      </c>
      <c r="G219" s="2">
        <v>1400</v>
      </c>
      <c r="H219" s="3">
        <v>0</v>
      </c>
      <c r="I219" t="s">
        <v>116</v>
      </c>
      <c r="J219" t="s">
        <v>104</v>
      </c>
      <c r="K219" t="s">
        <v>67</v>
      </c>
      <c r="L219" s="2">
        <v>1400</v>
      </c>
      <c r="M219" t="s">
        <v>20</v>
      </c>
    </row>
    <row r="220" spans="1:13" x14ac:dyDescent="0.3">
      <c r="A220" t="s">
        <v>451</v>
      </c>
      <c r="B220" s="1">
        <v>46165</v>
      </c>
      <c r="C220" t="s">
        <v>452</v>
      </c>
      <c r="D220" t="s">
        <v>40</v>
      </c>
      <c r="E220" t="s">
        <v>85</v>
      </c>
      <c r="F220">
        <v>5</v>
      </c>
      <c r="G220" s="2">
        <v>50925</v>
      </c>
      <c r="H220" s="3">
        <v>0.2</v>
      </c>
      <c r="I220" t="s">
        <v>17</v>
      </c>
      <c r="J220" t="s">
        <v>47</v>
      </c>
      <c r="K220" t="s">
        <v>55</v>
      </c>
      <c r="L220" s="2">
        <v>203700</v>
      </c>
      <c r="M220" t="s">
        <v>82</v>
      </c>
    </row>
    <row r="221" spans="1:13" x14ac:dyDescent="0.3">
      <c r="A221" t="s">
        <v>453</v>
      </c>
      <c r="B221" s="1">
        <v>46104</v>
      </c>
      <c r="C221" t="s">
        <v>388</v>
      </c>
      <c r="D221" t="s">
        <v>123</v>
      </c>
      <c r="E221" t="s">
        <v>161</v>
      </c>
      <c r="F221">
        <v>2</v>
      </c>
      <c r="G221" s="2">
        <v>2730</v>
      </c>
      <c r="H221" s="3">
        <v>0.05</v>
      </c>
      <c r="I221" t="s">
        <v>17</v>
      </c>
      <c r="J221" t="s">
        <v>71</v>
      </c>
      <c r="K221" t="s">
        <v>67</v>
      </c>
      <c r="L221" s="2">
        <v>5187</v>
      </c>
      <c r="M221" t="s">
        <v>59</v>
      </c>
    </row>
    <row r="222" spans="1:13" x14ac:dyDescent="0.3">
      <c r="A222" t="s">
        <v>454</v>
      </c>
      <c r="B222" s="1">
        <v>46141</v>
      </c>
      <c r="C222" t="s">
        <v>319</v>
      </c>
      <c r="D222" t="s">
        <v>77</v>
      </c>
      <c r="E222" t="s">
        <v>16</v>
      </c>
      <c r="F222">
        <v>3</v>
      </c>
      <c r="G222" s="2">
        <v>650</v>
      </c>
      <c r="H222" s="3">
        <v>0.1</v>
      </c>
      <c r="I222" t="s">
        <v>17</v>
      </c>
      <c r="J222" t="s">
        <v>71</v>
      </c>
      <c r="K222" t="s">
        <v>67</v>
      </c>
      <c r="L222" s="2">
        <v>1755</v>
      </c>
      <c r="M222" t="s">
        <v>52</v>
      </c>
    </row>
    <row r="223" spans="1:13" x14ac:dyDescent="0.3">
      <c r="A223" t="s">
        <v>455</v>
      </c>
      <c r="B223" s="1">
        <v>46107</v>
      </c>
      <c r="C223" t="s">
        <v>285</v>
      </c>
      <c r="D223" t="s">
        <v>95</v>
      </c>
      <c r="E223" t="s">
        <v>63</v>
      </c>
      <c r="F223">
        <v>8</v>
      </c>
      <c r="G223" s="2">
        <v>2200</v>
      </c>
      <c r="H223" s="3">
        <v>0.05</v>
      </c>
      <c r="I223" t="s">
        <v>17</v>
      </c>
      <c r="J223" t="s">
        <v>47</v>
      </c>
      <c r="K223" t="s">
        <v>55</v>
      </c>
      <c r="L223" s="2">
        <v>16720</v>
      </c>
      <c r="M223" t="s">
        <v>48</v>
      </c>
    </row>
    <row r="224" spans="1:13" x14ac:dyDescent="0.3">
      <c r="A224" t="s">
        <v>456</v>
      </c>
      <c r="B224" s="1">
        <v>46177</v>
      </c>
      <c r="C224" t="s">
        <v>457</v>
      </c>
      <c r="D224" t="s">
        <v>168</v>
      </c>
      <c r="E224" t="s">
        <v>63</v>
      </c>
      <c r="F224">
        <v>1</v>
      </c>
      <c r="G224" s="2">
        <v>2200</v>
      </c>
      <c r="H224" s="3">
        <v>0.15</v>
      </c>
      <c r="I224" t="s">
        <v>17</v>
      </c>
      <c r="J224" t="s">
        <v>71</v>
      </c>
      <c r="K224" t="s">
        <v>67</v>
      </c>
      <c r="L224" s="2">
        <v>1870</v>
      </c>
      <c r="M224" t="s">
        <v>26</v>
      </c>
    </row>
    <row r="225" spans="1:13" x14ac:dyDescent="0.3">
      <c r="A225" t="s">
        <v>458</v>
      </c>
      <c r="B225" s="1">
        <v>46026</v>
      </c>
      <c r="C225" t="s">
        <v>414</v>
      </c>
      <c r="D225" t="s">
        <v>23</v>
      </c>
      <c r="E225" t="s">
        <v>24</v>
      </c>
      <c r="F225">
        <v>8</v>
      </c>
      <c r="G225" s="2">
        <v>11760</v>
      </c>
      <c r="H225" s="3">
        <v>0</v>
      </c>
      <c r="I225" t="s">
        <v>17</v>
      </c>
      <c r="J225" t="s">
        <v>71</v>
      </c>
      <c r="K225" t="s">
        <v>55</v>
      </c>
      <c r="L225" s="2">
        <v>94080</v>
      </c>
      <c r="M225" t="s">
        <v>52</v>
      </c>
    </row>
    <row r="226" spans="1:13" x14ac:dyDescent="0.3">
      <c r="A226" t="s">
        <v>459</v>
      </c>
      <c r="B226" s="1">
        <v>46164</v>
      </c>
      <c r="C226" t="s">
        <v>108</v>
      </c>
      <c r="D226" t="s">
        <v>35</v>
      </c>
      <c r="E226" t="s">
        <v>135</v>
      </c>
      <c r="F226">
        <v>2</v>
      </c>
      <c r="G226" s="2">
        <v>16800</v>
      </c>
      <c r="H226" s="3">
        <v>0.15</v>
      </c>
      <c r="I226" t="s">
        <v>17</v>
      </c>
      <c r="J226" t="s">
        <v>47</v>
      </c>
      <c r="K226" t="s">
        <v>25</v>
      </c>
      <c r="L226" s="2">
        <v>28560</v>
      </c>
      <c r="M226" t="s">
        <v>56</v>
      </c>
    </row>
    <row r="227" spans="1:13" x14ac:dyDescent="0.3">
      <c r="A227" t="s">
        <v>460</v>
      </c>
      <c r="B227" s="1">
        <v>46142</v>
      </c>
      <c r="C227" t="s">
        <v>281</v>
      </c>
      <c r="D227" t="s">
        <v>15</v>
      </c>
      <c r="E227" t="s">
        <v>85</v>
      </c>
      <c r="F227">
        <v>2</v>
      </c>
      <c r="G227" s="2">
        <v>48500</v>
      </c>
      <c r="H227" s="3">
        <v>0.05</v>
      </c>
      <c r="I227" t="s">
        <v>80</v>
      </c>
      <c r="J227" t="s">
        <v>18</v>
      </c>
      <c r="K227" t="s">
        <v>19</v>
      </c>
      <c r="L227" s="2">
        <v>92150</v>
      </c>
      <c r="M227" t="s">
        <v>48</v>
      </c>
    </row>
    <row r="228" spans="1:13" x14ac:dyDescent="0.3">
      <c r="A228" t="s">
        <v>461</v>
      </c>
      <c r="B228" s="1">
        <v>46079</v>
      </c>
      <c r="C228" t="s">
        <v>246</v>
      </c>
      <c r="D228" t="s">
        <v>123</v>
      </c>
      <c r="E228" t="s">
        <v>30</v>
      </c>
      <c r="F228">
        <v>1</v>
      </c>
      <c r="G228" s="2">
        <v>1890</v>
      </c>
      <c r="H228" s="3">
        <v>0.15</v>
      </c>
      <c r="I228" t="s">
        <v>80</v>
      </c>
      <c r="J228" t="s">
        <v>71</v>
      </c>
      <c r="K228" t="s">
        <v>41</v>
      </c>
      <c r="L228" s="2">
        <v>1606.5</v>
      </c>
      <c r="M228" t="s">
        <v>138</v>
      </c>
    </row>
    <row r="229" spans="1:13" x14ac:dyDescent="0.3">
      <c r="A229" t="s">
        <v>462</v>
      </c>
      <c r="B229" s="1">
        <v>46081</v>
      </c>
      <c r="C229" t="s">
        <v>463</v>
      </c>
      <c r="D229" t="s">
        <v>70</v>
      </c>
      <c r="E229" t="s">
        <v>183</v>
      </c>
      <c r="F229">
        <v>4</v>
      </c>
      <c r="G229" s="2">
        <v>3200</v>
      </c>
      <c r="H229" s="3">
        <v>0.1</v>
      </c>
      <c r="I229" t="s">
        <v>17</v>
      </c>
      <c r="J229" t="s">
        <v>18</v>
      </c>
      <c r="K229" t="s">
        <v>55</v>
      </c>
      <c r="L229" s="2">
        <v>11520</v>
      </c>
      <c r="M229" t="s">
        <v>56</v>
      </c>
    </row>
    <row r="230" spans="1:13" x14ac:dyDescent="0.3">
      <c r="A230" t="s">
        <v>464</v>
      </c>
      <c r="B230" s="1">
        <v>46066</v>
      </c>
      <c r="D230" t="s">
        <v>123</v>
      </c>
      <c r="E230" t="s">
        <v>36</v>
      </c>
      <c r="F230">
        <v>1</v>
      </c>
      <c r="G230" s="2">
        <v>1400</v>
      </c>
      <c r="H230" s="3">
        <v>0.2</v>
      </c>
      <c r="I230" t="s">
        <v>17</v>
      </c>
      <c r="J230" t="s">
        <v>31</v>
      </c>
      <c r="K230" t="s">
        <v>19</v>
      </c>
      <c r="L230" s="2">
        <v>1120</v>
      </c>
      <c r="M230" t="s">
        <v>20</v>
      </c>
    </row>
    <row r="231" spans="1:13" x14ac:dyDescent="0.3">
      <c r="A231" t="s">
        <v>465</v>
      </c>
      <c r="B231" s="1">
        <v>46024</v>
      </c>
      <c r="C231" t="s">
        <v>111</v>
      </c>
      <c r="D231" t="s">
        <v>70</v>
      </c>
      <c r="E231" t="s">
        <v>30</v>
      </c>
      <c r="F231">
        <v>4</v>
      </c>
      <c r="G231" s="2">
        <v>1800</v>
      </c>
      <c r="H231" s="3">
        <v>0</v>
      </c>
      <c r="I231" t="s">
        <v>17</v>
      </c>
      <c r="J231" t="s">
        <v>71</v>
      </c>
      <c r="K231" t="s">
        <v>25</v>
      </c>
      <c r="L231" s="2">
        <v>7200</v>
      </c>
      <c r="M231" t="s">
        <v>56</v>
      </c>
    </row>
    <row r="232" spans="1:13" x14ac:dyDescent="0.3">
      <c r="A232" t="s">
        <v>466</v>
      </c>
      <c r="B232" s="1">
        <v>46118</v>
      </c>
      <c r="C232" t="s">
        <v>467</v>
      </c>
      <c r="D232" t="s">
        <v>168</v>
      </c>
      <c r="E232" t="s">
        <v>183</v>
      </c>
      <c r="F232">
        <v>3</v>
      </c>
      <c r="G232" s="2">
        <v>3360</v>
      </c>
      <c r="H232" s="3">
        <v>0.15</v>
      </c>
      <c r="I232" t="s">
        <v>80</v>
      </c>
      <c r="J232" t="s">
        <v>31</v>
      </c>
      <c r="K232" t="s">
        <v>25</v>
      </c>
      <c r="L232" s="2">
        <v>8568</v>
      </c>
      <c r="M232" t="s">
        <v>82</v>
      </c>
    </row>
    <row r="233" spans="1:13" x14ac:dyDescent="0.3">
      <c r="A233" t="s">
        <v>468</v>
      </c>
      <c r="B233" s="1">
        <v>46128</v>
      </c>
      <c r="C233" t="s">
        <v>467</v>
      </c>
      <c r="D233" t="s">
        <v>168</v>
      </c>
      <c r="E233" t="s">
        <v>16</v>
      </c>
      <c r="F233">
        <v>2</v>
      </c>
      <c r="G233" s="2">
        <v>650</v>
      </c>
      <c r="H233" s="3">
        <v>0.05</v>
      </c>
      <c r="I233" t="s">
        <v>17</v>
      </c>
      <c r="J233" t="s">
        <v>18</v>
      </c>
      <c r="K233" t="s">
        <v>41</v>
      </c>
      <c r="L233" s="2">
        <v>1235</v>
      </c>
      <c r="M233" t="s">
        <v>42</v>
      </c>
    </row>
    <row r="234" spans="1:13" x14ac:dyDescent="0.3">
      <c r="A234" t="s">
        <v>469</v>
      </c>
      <c r="B234" s="1">
        <v>46047</v>
      </c>
      <c r="C234" t="s">
        <v>129</v>
      </c>
      <c r="D234" t="s">
        <v>152</v>
      </c>
      <c r="E234" t="s">
        <v>30</v>
      </c>
      <c r="F234">
        <v>1</v>
      </c>
      <c r="G234" s="2">
        <v>1800</v>
      </c>
      <c r="H234" s="3">
        <v>0.15</v>
      </c>
      <c r="I234" t="s">
        <v>17</v>
      </c>
      <c r="J234" t="s">
        <v>18</v>
      </c>
      <c r="K234" t="s">
        <v>19</v>
      </c>
      <c r="L234" s="2">
        <v>1530</v>
      </c>
      <c r="M234" t="s">
        <v>138</v>
      </c>
    </row>
    <row r="235" spans="1:13" x14ac:dyDescent="0.3">
      <c r="A235" t="s">
        <v>470</v>
      </c>
      <c r="B235" s="1">
        <v>46126</v>
      </c>
      <c r="C235" t="s">
        <v>444</v>
      </c>
      <c r="D235" t="s">
        <v>62</v>
      </c>
      <c r="E235" t="s">
        <v>183</v>
      </c>
      <c r="F235">
        <v>1</v>
      </c>
      <c r="G235" s="2">
        <v>3040</v>
      </c>
      <c r="H235" s="3">
        <v>0.2</v>
      </c>
      <c r="I235" t="s">
        <v>17</v>
      </c>
      <c r="J235" t="s">
        <v>31</v>
      </c>
      <c r="K235" t="s">
        <v>55</v>
      </c>
      <c r="L235" s="2">
        <v>2432</v>
      </c>
      <c r="M235" t="s">
        <v>32</v>
      </c>
    </row>
    <row r="236" spans="1:13" x14ac:dyDescent="0.3">
      <c r="A236" t="s">
        <v>471</v>
      </c>
      <c r="B236" s="1">
        <v>46119</v>
      </c>
      <c r="C236" t="s">
        <v>219</v>
      </c>
      <c r="D236" t="s">
        <v>152</v>
      </c>
      <c r="E236" t="s">
        <v>46</v>
      </c>
      <c r="F236">
        <v>1</v>
      </c>
      <c r="G236" s="2">
        <v>7410</v>
      </c>
      <c r="H236" s="3">
        <v>0</v>
      </c>
      <c r="I236" t="s">
        <v>17</v>
      </c>
      <c r="J236" t="s">
        <v>18</v>
      </c>
      <c r="K236" t="s">
        <v>67</v>
      </c>
      <c r="L236" s="2">
        <v>7410</v>
      </c>
      <c r="M236" t="s">
        <v>48</v>
      </c>
    </row>
    <row r="237" spans="1:13" x14ac:dyDescent="0.3">
      <c r="A237" t="s">
        <v>472</v>
      </c>
      <c r="B237" s="1">
        <v>46047</v>
      </c>
      <c r="C237" t="s">
        <v>473</v>
      </c>
      <c r="D237" t="s">
        <v>77</v>
      </c>
      <c r="E237" t="s">
        <v>51</v>
      </c>
      <c r="F237">
        <v>5</v>
      </c>
      <c r="G237" s="2">
        <v>19425</v>
      </c>
      <c r="H237" s="3">
        <v>0</v>
      </c>
      <c r="I237" t="s">
        <v>17</v>
      </c>
      <c r="J237" t="s">
        <v>31</v>
      </c>
      <c r="K237" t="s">
        <v>19</v>
      </c>
      <c r="L237" s="2">
        <v>97125</v>
      </c>
      <c r="M237" t="s">
        <v>26</v>
      </c>
    </row>
    <row r="238" spans="1:13" x14ac:dyDescent="0.3">
      <c r="A238" t="s">
        <v>474</v>
      </c>
      <c r="B238" s="1">
        <v>46162</v>
      </c>
      <c r="C238" t="s">
        <v>475</v>
      </c>
      <c r="D238" t="s">
        <v>40</v>
      </c>
      <c r="E238" t="s">
        <v>74</v>
      </c>
      <c r="F238">
        <v>1</v>
      </c>
      <c r="G238" s="2">
        <v>2400</v>
      </c>
      <c r="H238" s="3">
        <v>0.05</v>
      </c>
      <c r="I238" t="s">
        <v>17</v>
      </c>
      <c r="J238" t="s">
        <v>18</v>
      </c>
      <c r="K238" t="s">
        <v>19</v>
      </c>
      <c r="L238" s="2">
        <v>2280</v>
      </c>
      <c r="M238" t="s">
        <v>26</v>
      </c>
    </row>
    <row r="239" spans="1:13" x14ac:dyDescent="0.3">
      <c r="A239" t="s">
        <v>476</v>
      </c>
      <c r="B239" s="1">
        <v>46064</v>
      </c>
      <c r="C239" t="s">
        <v>230</v>
      </c>
      <c r="D239" t="s">
        <v>40</v>
      </c>
      <c r="E239" t="s">
        <v>24</v>
      </c>
      <c r="F239">
        <v>3</v>
      </c>
      <c r="G239" s="2">
        <v>11200</v>
      </c>
      <c r="H239" s="3">
        <v>0.1</v>
      </c>
      <c r="I239" t="s">
        <v>17</v>
      </c>
      <c r="J239" t="s">
        <v>71</v>
      </c>
      <c r="K239" t="s">
        <v>19</v>
      </c>
      <c r="L239" s="2">
        <v>30240</v>
      </c>
      <c r="M239" t="s">
        <v>82</v>
      </c>
    </row>
    <row r="240" spans="1:13" x14ac:dyDescent="0.3">
      <c r="A240" t="s">
        <v>477</v>
      </c>
      <c r="B240" t="s">
        <v>478</v>
      </c>
      <c r="C240" t="s">
        <v>396</v>
      </c>
      <c r="D240" t="s">
        <v>168</v>
      </c>
      <c r="E240" t="s">
        <v>63</v>
      </c>
      <c r="F240">
        <v>2</v>
      </c>
      <c r="G240" s="2">
        <v>2310</v>
      </c>
      <c r="H240" s="3">
        <v>0</v>
      </c>
      <c r="I240" t="s">
        <v>17</v>
      </c>
      <c r="J240" t="s">
        <v>31</v>
      </c>
      <c r="K240" t="s">
        <v>67</v>
      </c>
      <c r="L240" s="2">
        <v>4620</v>
      </c>
      <c r="M240" t="s">
        <v>56</v>
      </c>
    </row>
    <row r="241" spans="1:13" x14ac:dyDescent="0.3">
      <c r="A241" t="s">
        <v>479</v>
      </c>
      <c r="B241" s="1">
        <v>46148</v>
      </c>
      <c r="C241" t="s">
        <v>480</v>
      </c>
      <c r="D241" t="s">
        <v>23</v>
      </c>
      <c r="E241" t="s">
        <v>36</v>
      </c>
      <c r="F241">
        <v>3</v>
      </c>
      <c r="G241" s="2">
        <v>1470</v>
      </c>
      <c r="H241" s="3">
        <v>0.1</v>
      </c>
      <c r="I241" t="s">
        <v>17</v>
      </c>
      <c r="J241" t="s">
        <v>47</v>
      </c>
      <c r="K241" t="s">
        <v>41</v>
      </c>
      <c r="L241" s="2">
        <v>3969</v>
      </c>
      <c r="M241" t="s">
        <v>42</v>
      </c>
    </row>
    <row r="242" spans="1:13" x14ac:dyDescent="0.3">
      <c r="A242" t="s">
        <v>481</v>
      </c>
      <c r="B242" s="1">
        <v>46044</v>
      </c>
      <c r="C242" t="s">
        <v>482</v>
      </c>
      <c r="D242" t="s">
        <v>45</v>
      </c>
      <c r="E242" t="s">
        <v>30</v>
      </c>
      <c r="F242">
        <v>2</v>
      </c>
      <c r="G242" s="2">
        <v>1890</v>
      </c>
      <c r="H242" s="3">
        <v>0.2</v>
      </c>
      <c r="I242" t="s">
        <v>17</v>
      </c>
      <c r="J242" t="s">
        <v>47</v>
      </c>
      <c r="K242" t="s">
        <v>19</v>
      </c>
      <c r="L242" s="2">
        <v>3024</v>
      </c>
      <c r="M242" t="s">
        <v>42</v>
      </c>
    </row>
    <row r="243" spans="1:13" x14ac:dyDescent="0.3">
      <c r="A243" t="s">
        <v>483</v>
      </c>
      <c r="B243" s="1">
        <v>46024</v>
      </c>
      <c r="C243" t="s">
        <v>484</v>
      </c>
      <c r="D243" t="s">
        <v>45</v>
      </c>
      <c r="E243" t="s">
        <v>46</v>
      </c>
      <c r="F243">
        <v>2</v>
      </c>
      <c r="G243" s="2">
        <v>7410</v>
      </c>
      <c r="H243" s="3">
        <v>0.05</v>
      </c>
      <c r="I243" t="s">
        <v>17</v>
      </c>
      <c r="J243" t="s">
        <v>18</v>
      </c>
      <c r="K243" t="s">
        <v>55</v>
      </c>
      <c r="L243" s="2">
        <v>14079</v>
      </c>
      <c r="M243" t="s">
        <v>82</v>
      </c>
    </row>
    <row r="244" spans="1:13" x14ac:dyDescent="0.3">
      <c r="A244" t="s">
        <v>485</v>
      </c>
      <c r="B244" s="1">
        <v>46165</v>
      </c>
      <c r="C244" t="s">
        <v>405</v>
      </c>
      <c r="D244" t="s">
        <v>152</v>
      </c>
      <c r="E244" t="s">
        <v>161</v>
      </c>
      <c r="F244">
        <v>1</v>
      </c>
      <c r="G244" s="2">
        <v>2470</v>
      </c>
      <c r="H244" s="3">
        <v>0</v>
      </c>
      <c r="I244" t="s">
        <v>17</v>
      </c>
      <c r="J244" t="s">
        <v>18</v>
      </c>
      <c r="K244" t="s">
        <v>19</v>
      </c>
      <c r="L244" s="2">
        <v>2470</v>
      </c>
      <c r="M244" t="s">
        <v>26</v>
      </c>
    </row>
    <row r="245" spans="1:13" x14ac:dyDescent="0.3">
      <c r="A245" t="s">
        <v>486</v>
      </c>
      <c r="B245" s="1">
        <v>46128</v>
      </c>
      <c r="C245" t="s">
        <v>487</v>
      </c>
      <c r="D245" t="s">
        <v>70</v>
      </c>
      <c r="E245" t="s">
        <v>63</v>
      </c>
      <c r="F245">
        <v>3</v>
      </c>
      <c r="G245" s="2">
        <v>2200</v>
      </c>
      <c r="H245" s="3">
        <v>0.15</v>
      </c>
      <c r="I245" t="s">
        <v>80</v>
      </c>
      <c r="J245" t="s">
        <v>18</v>
      </c>
      <c r="K245" t="s">
        <v>41</v>
      </c>
      <c r="L245" s="2">
        <v>5610</v>
      </c>
      <c r="M245" t="s">
        <v>59</v>
      </c>
    </row>
    <row r="246" spans="1:13" x14ac:dyDescent="0.3">
      <c r="A246" t="s">
        <v>488</v>
      </c>
      <c r="B246" s="1">
        <v>46091</v>
      </c>
      <c r="C246" t="s">
        <v>160</v>
      </c>
      <c r="D246" t="s">
        <v>45</v>
      </c>
      <c r="E246" t="s">
        <v>135</v>
      </c>
      <c r="F246">
        <v>2</v>
      </c>
      <c r="G246" s="2">
        <v>16800</v>
      </c>
      <c r="H246" s="3">
        <v>0</v>
      </c>
      <c r="I246" t="s">
        <v>17</v>
      </c>
      <c r="J246" t="s">
        <v>47</v>
      </c>
      <c r="K246" t="s">
        <v>55</v>
      </c>
      <c r="L246" s="2">
        <v>33600</v>
      </c>
      <c r="M246" t="s">
        <v>42</v>
      </c>
    </row>
    <row r="247" spans="1:13" x14ac:dyDescent="0.3">
      <c r="A247" t="s">
        <v>489</v>
      </c>
      <c r="B247" s="1">
        <v>46115</v>
      </c>
      <c r="C247" t="s">
        <v>274</v>
      </c>
      <c r="D247" t="s">
        <v>45</v>
      </c>
      <c r="E247" t="s">
        <v>24</v>
      </c>
      <c r="F247">
        <v>3</v>
      </c>
      <c r="G247" s="2">
        <v>11200</v>
      </c>
      <c r="H247" s="3">
        <v>0.1</v>
      </c>
      <c r="I247" t="s">
        <v>17</v>
      </c>
      <c r="J247" t="s">
        <v>31</v>
      </c>
      <c r="K247" t="s">
        <v>41</v>
      </c>
      <c r="L247" s="2">
        <v>30240</v>
      </c>
      <c r="M247" t="s">
        <v>26</v>
      </c>
    </row>
    <row r="248" spans="1:13" x14ac:dyDescent="0.3">
      <c r="A248" t="s">
        <v>490</v>
      </c>
      <c r="B248" s="1">
        <v>46024</v>
      </c>
      <c r="C248" t="s">
        <v>491</v>
      </c>
      <c r="D248" t="s">
        <v>70</v>
      </c>
      <c r="E248" t="s">
        <v>36</v>
      </c>
      <c r="F248">
        <v>4</v>
      </c>
      <c r="G248" s="2">
        <v>1400</v>
      </c>
      <c r="H248" s="3">
        <v>0.1</v>
      </c>
      <c r="I248" t="s">
        <v>17</v>
      </c>
      <c r="J248" t="s">
        <v>47</v>
      </c>
      <c r="K248" t="s">
        <v>55</v>
      </c>
      <c r="L248" s="2">
        <v>5040</v>
      </c>
      <c r="M248" t="s">
        <v>48</v>
      </c>
    </row>
    <row r="249" spans="1:13" x14ac:dyDescent="0.3">
      <c r="A249" t="s">
        <v>492</v>
      </c>
      <c r="B249" s="1">
        <v>46057</v>
      </c>
      <c r="C249" t="s">
        <v>310</v>
      </c>
      <c r="D249" t="s">
        <v>45</v>
      </c>
      <c r="E249" t="s">
        <v>36</v>
      </c>
      <c r="F249">
        <v>3</v>
      </c>
      <c r="G249" s="2">
        <v>1400</v>
      </c>
      <c r="H249" s="3">
        <v>0.2</v>
      </c>
      <c r="I249" t="s">
        <v>17</v>
      </c>
      <c r="J249" t="s">
        <v>18</v>
      </c>
      <c r="K249" t="s">
        <v>67</v>
      </c>
      <c r="L249" s="2">
        <v>3360</v>
      </c>
      <c r="M249" t="s">
        <v>26</v>
      </c>
    </row>
    <row r="250" spans="1:13" x14ac:dyDescent="0.3">
      <c r="A250" t="s">
        <v>493</v>
      </c>
      <c r="B250" s="1">
        <v>46200</v>
      </c>
      <c r="C250" t="s">
        <v>494</v>
      </c>
      <c r="D250" t="s">
        <v>95</v>
      </c>
      <c r="E250" t="s">
        <v>46</v>
      </c>
      <c r="F250">
        <v>8</v>
      </c>
      <c r="G250" s="2">
        <v>7800</v>
      </c>
      <c r="H250" s="3">
        <v>0</v>
      </c>
      <c r="I250" t="s">
        <v>17</v>
      </c>
      <c r="J250" t="s">
        <v>47</v>
      </c>
      <c r="K250" t="s">
        <v>495</v>
      </c>
      <c r="L250" s="2">
        <v>62400</v>
      </c>
      <c r="M250" t="s">
        <v>48</v>
      </c>
    </row>
    <row r="251" spans="1:13" x14ac:dyDescent="0.3">
      <c r="A251" t="s">
        <v>496</v>
      </c>
      <c r="B251" s="1">
        <v>46074</v>
      </c>
      <c r="C251" t="s">
        <v>44</v>
      </c>
      <c r="D251" t="s">
        <v>40</v>
      </c>
      <c r="E251" t="s">
        <v>51</v>
      </c>
      <c r="F251">
        <v>1</v>
      </c>
      <c r="G251" s="2">
        <v>19425</v>
      </c>
      <c r="H251" s="3">
        <v>0.15</v>
      </c>
      <c r="I251" t="s">
        <v>17</v>
      </c>
      <c r="J251" t="s">
        <v>18</v>
      </c>
      <c r="K251" t="s">
        <v>67</v>
      </c>
      <c r="L251" s="2">
        <v>16511.25</v>
      </c>
      <c r="M251" t="s">
        <v>42</v>
      </c>
    </row>
    <row r="252" spans="1:13" x14ac:dyDescent="0.3">
      <c r="A252" t="s">
        <v>497</v>
      </c>
      <c r="B252" s="1">
        <v>46127</v>
      </c>
      <c r="C252" t="s">
        <v>61</v>
      </c>
      <c r="D252" t="s">
        <v>95</v>
      </c>
      <c r="E252" t="s">
        <v>46</v>
      </c>
      <c r="F252">
        <v>1</v>
      </c>
      <c r="G252" s="2">
        <v>7800</v>
      </c>
      <c r="H252" s="3">
        <v>0.05</v>
      </c>
      <c r="I252" t="s">
        <v>17</v>
      </c>
      <c r="J252" t="s">
        <v>18</v>
      </c>
      <c r="K252" t="s">
        <v>19</v>
      </c>
      <c r="L252" s="2">
        <v>7410</v>
      </c>
      <c r="M252" t="s">
        <v>56</v>
      </c>
    </row>
    <row r="253" spans="1:13" x14ac:dyDescent="0.3">
      <c r="A253" t="s">
        <v>498</v>
      </c>
      <c r="B253" s="1">
        <v>46176</v>
      </c>
      <c r="C253" t="s">
        <v>499</v>
      </c>
      <c r="D253" t="s">
        <v>62</v>
      </c>
      <c r="E253" t="s">
        <v>183</v>
      </c>
      <c r="F253">
        <v>2</v>
      </c>
      <c r="G253" s="2">
        <v>3360</v>
      </c>
      <c r="H253" s="3">
        <v>0.15</v>
      </c>
      <c r="I253" t="s">
        <v>80</v>
      </c>
      <c r="J253" t="s">
        <v>47</v>
      </c>
      <c r="K253" t="s">
        <v>25</v>
      </c>
      <c r="L253" s="2">
        <v>5712</v>
      </c>
      <c r="M253" t="s">
        <v>48</v>
      </c>
    </row>
    <row r="254" spans="1:13" x14ac:dyDescent="0.3">
      <c r="A254" t="s">
        <v>500</v>
      </c>
      <c r="B254" s="1">
        <v>46186</v>
      </c>
      <c r="C254" t="s">
        <v>501</v>
      </c>
      <c r="D254" t="s">
        <v>77</v>
      </c>
      <c r="E254" t="s">
        <v>63</v>
      </c>
      <c r="F254">
        <v>1</v>
      </c>
      <c r="G254" s="2">
        <v>2200</v>
      </c>
      <c r="H254" s="3">
        <v>0</v>
      </c>
      <c r="I254" t="s">
        <v>17</v>
      </c>
      <c r="J254" t="s">
        <v>31</v>
      </c>
      <c r="K254" t="s">
        <v>25</v>
      </c>
      <c r="L254" s="2">
        <v>2200</v>
      </c>
      <c r="M254" t="s">
        <v>32</v>
      </c>
    </row>
    <row r="255" spans="1:13" x14ac:dyDescent="0.3">
      <c r="A255" t="s">
        <v>502</v>
      </c>
      <c r="B255" s="1">
        <v>46107</v>
      </c>
      <c r="C255" t="s">
        <v>154</v>
      </c>
      <c r="D255" t="s">
        <v>29</v>
      </c>
      <c r="E255" t="s">
        <v>161</v>
      </c>
      <c r="F255">
        <v>1</v>
      </c>
      <c r="G255" s="2">
        <v>2600</v>
      </c>
      <c r="H255" s="3">
        <v>0</v>
      </c>
      <c r="I255" t="s">
        <v>17</v>
      </c>
      <c r="J255" t="s">
        <v>47</v>
      </c>
      <c r="K255" t="s">
        <v>55</v>
      </c>
      <c r="L255" s="2">
        <v>2600</v>
      </c>
      <c r="M255" t="s">
        <v>56</v>
      </c>
    </row>
    <row r="256" spans="1:13" x14ac:dyDescent="0.3">
      <c r="A256" t="s">
        <v>503</v>
      </c>
      <c r="B256" s="1">
        <v>46196</v>
      </c>
      <c r="C256" t="s">
        <v>504</v>
      </c>
      <c r="D256" t="s">
        <v>40</v>
      </c>
      <c r="E256" t="s">
        <v>85</v>
      </c>
      <c r="F256">
        <v>2</v>
      </c>
      <c r="G256" s="2">
        <v>50925</v>
      </c>
      <c r="H256" s="3">
        <v>0.05</v>
      </c>
      <c r="I256" t="s">
        <v>116</v>
      </c>
      <c r="J256" t="s">
        <v>47</v>
      </c>
      <c r="K256" t="s">
        <v>55</v>
      </c>
      <c r="L256" s="2">
        <v>96757.5</v>
      </c>
      <c r="M256" t="s">
        <v>42</v>
      </c>
    </row>
    <row r="257" spans="1:13" x14ac:dyDescent="0.3">
      <c r="A257" t="s">
        <v>505</v>
      </c>
      <c r="B257" s="1">
        <v>46052</v>
      </c>
      <c r="C257" t="s">
        <v>407</v>
      </c>
      <c r="D257" t="s">
        <v>90</v>
      </c>
      <c r="E257" t="s">
        <v>85</v>
      </c>
      <c r="F257">
        <v>1</v>
      </c>
      <c r="G257" s="2">
        <v>48500</v>
      </c>
      <c r="H257" s="3">
        <v>0.05</v>
      </c>
      <c r="I257" t="s">
        <v>17</v>
      </c>
      <c r="J257" t="s">
        <v>47</v>
      </c>
      <c r="K257" t="s">
        <v>55</v>
      </c>
      <c r="L257" s="2">
        <v>46075</v>
      </c>
      <c r="M257" t="s">
        <v>42</v>
      </c>
    </row>
    <row r="258" spans="1:13" x14ac:dyDescent="0.3">
      <c r="A258" t="s">
        <v>506</v>
      </c>
      <c r="B258" s="1">
        <v>46135</v>
      </c>
      <c r="C258" t="s">
        <v>507</v>
      </c>
      <c r="D258" t="s">
        <v>123</v>
      </c>
      <c r="E258" t="s">
        <v>85</v>
      </c>
      <c r="F258">
        <v>2</v>
      </c>
      <c r="G258" s="2">
        <v>46075</v>
      </c>
      <c r="H258" s="3">
        <v>0</v>
      </c>
      <c r="I258" t="s">
        <v>17</v>
      </c>
      <c r="J258" t="s">
        <v>47</v>
      </c>
      <c r="K258" t="s">
        <v>19</v>
      </c>
      <c r="L258" s="2">
        <v>92150</v>
      </c>
      <c r="M258" t="s">
        <v>59</v>
      </c>
    </row>
    <row r="259" spans="1:13" x14ac:dyDescent="0.3">
      <c r="A259" t="s">
        <v>508</v>
      </c>
      <c r="B259" s="1">
        <v>46085</v>
      </c>
      <c r="C259" t="s">
        <v>158</v>
      </c>
      <c r="D259" t="s">
        <v>152</v>
      </c>
      <c r="E259" t="s">
        <v>30</v>
      </c>
      <c r="F259">
        <v>3</v>
      </c>
      <c r="G259" s="2">
        <v>1890</v>
      </c>
      <c r="H259" s="3">
        <v>0.05</v>
      </c>
      <c r="I259" t="s">
        <v>17</v>
      </c>
      <c r="J259" t="s">
        <v>18</v>
      </c>
      <c r="K259" t="s">
        <v>41</v>
      </c>
      <c r="L259" s="2">
        <v>5386.5</v>
      </c>
      <c r="M259" t="s">
        <v>59</v>
      </c>
    </row>
    <row r="260" spans="1:13" x14ac:dyDescent="0.3">
      <c r="A260" t="s">
        <v>509</v>
      </c>
      <c r="B260" s="1">
        <v>46186</v>
      </c>
      <c r="C260" t="s">
        <v>336</v>
      </c>
      <c r="D260" t="s">
        <v>95</v>
      </c>
      <c r="F260">
        <v>2</v>
      </c>
      <c r="G260" s="2">
        <v>2600</v>
      </c>
      <c r="H260" s="3">
        <v>0.2</v>
      </c>
      <c r="I260" t="s">
        <v>17</v>
      </c>
      <c r="J260" t="s">
        <v>18</v>
      </c>
      <c r="K260" t="s">
        <v>55</v>
      </c>
      <c r="L260" s="2">
        <v>4160</v>
      </c>
      <c r="M260" t="s">
        <v>20</v>
      </c>
    </row>
    <row r="261" spans="1:13" x14ac:dyDescent="0.3">
      <c r="A261" t="s">
        <v>510</v>
      </c>
      <c r="B261" s="1">
        <v>46203</v>
      </c>
      <c r="C261" t="s">
        <v>177</v>
      </c>
      <c r="D261" t="s">
        <v>23</v>
      </c>
      <c r="E261" t="s">
        <v>24</v>
      </c>
      <c r="F261">
        <v>1</v>
      </c>
      <c r="G261" s="2">
        <v>10640</v>
      </c>
      <c r="H261" s="3">
        <v>0.2</v>
      </c>
      <c r="I261" t="s">
        <v>17</v>
      </c>
      <c r="J261" t="s">
        <v>71</v>
      </c>
      <c r="K261" t="s">
        <v>67</v>
      </c>
      <c r="L261" s="2">
        <v>8512</v>
      </c>
      <c r="M261" t="s">
        <v>138</v>
      </c>
    </row>
    <row r="262" spans="1:13" x14ac:dyDescent="0.3">
      <c r="A262" t="s">
        <v>511</v>
      </c>
      <c r="B262" s="1">
        <v>46073</v>
      </c>
      <c r="C262" t="s">
        <v>319</v>
      </c>
      <c r="D262" t="s">
        <v>62</v>
      </c>
      <c r="E262" t="s">
        <v>63</v>
      </c>
      <c r="F262">
        <v>1</v>
      </c>
      <c r="G262" s="2">
        <v>2200</v>
      </c>
      <c r="H262" s="3">
        <v>0.1</v>
      </c>
      <c r="I262" t="s">
        <v>17</v>
      </c>
      <c r="J262" t="s">
        <v>18</v>
      </c>
      <c r="K262" t="s">
        <v>25</v>
      </c>
      <c r="L262" s="2">
        <v>1980</v>
      </c>
      <c r="M262" t="s">
        <v>42</v>
      </c>
    </row>
    <row r="263" spans="1:13" x14ac:dyDescent="0.3">
      <c r="A263" t="s">
        <v>512</v>
      </c>
      <c r="B263" s="1">
        <v>46112</v>
      </c>
      <c r="C263" t="s">
        <v>480</v>
      </c>
      <c r="D263" t="s">
        <v>35</v>
      </c>
      <c r="E263" t="s">
        <v>46</v>
      </c>
      <c r="F263">
        <v>3</v>
      </c>
      <c r="G263" s="2">
        <v>7800</v>
      </c>
      <c r="H263" s="3">
        <v>0.2</v>
      </c>
      <c r="I263" t="s">
        <v>17</v>
      </c>
      <c r="J263" t="s">
        <v>71</v>
      </c>
      <c r="K263" t="s">
        <v>67</v>
      </c>
      <c r="L263" s="2">
        <v>18720</v>
      </c>
      <c r="M263" t="s">
        <v>42</v>
      </c>
    </row>
    <row r="264" spans="1:13" x14ac:dyDescent="0.3">
      <c r="A264" t="s">
        <v>513</v>
      </c>
      <c r="B264" s="1">
        <v>46084</v>
      </c>
      <c r="C264" t="s">
        <v>163</v>
      </c>
      <c r="D264" t="s">
        <v>45</v>
      </c>
      <c r="E264" t="s">
        <v>63</v>
      </c>
      <c r="F264">
        <v>1</v>
      </c>
      <c r="G264" s="2">
        <v>2310</v>
      </c>
      <c r="H264" s="3">
        <v>0.2</v>
      </c>
      <c r="I264" t="s">
        <v>17</v>
      </c>
      <c r="J264" t="s">
        <v>71</v>
      </c>
      <c r="K264" t="s">
        <v>25</v>
      </c>
      <c r="L264" s="2">
        <v>1848</v>
      </c>
      <c r="M264" t="s">
        <v>32</v>
      </c>
    </row>
    <row r="265" spans="1:13" x14ac:dyDescent="0.3">
      <c r="A265" t="s">
        <v>514</v>
      </c>
      <c r="B265" s="1">
        <v>46131</v>
      </c>
      <c r="C265" t="s">
        <v>501</v>
      </c>
      <c r="D265" t="s">
        <v>50</v>
      </c>
      <c r="E265" t="s">
        <v>46</v>
      </c>
      <c r="F265">
        <v>3</v>
      </c>
      <c r="G265" s="2">
        <v>7800</v>
      </c>
      <c r="H265" s="3">
        <v>0.2</v>
      </c>
      <c r="I265" t="s">
        <v>80</v>
      </c>
      <c r="J265" t="s">
        <v>109</v>
      </c>
      <c r="K265" t="s">
        <v>67</v>
      </c>
      <c r="L265" s="2">
        <v>18720</v>
      </c>
      <c r="M265" t="s">
        <v>59</v>
      </c>
    </row>
    <row r="266" spans="1:13" x14ac:dyDescent="0.3">
      <c r="A266" t="s">
        <v>515</v>
      </c>
      <c r="B266" s="1">
        <v>46070</v>
      </c>
      <c r="C266" t="s">
        <v>167</v>
      </c>
      <c r="D266" t="s">
        <v>35</v>
      </c>
      <c r="E266" t="s">
        <v>46</v>
      </c>
      <c r="F266">
        <v>3</v>
      </c>
      <c r="G266" s="2">
        <v>8190</v>
      </c>
      <c r="H266" s="3">
        <v>0.05</v>
      </c>
      <c r="I266" t="s">
        <v>80</v>
      </c>
      <c r="J266" t="s">
        <v>71</v>
      </c>
      <c r="K266" t="s">
        <v>55</v>
      </c>
      <c r="L266" s="2">
        <v>23341.5</v>
      </c>
      <c r="M266" t="s">
        <v>82</v>
      </c>
    </row>
    <row r="267" spans="1:13" x14ac:dyDescent="0.3">
      <c r="A267" t="s">
        <v>516</v>
      </c>
      <c r="B267" s="1">
        <v>46152</v>
      </c>
      <c r="C267" t="s">
        <v>409</v>
      </c>
      <c r="D267" t="s">
        <v>95</v>
      </c>
      <c r="E267" t="s">
        <v>46</v>
      </c>
      <c r="F267">
        <v>2</v>
      </c>
      <c r="G267" s="2">
        <v>8190</v>
      </c>
      <c r="H267" s="3">
        <v>0.1</v>
      </c>
      <c r="I267" t="s">
        <v>17</v>
      </c>
      <c r="J267" t="s">
        <v>71</v>
      </c>
      <c r="K267" t="s">
        <v>19</v>
      </c>
      <c r="L267" s="2">
        <v>14742</v>
      </c>
      <c r="M267" t="s">
        <v>48</v>
      </c>
    </row>
    <row r="268" spans="1:13" x14ac:dyDescent="0.3">
      <c r="A268" t="s">
        <v>517</v>
      </c>
      <c r="B268" s="1">
        <v>46030</v>
      </c>
      <c r="C268" t="s">
        <v>487</v>
      </c>
      <c r="D268" t="s">
        <v>29</v>
      </c>
      <c r="E268" t="s">
        <v>24</v>
      </c>
      <c r="F268">
        <v>1</v>
      </c>
      <c r="G268" s="2">
        <v>11200</v>
      </c>
      <c r="H268" s="3">
        <v>0.05</v>
      </c>
      <c r="I268" t="s">
        <v>17</v>
      </c>
      <c r="J268" t="s">
        <v>18</v>
      </c>
      <c r="K268" t="s">
        <v>25</v>
      </c>
      <c r="L268" s="2">
        <v>10640</v>
      </c>
      <c r="M268" t="s">
        <v>56</v>
      </c>
    </row>
    <row r="269" spans="1:13" x14ac:dyDescent="0.3">
      <c r="A269" t="s">
        <v>518</v>
      </c>
      <c r="B269" s="1">
        <v>46163</v>
      </c>
      <c r="C269" t="s">
        <v>519</v>
      </c>
      <c r="D269" t="s">
        <v>152</v>
      </c>
      <c r="E269" t="s">
        <v>63</v>
      </c>
      <c r="F269">
        <v>3</v>
      </c>
      <c r="G269" s="2">
        <v>2200</v>
      </c>
      <c r="H269" s="3">
        <v>0.05</v>
      </c>
      <c r="I269" t="s">
        <v>17</v>
      </c>
      <c r="J269" t="s">
        <v>18</v>
      </c>
      <c r="K269" t="s">
        <v>25</v>
      </c>
      <c r="L269" s="2">
        <v>6270</v>
      </c>
      <c r="M269" t="s">
        <v>52</v>
      </c>
    </row>
    <row r="270" spans="1:13" x14ac:dyDescent="0.3">
      <c r="A270" t="s">
        <v>520</v>
      </c>
      <c r="B270" s="1">
        <v>46131</v>
      </c>
      <c r="C270" t="s">
        <v>336</v>
      </c>
      <c r="D270" t="s">
        <v>15</v>
      </c>
      <c r="E270" t="s">
        <v>85</v>
      </c>
      <c r="F270">
        <v>4</v>
      </c>
      <c r="G270" s="2">
        <v>46075</v>
      </c>
      <c r="H270" s="3">
        <v>0</v>
      </c>
      <c r="I270" t="s">
        <v>17</v>
      </c>
      <c r="J270" t="s">
        <v>47</v>
      </c>
      <c r="K270" t="s">
        <v>67</v>
      </c>
      <c r="L270" s="2">
        <v>184300</v>
      </c>
      <c r="M270" t="s">
        <v>42</v>
      </c>
    </row>
    <row r="271" spans="1:13" x14ac:dyDescent="0.3">
      <c r="A271" t="s">
        <v>521</v>
      </c>
      <c r="B271" s="1">
        <v>46135</v>
      </c>
      <c r="C271" t="s">
        <v>522</v>
      </c>
      <c r="D271" t="s">
        <v>90</v>
      </c>
      <c r="E271" t="s">
        <v>63</v>
      </c>
      <c r="F271">
        <v>4</v>
      </c>
      <c r="G271" s="2">
        <v>2200</v>
      </c>
      <c r="H271" s="3">
        <v>0</v>
      </c>
      <c r="I271" t="s">
        <v>17</v>
      </c>
      <c r="J271" t="s">
        <v>71</v>
      </c>
      <c r="K271" t="s">
        <v>25</v>
      </c>
      <c r="L271" s="2">
        <v>8800</v>
      </c>
      <c r="M271" t="s">
        <v>59</v>
      </c>
    </row>
    <row r="272" spans="1:13" x14ac:dyDescent="0.3">
      <c r="A272" t="s">
        <v>523</v>
      </c>
      <c r="B272" s="1">
        <v>46075</v>
      </c>
      <c r="C272" t="s">
        <v>487</v>
      </c>
      <c r="D272" t="s">
        <v>90</v>
      </c>
      <c r="E272" t="s">
        <v>24</v>
      </c>
      <c r="F272">
        <v>4</v>
      </c>
      <c r="G272" s="2">
        <v>11200</v>
      </c>
      <c r="H272" s="3">
        <v>0.15</v>
      </c>
      <c r="I272" t="s">
        <v>17</v>
      </c>
      <c r="J272" t="s">
        <v>47</v>
      </c>
      <c r="K272" t="s">
        <v>67</v>
      </c>
      <c r="L272" s="2">
        <v>38080</v>
      </c>
      <c r="M272" t="s">
        <v>26</v>
      </c>
    </row>
    <row r="273" spans="1:13" x14ac:dyDescent="0.3">
      <c r="A273" t="s">
        <v>524</v>
      </c>
      <c r="B273" s="1">
        <v>46169</v>
      </c>
      <c r="C273" t="s">
        <v>328</v>
      </c>
      <c r="D273" t="s">
        <v>45</v>
      </c>
      <c r="E273" t="s">
        <v>51</v>
      </c>
      <c r="F273">
        <v>10</v>
      </c>
      <c r="G273" s="2">
        <v>18500</v>
      </c>
      <c r="H273" s="3">
        <v>0.2</v>
      </c>
      <c r="I273" t="s">
        <v>17</v>
      </c>
      <c r="J273" t="s">
        <v>31</v>
      </c>
      <c r="K273" t="s">
        <v>67</v>
      </c>
      <c r="L273" s="2">
        <v>148000</v>
      </c>
      <c r="M273" t="s">
        <v>59</v>
      </c>
    </row>
    <row r="274" spans="1:13" x14ac:dyDescent="0.3">
      <c r="A274" t="s">
        <v>525</v>
      </c>
      <c r="B274" s="1">
        <v>46202</v>
      </c>
      <c r="C274" t="s">
        <v>494</v>
      </c>
      <c r="D274" t="s">
        <v>90</v>
      </c>
      <c r="E274" t="s">
        <v>30</v>
      </c>
      <c r="F274">
        <v>1</v>
      </c>
      <c r="G274" s="2">
        <v>1800</v>
      </c>
      <c r="H274" s="3">
        <v>0.2</v>
      </c>
      <c r="I274" t="s">
        <v>17</v>
      </c>
      <c r="J274" t="s">
        <v>18</v>
      </c>
      <c r="K274" t="s">
        <v>41</v>
      </c>
      <c r="L274" s="2">
        <v>1440</v>
      </c>
      <c r="M274" t="s">
        <v>48</v>
      </c>
    </row>
    <row r="275" spans="1:13" x14ac:dyDescent="0.3">
      <c r="A275" t="s">
        <v>526</v>
      </c>
      <c r="B275" s="1">
        <v>46184</v>
      </c>
      <c r="C275" t="s">
        <v>106</v>
      </c>
      <c r="D275" t="s">
        <v>45</v>
      </c>
      <c r="E275" t="s">
        <v>74</v>
      </c>
      <c r="F275">
        <v>2</v>
      </c>
      <c r="G275" s="2">
        <v>2280</v>
      </c>
      <c r="H275" s="3">
        <v>0.1</v>
      </c>
      <c r="I275" t="s">
        <v>173</v>
      </c>
      <c r="J275" t="s">
        <v>47</v>
      </c>
      <c r="K275" t="s">
        <v>67</v>
      </c>
      <c r="L275" s="2">
        <v>4104</v>
      </c>
      <c r="M275" t="s">
        <v>56</v>
      </c>
    </row>
    <row r="276" spans="1:13" x14ac:dyDescent="0.3">
      <c r="A276" t="s">
        <v>527</v>
      </c>
      <c r="B276" s="1">
        <v>46147</v>
      </c>
      <c r="C276" t="s">
        <v>528</v>
      </c>
      <c r="D276" t="s">
        <v>35</v>
      </c>
      <c r="E276" t="s">
        <v>183</v>
      </c>
      <c r="F276">
        <v>1</v>
      </c>
      <c r="G276" s="2">
        <v>3360</v>
      </c>
      <c r="H276" s="3">
        <v>0.2</v>
      </c>
      <c r="I276" t="s">
        <v>17</v>
      </c>
      <c r="J276" t="s">
        <v>31</v>
      </c>
      <c r="K276" t="s">
        <v>25</v>
      </c>
      <c r="L276" s="2">
        <v>2688</v>
      </c>
      <c r="M276" t="s">
        <v>32</v>
      </c>
    </row>
    <row r="277" spans="1:13" x14ac:dyDescent="0.3">
      <c r="A277" t="s">
        <v>529</v>
      </c>
      <c r="B277" s="1">
        <v>46078</v>
      </c>
      <c r="C277" t="s">
        <v>269</v>
      </c>
      <c r="D277" t="s">
        <v>70</v>
      </c>
      <c r="E277" t="s">
        <v>24</v>
      </c>
      <c r="F277">
        <v>2</v>
      </c>
      <c r="G277" s="2">
        <v>11200</v>
      </c>
      <c r="H277" s="3">
        <v>0.05</v>
      </c>
      <c r="I277" t="s">
        <v>17</v>
      </c>
      <c r="J277" t="s">
        <v>18</v>
      </c>
      <c r="K277" t="s">
        <v>67</v>
      </c>
      <c r="L277" s="2">
        <v>21280</v>
      </c>
      <c r="M277" t="s">
        <v>20</v>
      </c>
    </row>
    <row r="278" spans="1:13" x14ac:dyDescent="0.3">
      <c r="A278" t="s">
        <v>530</v>
      </c>
      <c r="B278" s="1">
        <v>46034</v>
      </c>
      <c r="C278" t="s">
        <v>491</v>
      </c>
      <c r="D278" t="s">
        <v>15</v>
      </c>
      <c r="E278" t="s">
        <v>74</v>
      </c>
      <c r="F278">
        <v>4</v>
      </c>
      <c r="G278" s="2">
        <v>2400</v>
      </c>
      <c r="H278" s="3">
        <v>0.1</v>
      </c>
      <c r="I278" t="s">
        <v>17</v>
      </c>
      <c r="J278" t="s">
        <v>18</v>
      </c>
      <c r="K278" t="s">
        <v>19</v>
      </c>
      <c r="L278" s="2">
        <v>8640</v>
      </c>
      <c r="M278" t="s">
        <v>32</v>
      </c>
    </row>
    <row r="279" spans="1:13" x14ac:dyDescent="0.3">
      <c r="A279" t="s">
        <v>531</v>
      </c>
      <c r="B279" s="1">
        <v>46074</v>
      </c>
      <c r="C279" t="s">
        <v>146</v>
      </c>
      <c r="D279" t="s">
        <v>123</v>
      </c>
      <c r="E279" t="s">
        <v>30</v>
      </c>
      <c r="F279">
        <v>5</v>
      </c>
      <c r="G279" s="2">
        <v>1800</v>
      </c>
      <c r="H279" s="3">
        <v>0.05</v>
      </c>
      <c r="I279" t="s">
        <v>17</v>
      </c>
      <c r="J279" t="s">
        <v>47</v>
      </c>
      <c r="K279" t="s">
        <v>67</v>
      </c>
      <c r="L279" s="2">
        <v>8550</v>
      </c>
      <c r="M279" t="s">
        <v>42</v>
      </c>
    </row>
    <row r="280" spans="1:13" x14ac:dyDescent="0.3">
      <c r="A280" t="s">
        <v>532</v>
      </c>
      <c r="B280" s="1">
        <v>46118</v>
      </c>
      <c r="C280" t="s">
        <v>522</v>
      </c>
      <c r="D280" t="s">
        <v>95</v>
      </c>
      <c r="E280" t="s">
        <v>74</v>
      </c>
      <c r="F280">
        <v>1</v>
      </c>
      <c r="G280" s="2">
        <v>2400</v>
      </c>
      <c r="H280" s="3">
        <v>0.1</v>
      </c>
      <c r="I280" t="s">
        <v>17</v>
      </c>
      <c r="J280" t="s">
        <v>31</v>
      </c>
      <c r="K280" t="s">
        <v>19</v>
      </c>
      <c r="L280" s="2">
        <v>2160</v>
      </c>
      <c r="M280" t="s">
        <v>20</v>
      </c>
    </row>
    <row r="281" spans="1:13" x14ac:dyDescent="0.3">
      <c r="A281" t="s">
        <v>533</v>
      </c>
      <c r="B281" s="1">
        <v>46077</v>
      </c>
      <c r="C281" t="s">
        <v>111</v>
      </c>
      <c r="D281" t="s">
        <v>62</v>
      </c>
      <c r="E281" t="s">
        <v>63</v>
      </c>
      <c r="F281">
        <v>1</v>
      </c>
      <c r="G281" s="2">
        <v>2310</v>
      </c>
      <c r="H281" s="3">
        <v>0</v>
      </c>
      <c r="I281" t="s">
        <v>17</v>
      </c>
      <c r="J281" t="s">
        <v>31</v>
      </c>
      <c r="K281" t="s">
        <v>67</v>
      </c>
      <c r="L281" s="2">
        <v>2310</v>
      </c>
      <c r="M281" t="s">
        <v>42</v>
      </c>
    </row>
    <row r="282" spans="1:13" x14ac:dyDescent="0.3">
      <c r="A282" t="s">
        <v>534</v>
      </c>
      <c r="B282" s="1">
        <v>46131</v>
      </c>
      <c r="C282" t="s">
        <v>177</v>
      </c>
      <c r="D282" t="s">
        <v>123</v>
      </c>
      <c r="E282" t="s">
        <v>30</v>
      </c>
      <c r="F282">
        <v>2</v>
      </c>
      <c r="G282" s="2">
        <v>1710</v>
      </c>
      <c r="H282" s="3">
        <v>0</v>
      </c>
      <c r="I282" t="s">
        <v>17</v>
      </c>
      <c r="J282" t="s">
        <v>47</v>
      </c>
      <c r="K282" t="s">
        <v>67</v>
      </c>
      <c r="L282" s="2">
        <v>3420</v>
      </c>
      <c r="M282" t="s">
        <v>26</v>
      </c>
    </row>
    <row r="283" spans="1:13" x14ac:dyDescent="0.3">
      <c r="A283" t="s">
        <v>535</v>
      </c>
      <c r="B283" s="1">
        <v>46058</v>
      </c>
      <c r="C283" t="s">
        <v>165</v>
      </c>
      <c r="D283" t="s">
        <v>70</v>
      </c>
      <c r="E283" t="s">
        <v>30</v>
      </c>
      <c r="F283">
        <v>3</v>
      </c>
      <c r="G283" s="2">
        <v>1710</v>
      </c>
      <c r="H283" s="3">
        <v>0.2</v>
      </c>
      <c r="I283" t="s">
        <v>17</v>
      </c>
      <c r="J283" t="s">
        <v>18</v>
      </c>
      <c r="K283" t="s">
        <v>67</v>
      </c>
      <c r="L283" s="2">
        <v>4104</v>
      </c>
      <c r="M283" t="s">
        <v>52</v>
      </c>
    </row>
    <row r="284" spans="1:13" x14ac:dyDescent="0.3">
      <c r="A284" t="s">
        <v>536</v>
      </c>
      <c r="B284" s="1">
        <v>46183</v>
      </c>
      <c r="C284" t="s">
        <v>14</v>
      </c>
      <c r="D284" t="s">
        <v>123</v>
      </c>
      <c r="E284" t="s">
        <v>30</v>
      </c>
      <c r="F284">
        <v>5</v>
      </c>
      <c r="G284" s="2">
        <v>1800</v>
      </c>
      <c r="H284" s="3">
        <v>0.15</v>
      </c>
      <c r="I284" t="s">
        <v>17</v>
      </c>
      <c r="J284" t="s">
        <v>31</v>
      </c>
      <c r="K284" t="s">
        <v>41</v>
      </c>
      <c r="L284" s="2">
        <v>7650</v>
      </c>
      <c r="M284" t="s">
        <v>42</v>
      </c>
    </row>
    <row r="285" spans="1:13" x14ac:dyDescent="0.3">
      <c r="A285" t="s">
        <v>537</v>
      </c>
      <c r="B285" s="1">
        <v>46173</v>
      </c>
      <c r="C285" t="s">
        <v>384</v>
      </c>
      <c r="D285" t="s">
        <v>123</v>
      </c>
      <c r="E285" t="s">
        <v>161</v>
      </c>
      <c r="F285">
        <v>2</v>
      </c>
      <c r="G285" s="2">
        <v>2600</v>
      </c>
      <c r="H285" s="3">
        <v>0.1</v>
      </c>
      <c r="I285" t="s">
        <v>17</v>
      </c>
      <c r="J285" t="s">
        <v>47</v>
      </c>
      <c r="K285" t="s">
        <v>19</v>
      </c>
      <c r="L285" s="2">
        <v>4680</v>
      </c>
      <c r="M285" t="s">
        <v>52</v>
      </c>
    </row>
    <row r="286" spans="1:13" x14ac:dyDescent="0.3">
      <c r="A286" t="s">
        <v>538</v>
      </c>
      <c r="B286" s="1">
        <v>46164</v>
      </c>
      <c r="C286" t="s">
        <v>142</v>
      </c>
      <c r="D286" t="s">
        <v>40</v>
      </c>
      <c r="E286" t="s">
        <v>183</v>
      </c>
      <c r="F286">
        <v>3</v>
      </c>
      <c r="G286" s="2">
        <v>3040</v>
      </c>
      <c r="H286" s="3">
        <v>0.05</v>
      </c>
      <c r="I286" t="s">
        <v>17</v>
      </c>
      <c r="J286" t="s">
        <v>71</v>
      </c>
      <c r="K286" t="s">
        <v>25</v>
      </c>
      <c r="L286" s="2">
        <v>8664</v>
      </c>
      <c r="M286" t="s">
        <v>48</v>
      </c>
    </row>
    <row r="287" spans="1:13" x14ac:dyDescent="0.3">
      <c r="A287" t="s">
        <v>539</v>
      </c>
      <c r="B287" s="1">
        <v>46153</v>
      </c>
      <c r="C287" t="s">
        <v>232</v>
      </c>
      <c r="D287" t="s">
        <v>23</v>
      </c>
      <c r="E287" t="s">
        <v>85</v>
      </c>
      <c r="F287">
        <v>2</v>
      </c>
      <c r="G287" s="2">
        <v>48500</v>
      </c>
      <c r="H287" s="3">
        <v>0.2</v>
      </c>
      <c r="I287" t="s">
        <v>17</v>
      </c>
      <c r="J287" t="s">
        <v>18</v>
      </c>
      <c r="K287" t="s">
        <v>19</v>
      </c>
      <c r="L287" s="2">
        <v>77600</v>
      </c>
      <c r="M287" t="s">
        <v>52</v>
      </c>
    </row>
    <row r="288" spans="1:13" x14ac:dyDescent="0.3">
      <c r="A288" t="s">
        <v>540</v>
      </c>
      <c r="B288" s="1">
        <v>46150</v>
      </c>
      <c r="C288" t="s">
        <v>326</v>
      </c>
      <c r="D288" t="s">
        <v>95</v>
      </c>
      <c r="E288" t="s">
        <v>183</v>
      </c>
      <c r="F288">
        <v>1</v>
      </c>
      <c r="G288" s="2">
        <v>3200</v>
      </c>
      <c r="H288" s="3">
        <v>0</v>
      </c>
      <c r="I288" t="s">
        <v>116</v>
      </c>
      <c r="J288" t="s">
        <v>18</v>
      </c>
      <c r="K288" t="s">
        <v>25</v>
      </c>
      <c r="L288" s="2">
        <v>3200</v>
      </c>
      <c r="M288" t="s">
        <v>32</v>
      </c>
    </row>
    <row r="289" spans="1:13" x14ac:dyDescent="0.3">
      <c r="A289" t="s">
        <v>541</v>
      </c>
      <c r="B289" s="1">
        <v>46116</v>
      </c>
      <c r="C289" t="s">
        <v>467</v>
      </c>
      <c r="D289" t="s">
        <v>152</v>
      </c>
      <c r="E289" t="s">
        <v>74</v>
      </c>
      <c r="F289">
        <v>1</v>
      </c>
      <c r="G289" s="2">
        <v>2280</v>
      </c>
      <c r="H289" s="3">
        <v>0.1</v>
      </c>
      <c r="I289" t="s">
        <v>80</v>
      </c>
      <c r="J289" t="s">
        <v>31</v>
      </c>
      <c r="K289" t="s">
        <v>19</v>
      </c>
      <c r="L289" s="2">
        <v>2052</v>
      </c>
      <c r="M289" t="s">
        <v>26</v>
      </c>
    </row>
    <row r="290" spans="1:13" x14ac:dyDescent="0.3">
      <c r="A290" t="s">
        <v>542</v>
      </c>
      <c r="B290" s="1">
        <v>46078</v>
      </c>
      <c r="C290" t="s">
        <v>61</v>
      </c>
      <c r="D290" t="s">
        <v>168</v>
      </c>
      <c r="E290" t="s">
        <v>16</v>
      </c>
      <c r="F290">
        <v>8</v>
      </c>
      <c r="G290" s="2">
        <v>682.5</v>
      </c>
      <c r="H290" s="3">
        <v>0.1</v>
      </c>
      <c r="I290" t="s">
        <v>17</v>
      </c>
      <c r="J290" t="s">
        <v>18</v>
      </c>
      <c r="K290" t="s">
        <v>19</v>
      </c>
      <c r="L290" s="2">
        <v>4914</v>
      </c>
      <c r="M290" t="s">
        <v>82</v>
      </c>
    </row>
    <row r="291" spans="1:13" x14ac:dyDescent="0.3">
      <c r="A291" t="s">
        <v>543</v>
      </c>
      <c r="B291" s="1">
        <v>46160</v>
      </c>
      <c r="C291" t="s">
        <v>101</v>
      </c>
      <c r="D291" t="s">
        <v>40</v>
      </c>
      <c r="E291" t="s">
        <v>30</v>
      </c>
      <c r="F291">
        <v>1</v>
      </c>
      <c r="G291" s="2">
        <v>1800</v>
      </c>
      <c r="H291" s="3">
        <v>0.05</v>
      </c>
      <c r="I291" t="s">
        <v>17</v>
      </c>
      <c r="J291" t="s">
        <v>47</v>
      </c>
      <c r="K291" t="s">
        <v>55</v>
      </c>
      <c r="L291" s="2">
        <v>1710</v>
      </c>
      <c r="M291" t="s">
        <v>48</v>
      </c>
    </row>
    <row r="292" spans="1:13" x14ac:dyDescent="0.3">
      <c r="A292" t="s">
        <v>544</v>
      </c>
      <c r="B292" s="1">
        <v>46185</v>
      </c>
      <c r="C292" t="s">
        <v>156</v>
      </c>
      <c r="D292" t="s">
        <v>29</v>
      </c>
      <c r="E292" t="s">
        <v>74</v>
      </c>
      <c r="F292">
        <v>3</v>
      </c>
      <c r="G292" s="2">
        <v>2520</v>
      </c>
      <c r="H292" s="3">
        <v>0</v>
      </c>
      <c r="I292" t="s">
        <v>17</v>
      </c>
      <c r="J292" t="s">
        <v>31</v>
      </c>
      <c r="K292" t="s">
        <v>41</v>
      </c>
      <c r="L292" s="2">
        <v>7560</v>
      </c>
      <c r="M292" t="s">
        <v>42</v>
      </c>
    </row>
    <row r="293" spans="1:13" x14ac:dyDescent="0.3">
      <c r="A293" t="s">
        <v>545</v>
      </c>
      <c r="B293" s="1">
        <v>46134</v>
      </c>
      <c r="C293" t="s">
        <v>546</v>
      </c>
      <c r="D293" t="s">
        <v>15</v>
      </c>
      <c r="E293" t="s">
        <v>46</v>
      </c>
      <c r="F293">
        <v>3</v>
      </c>
      <c r="G293" s="2">
        <v>7800</v>
      </c>
      <c r="H293" s="3">
        <v>0</v>
      </c>
      <c r="I293" t="s">
        <v>17</v>
      </c>
      <c r="J293" t="s">
        <v>31</v>
      </c>
      <c r="K293" t="s">
        <v>41</v>
      </c>
      <c r="L293" s="2">
        <v>23400</v>
      </c>
      <c r="M293" t="s">
        <v>20</v>
      </c>
    </row>
    <row r="294" spans="1:13" x14ac:dyDescent="0.3">
      <c r="A294" t="s">
        <v>547</v>
      </c>
      <c r="B294" s="1">
        <v>46064</v>
      </c>
      <c r="C294" t="s">
        <v>371</v>
      </c>
      <c r="D294" t="s">
        <v>62</v>
      </c>
      <c r="E294" t="s">
        <v>36</v>
      </c>
      <c r="F294">
        <v>2</v>
      </c>
      <c r="G294" s="2">
        <v>1400</v>
      </c>
      <c r="H294" s="3">
        <v>0.2</v>
      </c>
      <c r="I294" t="s">
        <v>17</v>
      </c>
      <c r="J294" t="s">
        <v>47</v>
      </c>
      <c r="K294" t="s">
        <v>19</v>
      </c>
      <c r="L294" s="2">
        <v>2240</v>
      </c>
      <c r="M294" t="s">
        <v>20</v>
      </c>
    </row>
    <row r="295" spans="1:13" x14ac:dyDescent="0.3">
      <c r="A295" t="s">
        <v>548</v>
      </c>
      <c r="B295" s="1">
        <v>46108</v>
      </c>
      <c r="C295" t="s">
        <v>353</v>
      </c>
      <c r="D295" t="s">
        <v>29</v>
      </c>
      <c r="E295" t="s">
        <v>161</v>
      </c>
      <c r="F295">
        <v>1</v>
      </c>
      <c r="G295" s="2">
        <v>2470</v>
      </c>
      <c r="H295" s="3">
        <v>0</v>
      </c>
      <c r="I295" t="s">
        <v>17</v>
      </c>
      <c r="J295" t="s">
        <v>18</v>
      </c>
      <c r="K295" t="s">
        <v>25</v>
      </c>
      <c r="L295" s="2">
        <v>2470</v>
      </c>
      <c r="M295" t="s">
        <v>138</v>
      </c>
    </row>
    <row r="296" spans="1:13" x14ac:dyDescent="0.3">
      <c r="A296" t="s">
        <v>549</v>
      </c>
      <c r="B296" s="1">
        <v>46037</v>
      </c>
      <c r="C296" t="s">
        <v>217</v>
      </c>
      <c r="D296" t="s">
        <v>62</v>
      </c>
      <c r="E296" t="s">
        <v>183</v>
      </c>
      <c r="F296">
        <v>1</v>
      </c>
      <c r="G296" s="2">
        <v>3040</v>
      </c>
      <c r="H296" s="3">
        <v>0</v>
      </c>
      <c r="I296" t="s">
        <v>17</v>
      </c>
      <c r="J296" t="s">
        <v>71</v>
      </c>
      <c r="K296" t="s">
        <v>25</v>
      </c>
      <c r="L296" s="2">
        <v>3040</v>
      </c>
      <c r="M296" t="s">
        <v>20</v>
      </c>
    </row>
    <row r="297" spans="1:13" x14ac:dyDescent="0.3">
      <c r="A297" t="s">
        <v>550</v>
      </c>
      <c r="B297" s="1">
        <v>46034</v>
      </c>
      <c r="C297" t="s">
        <v>551</v>
      </c>
      <c r="D297" t="s">
        <v>90</v>
      </c>
      <c r="E297" t="s">
        <v>16</v>
      </c>
      <c r="F297">
        <v>1</v>
      </c>
      <c r="G297" s="2">
        <v>650</v>
      </c>
      <c r="H297" s="3">
        <v>0.1</v>
      </c>
      <c r="I297" t="s">
        <v>17</v>
      </c>
      <c r="J297" t="s">
        <v>31</v>
      </c>
      <c r="K297" t="s">
        <v>25</v>
      </c>
      <c r="L297" s="2">
        <v>585</v>
      </c>
      <c r="M297" t="s">
        <v>32</v>
      </c>
    </row>
    <row r="298" spans="1:13" x14ac:dyDescent="0.3">
      <c r="A298" t="s">
        <v>552</v>
      </c>
      <c r="B298" s="1">
        <v>46080</v>
      </c>
      <c r="C298" t="s">
        <v>283</v>
      </c>
      <c r="D298" t="s">
        <v>35</v>
      </c>
      <c r="F298">
        <v>2</v>
      </c>
      <c r="G298" s="2">
        <v>10640</v>
      </c>
      <c r="H298" s="3">
        <v>0.2</v>
      </c>
      <c r="I298" t="s">
        <v>17</v>
      </c>
      <c r="J298" t="s">
        <v>31</v>
      </c>
      <c r="K298" t="s">
        <v>25</v>
      </c>
      <c r="L298" s="2">
        <v>17024</v>
      </c>
      <c r="M298" t="s">
        <v>20</v>
      </c>
    </row>
    <row r="299" spans="1:13" x14ac:dyDescent="0.3">
      <c r="A299" t="s">
        <v>553</v>
      </c>
      <c r="B299" s="1">
        <v>46068</v>
      </c>
      <c r="C299" t="s">
        <v>554</v>
      </c>
      <c r="D299" t="s">
        <v>23</v>
      </c>
      <c r="E299" t="s">
        <v>51</v>
      </c>
      <c r="F299">
        <v>10</v>
      </c>
      <c r="G299" s="2">
        <v>19425</v>
      </c>
      <c r="H299" s="3">
        <v>0.1</v>
      </c>
      <c r="I299" t="s">
        <v>17</v>
      </c>
      <c r="J299" t="s">
        <v>47</v>
      </c>
      <c r="K299" t="s">
        <v>67</v>
      </c>
      <c r="L299" s="2">
        <v>174825</v>
      </c>
      <c r="M299" t="s">
        <v>42</v>
      </c>
    </row>
    <row r="300" spans="1:13" x14ac:dyDescent="0.3">
      <c r="A300" t="s">
        <v>555</v>
      </c>
      <c r="B300" s="1">
        <v>46164</v>
      </c>
      <c r="C300" t="s">
        <v>414</v>
      </c>
      <c r="D300" t="s">
        <v>62</v>
      </c>
      <c r="E300" t="s">
        <v>16</v>
      </c>
      <c r="F300">
        <v>2</v>
      </c>
      <c r="G300" s="2">
        <v>650</v>
      </c>
      <c r="H300" s="3">
        <v>0.05</v>
      </c>
      <c r="I300" t="s">
        <v>17</v>
      </c>
      <c r="J300" t="s">
        <v>18</v>
      </c>
      <c r="K300" t="s">
        <v>67</v>
      </c>
      <c r="L300" s="2">
        <v>1235</v>
      </c>
      <c r="M300" t="s">
        <v>48</v>
      </c>
    </row>
    <row r="301" spans="1:13" x14ac:dyDescent="0.3">
      <c r="A301" t="s">
        <v>556</v>
      </c>
      <c r="B301" s="1">
        <v>46149</v>
      </c>
      <c r="C301" t="s">
        <v>200</v>
      </c>
      <c r="D301" t="s">
        <v>29</v>
      </c>
      <c r="E301" t="s">
        <v>24</v>
      </c>
      <c r="F301">
        <v>4</v>
      </c>
      <c r="G301" s="2">
        <v>11200</v>
      </c>
      <c r="H301" s="3">
        <v>0.15</v>
      </c>
      <c r="I301" t="s">
        <v>17</v>
      </c>
      <c r="J301" t="s">
        <v>31</v>
      </c>
      <c r="K301" t="s">
        <v>55</v>
      </c>
      <c r="L301" s="2">
        <v>38080</v>
      </c>
      <c r="M301" t="s">
        <v>20</v>
      </c>
    </row>
    <row r="302" spans="1:13" x14ac:dyDescent="0.3">
      <c r="A302" t="s">
        <v>557</v>
      </c>
      <c r="B302" s="1">
        <v>46082</v>
      </c>
      <c r="C302" t="s">
        <v>73</v>
      </c>
      <c r="D302" t="s">
        <v>152</v>
      </c>
      <c r="E302" t="s">
        <v>36</v>
      </c>
      <c r="F302">
        <v>3</v>
      </c>
      <c r="G302" s="2">
        <v>1400</v>
      </c>
      <c r="H302" s="3">
        <v>0.2</v>
      </c>
      <c r="I302" t="s">
        <v>66</v>
      </c>
      <c r="J302" t="s">
        <v>18</v>
      </c>
      <c r="K302" t="s">
        <v>67</v>
      </c>
      <c r="L302" s="2">
        <v>3360</v>
      </c>
    </row>
    <row r="303" spans="1:13" x14ac:dyDescent="0.3">
      <c r="A303" t="s">
        <v>558</v>
      </c>
      <c r="B303" s="1">
        <v>46075</v>
      </c>
      <c r="C303" t="s">
        <v>559</v>
      </c>
      <c r="D303" t="s">
        <v>152</v>
      </c>
      <c r="E303" t="s">
        <v>24</v>
      </c>
      <c r="F303">
        <v>2</v>
      </c>
      <c r="G303" s="2">
        <v>11200</v>
      </c>
      <c r="H303" s="3">
        <v>0</v>
      </c>
      <c r="I303" t="s">
        <v>116</v>
      </c>
      <c r="J303" t="s">
        <v>31</v>
      </c>
      <c r="K303" t="s">
        <v>19</v>
      </c>
      <c r="L303" s="2">
        <v>22400</v>
      </c>
      <c r="M303" t="s">
        <v>52</v>
      </c>
    </row>
    <row r="304" spans="1:13" x14ac:dyDescent="0.3">
      <c r="A304" t="s">
        <v>560</v>
      </c>
      <c r="B304" s="1">
        <v>46156</v>
      </c>
      <c r="C304" t="s">
        <v>561</v>
      </c>
      <c r="D304" t="s">
        <v>70</v>
      </c>
      <c r="E304" t="s">
        <v>85</v>
      </c>
      <c r="F304">
        <v>5</v>
      </c>
      <c r="G304" s="2">
        <v>46075</v>
      </c>
      <c r="H304" s="3">
        <v>0.1</v>
      </c>
      <c r="I304" t="s">
        <v>116</v>
      </c>
      <c r="J304" t="s">
        <v>71</v>
      </c>
      <c r="K304" t="s">
        <v>55</v>
      </c>
      <c r="L304" s="2">
        <v>207337.5</v>
      </c>
      <c r="M304" t="s">
        <v>42</v>
      </c>
    </row>
    <row r="305" spans="1:13" x14ac:dyDescent="0.3">
      <c r="A305" t="s">
        <v>562</v>
      </c>
      <c r="B305" s="1">
        <v>46174</v>
      </c>
      <c r="C305" t="s">
        <v>192</v>
      </c>
      <c r="D305" t="s">
        <v>40</v>
      </c>
      <c r="E305" t="s">
        <v>16</v>
      </c>
      <c r="F305">
        <v>2</v>
      </c>
      <c r="G305" s="2">
        <v>650</v>
      </c>
      <c r="H305" s="3">
        <v>0</v>
      </c>
      <c r="I305" t="s">
        <v>17</v>
      </c>
      <c r="J305" t="s">
        <v>18</v>
      </c>
      <c r="K305" t="s">
        <v>67</v>
      </c>
      <c r="L305" s="2">
        <v>1300</v>
      </c>
      <c r="M305" t="s">
        <v>138</v>
      </c>
    </row>
    <row r="306" spans="1:13" x14ac:dyDescent="0.3">
      <c r="A306" t="s">
        <v>563</v>
      </c>
      <c r="B306" s="1">
        <v>46138</v>
      </c>
      <c r="C306" t="s">
        <v>101</v>
      </c>
      <c r="D306" t="s">
        <v>45</v>
      </c>
      <c r="E306" t="s">
        <v>24</v>
      </c>
      <c r="F306">
        <v>1</v>
      </c>
      <c r="G306" s="2">
        <v>10640</v>
      </c>
      <c r="H306" s="3">
        <v>0</v>
      </c>
      <c r="I306" t="s">
        <v>17</v>
      </c>
      <c r="J306" t="s">
        <v>31</v>
      </c>
      <c r="K306" t="s">
        <v>41</v>
      </c>
      <c r="L306" s="2">
        <v>10640</v>
      </c>
      <c r="M306" t="s">
        <v>56</v>
      </c>
    </row>
    <row r="307" spans="1:13" x14ac:dyDescent="0.3">
      <c r="A307" t="s">
        <v>564</v>
      </c>
      <c r="B307" s="1">
        <v>46142</v>
      </c>
      <c r="C307" t="s">
        <v>84</v>
      </c>
      <c r="D307" t="s">
        <v>35</v>
      </c>
      <c r="E307" t="s">
        <v>161</v>
      </c>
      <c r="F307">
        <v>1</v>
      </c>
      <c r="G307" s="2">
        <v>2600</v>
      </c>
      <c r="H307" s="3">
        <v>0.05</v>
      </c>
      <c r="I307" t="s">
        <v>116</v>
      </c>
      <c r="J307" t="s">
        <v>47</v>
      </c>
      <c r="K307" t="s">
        <v>55</v>
      </c>
      <c r="L307" s="2">
        <v>2470</v>
      </c>
      <c r="M307" t="s">
        <v>26</v>
      </c>
    </row>
    <row r="308" spans="1:13" x14ac:dyDescent="0.3">
      <c r="A308" t="s">
        <v>565</v>
      </c>
      <c r="B308" s="1">
        <v>46053</v>
      </c>
      <c r="C308" t="s">
        <v>566</v>
      </c>
      <c r="D308" t="s">
        <v>15</v>
      </c>
      <c r="E308" t="s">
        <v>30</v>
      </c>
      <c r="F308">
        <v>4</v>
      </c>
      <c r="G308" s="2">
        <v>1710</v>
      </c>
      <c r="H308" s="3">
        <v>0.05</v>
      </c>
      <c r="I308" t="s">
        <v>17</v>
      </c>
      <c r="J308" t="s">
        <v>47</v>
      </c>
      <c r="K308" t="s">
        <v>41</v>
      </c>
      <c r="L308" s="2">
        <v>6498</v>
      </c>
      <c r="M308" t="s">
        <v>42</v>
      </c>
    </row>
    <row r="309" spans="1:13" x14ac:dyDescent="0.3">
      <c r="A309" t="s">
        <v>567</v>
      </c>
      <c r="B309" s="1">
        <v>46086</v>
      </c>
      <c r="C309" t="s">
        <v>568</v>
      </c>
      <c r="D309" t="s">
        <v>35</v>
      </c>
      <c r="E309" t="s">
        <v>161</v>
      </c>
      <c r="F309">
        <v>2</v>
      </c>
      <c r="G309" s="2">
        <v>2600</v>
      </c>
      <c r="H309" s="3">
        <v>0.2</v>
      </c>
      <c r="I309" t="s">
        <v>17</v>
      </c>
      <c r="J309" t="s">
        <v>18</v>
      </c>
      <c r="K309" t="s">
        <v>81</v>
      </c>
      <c r="L309" s="2">
        <v>4160</v>
      </c>
      <c r="M309" t="s">
        <v>82</v>
      </c>
    </row>
    <row r="310" spans="1:13" x14ac:dyDescent="0.3">
      <c r="A310" t="s">
        <v>569</v>
      </c>
      <c r="B310" s="1">
        <v>46163</v>
      </c>
      <c r="C310" t="s">
        <v>306</v>
      </c>
      <c r="D310" t="s">
        <v>23</v>
      </c>
      <c r="E310" t="s">
        <v>63</v>
      </c>
      <c r="F310">
        <v>2</v>
      </c>
      <c r="G310" s="2">
        <v>2090</v>
      </c>
      <c r="H310" s="3">
        <v>0</v>
      </c>
      <c r="I310" t="s">
        <v>17</v>
      </c>
      <c r="J310" t="s">
        <v>71</v>
      </c>
      <c r="K310" t="s">
        <v>41</v>
      </c>
      <c r="L310" s="2">
        <v>4180</v>
      </c>
      <c r="M310" t="s">
        <v>32</v>
      </c>
    </row>
    <row r="311" spans="1:13" x14ac:dyDescent="0.3">
      <c r="A311" t="s">
        <v>570</v>
      </c>
      <c r="B311" s="1">
        <v>46118</v>
      </c>
      <c r="C311" t="s">
        <v>122</v>
      </c>
      <c r="D311" t="s">
        <v>95</v>
      </c>
      <c r="E311" t="s">
        <v>74</v>
      </c>
      <c r="F311">
        <v>8</v>
      </c>
      <c r="G311" s="2">
        <v>2400</v>
      </c>
      <c r="H311" s="3">
        <v>0</v>
      </c>
      <c r="I311" t="s">
        <v>17</v>
      </c>
      <c r="J311" t="s">
        <v>31</v>
      </c>
      <c r="K311" t="s">
        <v>19</v>
      </c>
      <c r="L311" s="2">
        <v>19200</v>
      </c>
      <c r="M311" t="s">
        <v>52</v>
      </c>
    </row>
    <row r="312" spans="1:13" x14ac:dyDescent="0.3">
      <c r="A312" t="s">
        <v>571</v>
      </c>
      <c r="B312" s="1">
        <v>46188</v>
      </c>
      <c r="C312" t="s">
        <v>572</v>
      </c>
      <c r="D312" t="s">
        <v>62</v>
      </c>
      <c r="E312" t="s">
        <v>30</v>
      </c>
      <c r="F312">
        <v>1</v>
      </c>
      <c r="G312" s="2">
        <v>1890</v>
      </c>
      <c r="H312" s="3">
        <v>0.05</v>
      </c>
      <c r="I312" t="s">
        <v>17</v>
      </c>
      <c r="J312" t="s">
        <v>71</v>
      </c>
      <c r="K312" t="s">
        <v>25</v>
      </c>
      <c r="L312" s="2">
        <v>1795.5</v>
      </c>
      <c r="M312" t="s">
        <v>32</v>
      </c>
    </row>
    <row r="313" spans="1:13" x14ac:dyDescent="0.3">
      <c r="A313" t="s">
        <v>573</v>
      </c>
      <c r="B313" s="1">
        <v>46124</v>
      </c>
      <c r="C313" t="s">
        <v>484</v>
      </c>
      <c r="D313" t="s">
        <v>62</v>
      </c>
      <c r="E313" t="s">
        <v>16</v>
      </c>
      <c r="F313">
        <v>2</v>
      </c>
      <c r="G313" s="2">
        <v>650</v>
      </c>
      <c r="H313" s="3">
        <v>0.1</v>
      </c>
      <c r="I313" t="s">
        <v>17</v>
      </c>
      <c r="J313" t="s">
        <v>47</v>
      </c>
      <c r="K313" t="s">
        <v>67</v>
      </c>
      <c r="L313" s="2">
        <v>1170</v>
      </c>
      <c r="M313" t="s">
        <v>56</v>
      </c>
    </row>
    <row r="314" spans="1:13" x14ac:dyDescent="0.3">
      <c r="A314" t="s">
        <v>574</v>
      </c>
      <c r="B314" s="1">
        <v>46061</v>
      </c>
      <c r="C314" t="s">
        <v>328</v>
      </c>
      <c r="D314" t="s">
        <v>168</v>
      </c>
      <c r="E314" t="s">
        <v>183</v>
      </c>
      <c r="F314">
        <v>3</v>
      </c>
      <c r="G314" s="2">
        <v>3360</v>
      </c>
      <c r="H314" s="3">
        <v>0</v>
      </c>
      <c r="I314" t="s">
        <v>17</v>
      </c>
      <c r="J314" t="s">
        <v>18</v>
      </c>
      <c r="K314" t="s">
        <v>19</v>
      </c>
      <c r="L314" s="2">
        <v>10080</v>
      </c>
      <c r="M314" t="s">
        <v>42</v>
      </c>
    </row>
    <row r="315" spans="1:13" x14ac:dyDescent="0.3">
      <c r="A315" t="s">
        <v>575</v>
      </c>
      <c r="B315" s="1">
        <v>46094</v>
      </c>
      <c r="C315" t="s">
        <v>576</v>
      </c>
      <c r="D315" t="s">
        <v>70</v>
      </c>
      <c r="E315" t="s">
        <v>30</v>
      </c>
      <c r="F315">
        <v>2</v>
      </c>
      <c r="G315" s="2">
        <v>1800</v>
      </c>
      <c r="H315" s="3">
        <v>0.2</v>
      </c>
      <c r="I315" t="s">
        <v>66</v>
      </c>
      <c r="J315" t="s">
        <v>18</v>
      </c>
      <c r="K315" t="s">
        <v>67</v>
      </c>
      <c r="L315" s="2">
        <v>2880</v>
      </c>
      <c r="M315" t="s">
        <v>56</v>
      </c>
    </row>
    <row r="316" spans="1:13" x14ac:dyDescent="0.3">
      <c r="A316" t="s">
        <v>577</v>
      </c>
      <c r="B316" s="1">
        <v>46162</v>
      </c>
      <c r="C316" t="s">
        <v>473</v>
      </c>
      <c r="D316" t="s">
        <v>29</v>
      </c>
      <c r="E316" t="s">
        <v>46</v>
      </c>
      <c r="F316">
        <v>2</v>
      </c>
      <c r="G316" s="2">
        <v>8190</v>
      </c>
      <c r="H316" s="3">
        <v>0.15</v>
      </c>
      <c r="I316" t="s">
        <v>17</v>
      </c>
      <c r="J316" t="s">
        <v>71</v>
      </c>
      <c r="K316" t="s">
        <v>19</v>
      </c>
      <c r="L316" s="2">
        <v>13923</v>
      </c>
      <c r="M316" t="s">
        <v>138</v>
      </c>
    </row>
    <row r="317" spans="1:13" x14ac:dyDescent="0.3">
      <c r="A317" t="s">
        <v>578</v>
      </c>
      <c r="B317" s="1">
        <v>46175</v>
      </c>
      <c r="C317" t="s">
        <v>528</v>
      </c>
      <c r="D317" t="s">
        <v>23</v>
      </c>
      <c r="E317" t="s">
        <v>16</v>
      </c>
      <c r="F317">
        <v>5</v>
      </c>
      <c r="G317" s="2">
        <v>682.5</v>
      </c>
      <c r="H317" s="3">
        <v>0.05</v>
      </c>
      <c r="I317" t="s">
        <v>17</v>
      </c>
      <c r="J317" t="s">
        <v>71</v>
      </c>
      <c r="K317" t="s">
        <v>41</v>
      </c>
      <c r="L317" s="2">
        <v>3241.88</v>
      </c>
      <c r="M317" t="s">
        <v>42</v>
      </c>
    </row>
    <row r="318" spans="1:13" x14ac:dyDescent="0.3">
      <c r="A318" t="s">
        <v>579</v>
      </c>
      <c r="B318" s="1">
        <v>46086</v>
      </c>
      <c r="C318" t="s">
        <v>319</v>
      </c>
      <c r="D318" t="s">
        <v>95</v>
      </c>
      <c r="E318" t="s">
        <v>24</v>
      </c>
      <c r="F318">
        <v>1</v>
      </c>
      <c r="G318" s="2">
        <v>11200</v>
      </c>
      <c r="H318" s="3">
        <v>0.2</v>
      </c>
      <c r="I318" t="s">
        <v>17</v>
      </c>
      <c r="J318" t="s">
        <v>47</v>
      </c>
      <c r="K318" t="s">
        <v>41</v>
      </c>
      <c r="L318" s="2">
        <v>8960</v>
      </c>
      <c r="M318" t="s">
        <v>59</v>
      </c>
    </row>
    <row r="319" spans="1:13" x14ac:dyDescent="0.3">
      <c r="A319" t="s">
        <v>580</v>
      </c>
      <c r="B319" s="1">
        <v>46083</v>
      </c>
      <c r="C319" t="s">
        <v>581</v>
      </c>
      <c r="D319" t="s">
        <v>40</v>
      </c>
      <c r="E319" t="s">
        <v>36</v>
      </c>
      <c r="F319">
        <v>4</v>
      </c>
      <c r="G319" s="2">
        <v>1330</v>
      </c>
      <c r="H319" s="3">
        <v>0.2</v>
      </c>
      <c r="I319" t="s">
        <v>17</v>
      </c>
      <c r="J319" t="s">
        <v>71</v>
      </c>
      <c r="K319" t="s">
        <v>25</v>
      </c>
      <c r="L319" s="2">
        <v>4256</v>
      </c>
      <c r="M319" t="s">
        <v>52</v>
      </c>
    </row>
    <row r="320" spans="1:13" x14ac:dyDescent="0.3">
      <c r="A320" t="s">
        <v>582</v>
      </c>
      <c r="B320" s="1">
        <v>46149</v>
      </c>
      <c r="C320" t="s">
        <v>22</v>
      </c>
      <c r="D320" t="s">
        <v>152</v>
      </c>
      <c r="E320" t="s">
        <v>135</v>
      </c>
      <c r="F320">
        <v>1</v>
      </c>
      <c r="G320" s="2">
        <v>16800</v>
      </c>
      <c r="H320" s="3">
        <v>0</v>
      </c>
      <c r="I320" t="s">
        <v>17</v>
      </c>
      <c r="J320" t="s">
        <v>31</v>
      </c>
      <c r="K320" t="s">
        <v>25</v>
      </c>
      <c r="L320" s="2">
        <v>16800</v>
      </c>
      <c r="M320" t="s">
        <v>56</v>
      </c>
    </row>
    <row r="321" spans="1:13" x14ac:dyDescent="0.3">
      <c r="A321" t="s">
        <v>583</v>
      </c>
      <c r="B321" s="1">
        <v>46023</v>
      </c>
      <c r="C321" t="s">
        <v>271</v>
      </c>
      <c r="D321" t="s">
        <v>35</v>
      </c>
      <c r="E321" t="s">
        <v>183</v>
      </c>
      <c r="F321">
        <v>1</v>
      </c>
      <c r="G321" s="2">
        <v>3200</v>
      </c>
      <c r="H321" s="3">
        <v>0</v>
      </c>
      <c r="I321" t="s">
        <v>17</v>
      </c>
      <c r="J321" t="s">
        <v>31</v>
      </c>
      <c r="K321" t="s">
        <v>19</v>
      </c>
      <c r="L321" s="2">
        <v>3200</v>
      </c>
      <c r="M321" t="s">
        <v>59</v>
      </c>
    </row>
    <row r="322" spans="1:13" x14ac:dyDescent="0.3">
      <c r="A322" t="s">
        <v>584</v>
      </c>
      <c r="B322" s="1">
        <v>46173</v>
      </c>
      <c r="C322" t="s">
        <v>438</v>
      </c>
      <c r="D322" t="s">
        <v>123</v>
      </c>
      <c r="E322" t="s">
        <v>30</v>
      </c>
      <c r="F322">
        <v>4</v>
      </c>
      <c r="G322" s="2">
        <v>1710</v>
      </c>
      <c r="H322" s="3">
        <v>0.15</v>
      </c>
      <c r="I322" t="s">
        <v>66</v>
      </c>
      <c r="J322" t="s">
        <v>18</v>
      </c>
      <c r="K322" t="s">
        <v>25</v>
      </c>
      <c r="L322" s="2">
        <v>5814</v>
      </c>
      <c r="M322" t="s">
        <v>42</v>
      </c>
    </row>
    <row r="323" spans="1:13" x14ac:dyDescent="0.3">
      <c r="A323" t="s">
        <v>585</v>
      </c>
      <c r="B323" s="1">
        <v>46109</v>
      </c>
      <c r="C323" t="s">
        <v>586</v>
      </c>
      <c r="D323" t="s">
        <v>45</v>
      </c>
      <c r="E323" t="s">
        <v>36</v>
      </c>
      <c r="F323">
        <v>1</v>
      </c>
      <c r="G323" s="2">
        <v>1470</v>
      </c>
      <c r="H323" s="3">
        <v>0</v>
      </c>
      <c r="I323" t="s">
        <v>17</v>
      </c>
      <c r="J323" t="s">
        <v>47</v>
      </c>
      <c r="K323" t="s">
        <v>41</v>
      </c>
      <c r="L323" s="2">
        <v>1470</v>
      </c>
      <c r="M323" t="s">
        <v>82</v>
      </c>
    </row>
    <row r="324" spans="1:13" x14ac:dyDescent="0.3">
      <c r="A324" t="s">
        <v>587</v>
      </c>
      <c r="B324" s="1">
        <v>46200</v>
      </c>
      <c r="C324" t="s">
        <v>34</v>
      </c>
      <c r="D324" t="s">
        <v>77</v>
      </c>
      <c r="E324" t="s">
        <v>183</v>
      </c>
      <c r="F324">
        <v>4</v>
      </c>
      <c r="G324" s="2">
        <v>3200</v>
      </c>
      <c r="H324" s="3">
        <v>0</v>
      </c>
      <c r="I324" t="s">
        <v>17</v>
      </c>
      <c r="J324" t="s">
        <v>47</v>
      </c>
      <c r="K324" t="s">
        <v>67</v>
      </c>
      <c r="L324" s="2">
        <v>12800</v>
      </c>
      <c r="M324" t="s">
        <v>59</v>
      </c>
    </row>
    <row r="325" spans="1:13" x14ac:dyDescent="0.3">
      <c r="A325" t="s">
        <v>588</v>
      </c>
      <c r="B325" s="1">
        <v>46068</v>
      </c>
      <c r="C325" t="s">
        <v>348</v>
      </c>
      <c r="D325" t="s">
        <v>123</v>
      </c>
      <c r="E325" t="s">
        <v>16</v>
      </c>
      <c r="F325">
        <v>8</v>
      </c>
      <c r="G325" s="2">
        <v>617.5</v>
      </c>
      <c r="H325" s="3">
        <v>0.15</v>
      </c>
      <c r="I325" t="s">
        <v>17</v>
      </c>
      <c r="J325" t="s">
        <v>47</v>
      </c>
      <c r="K325" t="s">
        <v>25</v>
      </c>
      <c r="L325" s="2">
        <v>4199</v>
      </c>
      <c r="M325" t="s">
        <v>52</v>
      </c>
    </row>
    <row r="326" spans="1:13" x14ac:dyDescent="0.3">
      <c r="A326" t="s">
        <v>589</v>
      </c>
      <c r="B326" s="1">
        <v>46186</v>
      </c>
      <c r="C326" t="s">
        <v>127</v>
      </c>
      <c r="D326" t="s">
        <v>40</v>
      </c>
      <c r="E326" t="s">
        <v>63</v>
      </c>
      <c r="F326">
        <v>8</v>
      </c>
      <c r="G326" s="2">
        <v>2090</v>
      </c>
      <c r="H326" s="3">
        <v>0</v>
      </c>
      <c r="I326" t="s">
        <v>17</v>
      </c>
      <c r="J326" t="s">
        <v>47</v>
      </c>
      <c r="K326" t="s">
        <v>67</v>
      </c>
      <c r="L326" s="2">
        <v>16720</v>
      </c>
      <c r="M326" t="s">
        <v>59</v>
      </c>
    </row>
    <row r="327" spans="1:13" x14ac:dyDescent="0.3">
      <c r="A327" t="s">
        <v>590</v>
      </c>
      <c r="B327" s="1">
        <v>46185</v>
      </c>
      <c r="C327" t="s">
        <v>154</v>
      </c>
      <c r="D327" t="s">
        <v>77</v>
      </c>
      <c r="E327" t="s">
        <v>63</v>
      </c>
      <c r="F327">
        <v>4</v>
      </c>
      <c r="G327" s="2">
        <v>2200</v>
      </c>
      <c r="H327" s="3">
        <v>0.2</v>
      </c>
      <c r="I327" t="s">
        <v>17</v>
      </c>
      <c r="J327" t="s">
        <v>31</v>
      </c>
      <c r="K327" t="s">
        <v>67</v>
      </c>
      <c r="L327" s="2">
        <v>7040</v>
      </c>
      <c r="M327" t="s">
        <v>52</v>
      </c>
    </row>
    <row r="328" spans="1:13" x14ac:dyDescent="0.3">
      <c r="A328" t="s">
        <v>591</v>
      </c>
      <c r="B328" s="1">
        <v>46086</v>
      </c>
      <c r="C328" t="s">
        <v>592</v>
      </c>
      <c r="D328" t="s">
        <v>123</v>
      </c>
      <c r="E328" t="s">
        <v>63</v>
      </c>
      <c r="F328">
        <v>2</v>
      </c>
      <c r="G328" s="2">
        <v>2090</v>
      </c>
      <c r="H328" s="3">
        <v>0</v>
      </c>
      <c r="I328" t="s">
        <v>17</v>
      </c>
      <c r="J328" t="s">
        <v>18</v>
      </c>
      <c r="K328" t="s">
        <v>55</v>
      </c>
      <c r="L328" s="2">
        <v>4180</v>
      </c>
      <c r="M328" t="s">
        <v>59</v>
      </c>
    </row>
    <row r="329" spans="1:13" x14ac:dyDescent="0.3">
      <c r="A329" t="s">
        <v>593</v>
      </c>
      <c r="B329" s="1">
        <v>46128</v>
      </c>
      <c r="C329" t="s">
        <v>594</v>
      </c>
      <c r="D329" t="s">
        <v>62</v>
      </c>
      <c r="E329" t="s">
        <v>161</v>
      </c>
      <c r="F329">
        <v>2</v>
      </c>
      <c r="G329" s="2">
        <v>2730</v>
      </c>
      <c r="H329" s="3">
        <v>0.1</v>
      </c>
      <c r="I329" t="s">
        <v>17</v>
      </c>
      <c r="J329" t="s">
        <v>71</v>
      </c>
      <c r="K329" t="s">
        <v>55</v>
      </c>
      <c r="L329" s="2">
        <v>4914</v>
      </c>
      <c r="M329" t="s">
        <v>42</v>
      </c>
    </row>
    <row r="330" spans="1:13" x14ac:dyDescent="0.3">
      <c r="A330" t="s">
        <v>595</v>
      </c>
      <c r="B330" s="1">
        <v>46031</v>
      </c>
      <c r="C330" t="s">
        <v>596</v>
      </c>
      <c r="D330" t="s">
        <v>45</v>
      </c>
      <c r="E330" t="s">
        <v>16</v>
      </c>
      <c r="F330">
        <v>2</v>
      </c>
      <c r="G330" s="2">
        <v>650</v>
      </c>
      <c r="H330" s="3">
        <v>0</v>
      </c>
      <c r="I330" t="s">
        <v>17</v>
      </c>
      <c r="J330" t="s">
        <v>71</v>
      </c>
      <c r="K330" t="s">
        <v>19</v>
      </c>
      <c r="L330" s="2">
        <v>1300</v>
      </c>
      <c r="M330" t="s">
        <v>82</v>
      </c>
    </row>
    <row r="331" spans="1:13" x14ac:dyDescent="0.3">
      <c r="A331" t="s">
        <v>597</v>
      </c>
      <c r="B331" s="1">
        <v>46046</v>
      </c>
      <c r="C331" t="s">
        <v>165</v>
      </c>
      <c r="D331" t="s">
        <v>35</v>
      </c>
      <c r="E331" t="s">
        <v>183</v>
      </c>
      <c r="F331">
        <v>10</v>
      </c>
      <c r="G331" s="2">
        <v>3360</v>
      </c>
      <c r="H331" s="3">
        <v>0.1</v>
      </c>
      <c r="I331" t="s">
        <v>17</v>
      </c>
      <c r="J331" t="s">
        <v>372</v>
      </c>
      <c r="K331" t="s">
        <v>41</v>
      </c>
      <c r="L331" s="2">
        <v>30240</v>
      </c>
      <c r="M331" t="s">
        <v>20</v>
      </c>
    </row>
    <row r="332" spans="1:13" x14ac:dyDescent="0.3">
      <c r="A332" t="s">
        <v>598</v>
      </c>
      <c r="B332" s="1">
        <v>46048</v>
      </c>
      <c r="C332" t="s">
        <v>554</v>
      </c>
      <c r="D332" t="s">
        <v>35</v>
      </c>
      <c r="E332" t="s">
        <v>24</v>
      </c>
      <c r="F332">
        <v>10</v>
      </c>
      <c r="G332" s="2">
        <v>11200</v>
      </c>
      <c r="H332" s="3">
        <v>0.1</v>
      </c>
      <c r="I332" t="s">
        <v>17</v>
      </c>
      <c r="J332" t="s">
        <v>47</v>
      </c>
      <c r="K332" t="s">
        <v>41</v>
      </c>
      <c r="L332" s="2">
        <v>100800</v>
      </c>
      <c r="M332" t="s">
        <v>42</v>
      </c>
    </row>
    <row r="333" spans="1:13" x14ac:dyDescent="0.3">
      <c r="A333" t="s">
        <v>599</v>
      </c>
      <c r="B333" s="1">
        <v>46035</v>
      </c>
      <c r="C333" t="s">
        <v>120</v>
      </c>
      <c r="D333" t="s">
        <v>70</v>
      </c>
      <c r="E333" t="s">
        <v>183</v>
      </c>
      <c r="F333">
        <v>2</v>
      </c>
      <c r="G333" s="2">
        <v>3200</v>
      </c>
      <c r="H333" s="3">
        <v>0.1</v>
      </c>
      <c r="I333" t="s">
        <v>17</v>
      </c>
      <c r="J333" t="s">
        <v>18</v>
      </c>
      <c r="K333" t="s">
        <v>19</v>
      </c>
      <c r="L333" s="2">
        <v>5760</v>
      </c>
      <c r="M333" t="s">
        <v>26</v>
      </c>
    </row>
    <row r="334" spans="1:13" x14ac:dyDescent="0.3">
      <c r="A334" t="s">
        <v>600</v>
      </c>
      <c r="B334" s="1">
        <v>46192</v>
      </c>
      <c r="C334" t="s">
        <v>601</v>
      </c>
      <c r="D334" t="s">
        <v>95</v>
      </c>
      <c r="E334" t="s">
        <v>183</v>
      </c>
      <c r="F334">
        <v>2</v>
      </c>
      <c r="G334" s="2">
        <v>3200</v>
      </c>
      <c r="H334" s="3">
        <v>0</v>
      </c>
      <c r="I334" t="s">
        <v>17</v>
      </c>
      <c r="J334" t="s">
        <v>31</v>
      </c>
      <c r="K334" t="s">
        <v>55</v>
      </c>
      <c r="L334" s="2">
        <v>6400</v>
      </c>
      <c r="M334" t="s">
        <v>42</v>
      </c>
    </row>
    <row r="335" spans="1:13" x14ac:dyDescent="0.3">
      <c r="A335" t="s">
        <v>602</v>
      </c>
      <c r="B335" s="1">
        <v>46101</v>
      </c>
      <c r="C335" t="s">
        <v>198</v>
      </c>
      <c r="D335" t="s">
        <v>29</v>
      </c>
      <c r="E335" t="s">
        <v>161</v>
      </c>
      <c r="F335">
        <v>2</v>
      </c>
      <c r="G335" s="2">
        <v>2730</v>
      </c>
      <c r="H335" s="3">
        <v>0.2</v>
      </c>
      <c r="I335" t="s">
        <v>17</v>
      </c>
      <c r="J335" t="s">
        <v>47</v>
      </c>
      <c r="K335" t="s">
        <v>55</v>
      </c>
      <c r="L335" s="2">
        <v>4368</v>
      </c>
      <c r="M335" t="s">
        <v>138</v>
      </c>
    </row>
    <row r="336" spans="1:13" x14ac:dyDescent="0.3">
      <c r="A336" t="s">
        <v>603</v>
      </c>
      <c r="B336" s="1">
        <v>46070</v>
      </c>
      <c r="C336" t="s">
        <v>426</v>
      </c>
      <c r="D336" t="s">
        <v>62</v>
      </c>
      <c r="E336" t="s">
        <v>16</v>
      </c>
      <c r="F336">
        <v>1</v>
      </c>
      <c r="G336" s="2">
        <v>650</v>
      </c>
      <c r="H336" s="3">
        <v>0.1</v>
      </c>
      <c r="I336" t="s">
        <v>17</v>
      </c>
      <c r="J336" t="s">
        <v>372</v>
      </c>
      <c r="K336" t="s">
        <v>19</v>
      </c>
      <c r="L336" s="2">
        <v>585</v>
      </c>
      <c r="M336" t="s">
        <v>42</v>
      </c>
    </row>
    <row r="337" spans="1:13" x14ac:dyDescent="0.3">
      <c r="A337" t="s">
        <v>604</v>
      </c>
      <c r="B337" s="1">
        <v>46194</v>
      </c>
      <c r="C337" t="s">
        <v>319</v>
      </c>
      <c r="D337" t="s">
        <v>35</v>
      </c>
      <c r="E337" t="s">
        <v>51</v>
      </c>
      <c r="F337">
        <v>2</v>
      </c>
      <c r="G337" s="2">
        <v>17575</v>
      </c>
      <c r="H337" s="3">
        <v>0.15</v>
      </c>
      <c r="I337" t="s">
        <v>17</v>
      </c>
      <c r="J337" t="s">
        <v>18</v>
      </c>
      <c r="K337" t="s">
        <v>25</v>
      </c>
      <c r="L337" s="2">
        <v>29877.5</v>
      </c>
      <c r="M337" t="s">
        <v>56</v>
      </c>
    </row>
    <row r="338" spans="1:13" x14ac:dyDescent="0.3">
      <c r="A338" t="s">
        <v>605</v>
      </c>
      <c r="B338" s="1">
        <v>46169</v>
      </c>
      <c r="C338" t="s">
        <v>376</v>
      </c>
      <c r="D338" t="s">
        <v>77</v>
      </c>
      <c r="E338" t="s">
        <v>24</v>
      </c>
      <c r="F338">
        <v>2</v>
      </c>
      <c r="G338" s="2">
        <v>10640</v>
      </c>
      <c r="H338" s="3">
        <v>0</v>
      </c>
      <c r="I338" t="s">
        <v>17</v>
      </c>
      <c r="J338" t="s">
        <v>71</v>
      </c>
      <c r="K338" t="s">
        <v>19</v>
      </c>
      <c r="L338" s="2">
        <v>21280</v>
      </c>
      <c r="M338" t="s">
        <v>56</v>
      </c>
    </row>
    <row r="339" spans="1:13" x14ac:dyDescent="0.3">
      <c r="A339" t="s">
        <v>606</v>
      </c>
      <c r="B339" s="1">
        <v>46067</v>
      </c>
      <c r="C339" t="s">
        <v>607</v>
      </c>
      <c r="D339" t="s">
        <v>50</v>
      </c>
      <c r="E339" t="s">
        <v>24</v>
      </c>
      <c r="F339">
        <v>4</v>
      </c>
      <c r="G339" s="2">
        <v>10640</v>
      </c>
      <c r="H339" s="3">
        <v>0</v>
      </c>
      <c r="I339" t="s">
        <v>17</v>
      </c>
      <c r="J339" t="s">
        <v>71</v>
      </c>
      <c r="K339" t="s">
        <v>41</v>
      </c>
      <c r="L339" s="2">
        <v>42560</v>
      </c>
      <c r="M339" t="s">
        <v>48</v>
      </c>
    </row>
    <row r="340" spans="1:13" x14ac:dyDescent="0.3">
      <c r="A340" t="s">
        <v>608</v>
      </c>
      <c r="B340" s="1">
        <v>46089</v>
      </c>
      <c r="C340" t="s">
        <v>405</v>
      </c>
      <c r="D340" t="s">
        <v>35</v>
      </c>
      <c r="E340" t="s">
        <v>85</v>
      </c>
      <c r="F340">
        <v>5</v>
      </c>
      <c r="G340" s="2">
        <v>50925</v>
      </c>
      <c r="H340" s="3">
        <v>0</v>
      </c>
      <c r="I340" t="s">
        <v>17</v>
      </c>
      <c r="J340" t="s">
        <v>47</v>
      </c>
      <c r="K340" t="s">
        <v>25</v>
      </c>
      <c r="L340" s="2">
        <v>254625</v>
      </c>
      <c r="M340" t="s">
        <v>56</v>
      </c>
    </row>
    <row r="341" spans="1:13" x14ac:dyDescent="0.3">
      <c r="A341" t="s">
        <v>609</v>
      </c>
      <c r="B341" s="1">
        <v>46026</v>
      </c>
      <c r="C341" t="s">
        <v>252</v>
      </c>
      <c r="D341" t="s">
        <v>29</v>
      </c>
      <c r="E341" t="s">
        <v>85</v>
      </c>
      <c r="F341">
        <v>3</v>
      </c>
      <c r="G341" s="2">
        <v>46075</v>
      </c>
      <c r="H341" s="3">
        <v>0.15</v>
      </c>
      <c r="I341" t="s">
        <v>17</v>
      </c>
      <c r="J341" t="s">
        <v>71</v>
      </c>
      <c r="K341" t="s">
        <v>41</v>
      </c>
      <c r="L341" s="2">
        <v>117491.25</v>
      </c>
      <c r="M341" t="s">
        <v>48</v>
      </c>
    </row>
    <row r="342" spans="1:13" x14ac:dyDescent="0.3">
      <c r="A342" t="s">
        <v>610</v>
      </c>
      <c r="B342" s="1">
        <v>46173</v>
      </c>
      <c r="C342" t="s">
        <v>190</v>
      </c>
      <c r="D342" t="s">
        <v>40</v>
      </c>
      <c r="E342" t="s">
        <v>63</v>
      </c>
      <c r="F342">
        <v>8</v>
      </c>
      <c r="G342" s="2">
        <v>2200</v>
      </c>
      <c r="H342" s="3">
        <v>0.15</v>
      </c>
      <c r="I342" t="s">
        <v>17</v>
      </c>
      <c r="J342" t="s">
        <v>18</v>
      </c>
      <c r="K342" t="s">
        <v>67</v>
      </c>
      <c r="L342" s="2">
        <v>14960</v>
      </c>
      <c r="M342" t="s">
        <v>32</v>
      </c>
    </row>
    <row r="343" spans="1:13" x14ac:dyDescent="0.3">
      <c r="A343" t="s">
        <v>611</v>
      </c>
      <c r="B343" s="1">
        <v>46190</v>
      </c>
      <c r="C343" t="s">
        <v>475</v>
      </c>
      <c r="D343" t="s">
        <v>62</v>
      </c>
      <c r="E343" t="s">
        <v>183</v>
      </c>
      <c r="F343">
        <v>3</v>
      </c>
      <c r="G343" s="2">
        <v>3360</v>
      </c>
      <c r="H343" s="3">
        <v>0</v>
      </c>
      <c r="I343" t="s">
        <v>17</v>
      </c>
      <c r="J343" t="s">
        <v>18</v>
      </c>
      <c r="K343" t="s">
        <v>19</v>
      </c>
      <c r="L343" s="2">
        <v>10080</v>
      </c>
      <c r="M343" t="s">
        <v>32</v>
      </c>
    </row>
    <row r="344" spans="1:13" x14ac:dyDescent="0.3">
      <c r="A344" t="s">
        <v>612</v>
      </c>
      <c r="B344" s="1">
        <v>46107</v>
      </c>
      <c r="C344" t="s">
        <v>613</v>
      </c>
      <c r="D344" t="s">
        <v>123</v>
      </c>
      <c r="E344" t="s">
        <v>24</v>
      </c>
      <c r="F344">
        <v>1</v>
      </c>
      <c r="G344" s="2">
        <v>11200</v>
      </c>
      <c r="H344" s="3">
        <v>0.1</v>
      </c>
      <c r="I344" t="s">
        <v>80</v>
      </c>
      <c r="J344" t="s">
        <v>47</v>
      </c>
      <c r="K344" t="s">
        <v>67</v>
      </c>
      <c r="L344" s="2">
        <v>10080</v>
      </c>
      <c r="M344" t="s">
        <v>26</v>
      </c>
    </row>
    <row r="345" spans="1:13" x14ac:dyDescent="0.3">
      <c r="A345" t="s">
        <v>614</v>
      </c>
      <c r="B345" s="1">
        <v>46094</v>
      </c>
      <c r="C345" t="s">
        <v>421</v>
      </c>
      <c r="D345" t="s">
        <v>90</v>
      </c>
      <c r="E345" t="s">
        <v>46</v>
      </c>
      <c r="F345">
        <v>5</v>
      </c>
      <c r="G345" s="2">
        <v>7800</v>
      </c>
      <c r="H345" s="3">
        <v>0.2</v>
      </c>
      <c r="I345" t="s">
        <v>17</v>
      </c>
      <c r="J345" t="s">
        <v>47</v>
      </c>
      <c r="K345" t="s">
        <v>55</v>
      </c>
      <c r="L345" s="2">
        <v>31200</v>
      </c>
      <c r="M345" t="s">
        <v>138</v>
      </c>
    </row>
    <row r="346" spans="1:13" x14ac:dyDescent="0.3">
      <c r="A346" t="s">
        <v>615</v>
      </c>
      <c r="B346" s="1">
        <v>46091</v>
      </c>
      <c r="C346" t="s">
        <v>616</v>
      </c>
      <c r="D346" t="s">
        <v>123</v>
      </c>
      <c r="E346" t="s">
        <v>161</v>
      </c>
      <c r="F346">
        <v>3</v>
      </c>
      <c r="G346" s="2">
        <v>2600</v>
      </c>
      <c r="H346" s="3">
        <v>0</v>
      </c>
      <c r="I346" t="s">
        <v>17</v>
      </c>
      <c r="J346" t="s">
        <v>18</v>
      </c>
      <c r="K346" t="s">
        <v>25</v>
      </c>
      <c r="L346" s="2">
        <v>7800</v>
      </c>
      <c r="M346" t="s">
        <v>138</v>
      </c>
    </row>
    <row r="347" spans="1:13" x14ac:dyDescent="0.3">
      <c r="A347" t="s">
        <v>617</v>
      </c>
      <c r="B347" s="1">
        <v>46037</v>
      </c>
      <c r="C347" t="s">
        <v>378</v>
      </c>
      <c r="D347" t="s">
        <v>152</v>
      </c>
      <c r="E347" t="s">
        <v>30</v>
      </c>
      <c r="F347">
        <v>1</v>
      </c>
      <c r="G347" s="2">
        <v>1800</v>
      </c>
      <c r="H347" s="3">
        <v>0.2</v>
      </c>
      <c r="I347" t="s">
        <v>17</v>
      </c>
      <c r="J347" t="s">
        <v>71</v>
      </c>
      <c r="K347" t="s">
        <v>41</v>
      </c>
      <c r="L347" s="2">
        <v>1440</v>
      </c>
      <c r="M347" t="s">
        <v>52</v>
      </c>
    </row>
    <row r="348" spans="1:13" x14ac:dyDescent="0.3">
      <c r="A348" t="s">
        <v>618</v>
      </c>
      <c r="B348" s="1">
        <v>46037</v>
      </c>
      <c r="C348" t="s">
        <v>619</v>
      </c>
      <c r="D348" t="s">
        <v>23</v>
      </c>
      <c r="E348" t="s">
        <v>16</v>
      </c>
      <c r="F348">
        <v>2</v>
      </c>
      <c r="G348" s="2">
        <v>650</v>
      </c>
      <c r="H348" s="3">
        <v>0.05</v>
      </c>
      <c r="I348" t="s">
        <v>17</v>
      </c>
      <c r="J348" t="s">
        <v>18</v>
      </c>
      <c r="K348" t="s">
        <v>25</v>
      </c>
      <c r="L348" s="2">
        <v>1235</v>
      </c>
      <c r="M348" t="s">
        <v>32</v>
      </c>
    </row>
    <row r="349" spans="1:13" x14ac:dyDescent="0.3">
      <c r="A349" t="s">
        <v>620</v>
      </c>
      <c r="B349" s="1">
        <v>46185</v>
      </c>
      <c r="C349" t="s">
        <v>310</v>
      </c>
      <c r="D349" t="s">
        <v>77</v>
      </c>
      <c r="E349" t="s">
        <v>63</v>
      </c>
      <c r="F349">
        <v>3</v>
      </c>
      <c r="G349" s="2">
        <v>2310</v>
      </c>
      <c r="H349" s="3">
        <v>0</v>
      </c>
      <c r="I349" t="s">
        <v>17</v>
      </c>
      <c r="J349" t="s">
        <v>18</v>
      </c>
      <c r="K349" t="s">
        <v>25</v>
      </c>
      <c r="L349" s="2">
        <v>6930</v>
      </c>
      <c r="M349" t="s">
        <v>82</v>
      </c>
    </row>
    <row r="350" spans="1:13" x14ac:dyDescent="0.3">
      <c r="A350" t="s">
        <v>621</v>
      </c>
      <c r="B350" s="1">
        <v>46112</v>
      </c>
      <c r="C350" t="s">
        <v>321</v>
      </c>
      <c r="D350" t="s">
        <v>35</v>
      </c>
      <c r="E350" t="s">
        <v>30</v>
      </c>
      <c r="F350">
        <v>4</v>
      </c>
      <c r="G350" s="2">
        <v>1710</v>
      </c>
      <c r="H350" s="3">
        <v>0.05</v>
      </c>
      <c r="I350" t="s">
        <v>17</v>
      </c>
      <c r="J350" t="s">
        <v>31</v>
      </c>
      <c r="K350" t="s">
        <v>55</v>
      </c>
      <c r="L350" s="2">
        <v>6498</v>
      </c>
      <c r="M350" t="s">
        <v>20</v>
      </c>
    </row>
    <row r="351" spans="1:13" x14ac:dyDescent="0.3">
      <c r="A351" t="s">
        <v>622</v>
      </c>
      <c r="B351" s="1">
        <v>46064</v>
      </c>
      <c r="C351" t="s">
        <v>623</v>
      </c>
      <c r="D351" t="s">
        <v>90</v>
      </c>
      <c r="E351" t="s">
        <v>183</v>
      </c>
      <c r="F351">
        <v>4</v>
      </c>
      <c r="G351" s="2">
        <v>3200</v>
      </c>
      <c r="H351" s="3">
        <v>0</v>
      </c>
      <c r="I351" t="s">
        <v>66</v>
      </c>
      <c r="J351" t="s">
        <v>47</v>
      </c>
      <c r="K351" t="s">
        <v>55</v>
      </c>
      <c r="L351" s="2">
        <v>12800</v>
      </c>
      <c r="M351" t="s">
        <v>82</v>
      </c>
    </row>
    <row r="352" spans="1:13" x14ac:dyDescent="0.3">
      <c r="A352" t="s">
        <v>624</v>
      </c>
      <c r="B352" s="1">
        <v>46028</v>
      </c>
      <c r="C352" t="s">
        <v>338</v>
      </c>
      <c r="D352" t="s">
        <v>90</v>
      </c>
      <c r="E352" t="s">
        <v>74</v>
      </c>
      <c r="F352">
        <v>1</v>
      </c>
      <c r="G352" s="2">
        <v>2280</v>
      </c>
      <c r="H352" s="3">
        <v>0</v>
      </c>
      <c r="I352" t="s">
        <v>17</v>
      </c>
      <c r="J352" t="s">
        <v>47</v>
      </c>
      <c r="K352" t="s">
        <v>25</v>
      </c>
      <c r="L352" s="2">
        <v>2280</v>
      </c>
      <c r="M352" t="s">
        <v>26</v>
      </c>
    </row>
    <row r="353" spans="1:13" x14ac:dyDescent="0.3">
      <c r="A353" t="s">
        <v>625</v>
      </c>
      <c r="B353" s="1">
        <v>46187</v>
      </c>
      <c r="C353" t="s">
        <v>144</v>
      </c>
      <c r="D353" t="s">
        <v>45</v>
      </c>
      <c r="E353" t="s">
        <v>161</v>
      </c>
      <c r="F353">
        <v>5</v>
      </c>
      <c r="G353" s="2">
        <v>2600</v>
      </c>
      <c r="H353" s="3">
        <v>0.05</v>
      </c>
      <c r="I353" t="s">
        <v>17</v>
      </c>
      <c r="J353" t="s">
        <v>47</v>
      </c>
      <c r="K353" t="s">
        <v>25</v>
      </c>
      <c r="L353" s="2">
        <v>12350</v>
      </c>
      <c r="M353" t="s">
        <v>48</v>
      </c>
    </row>
    <row r="354" spans="1:13" x14ac:dyDescent="0.3">
      <c r="A354" t="s">
        <v>626</v>
      </c>
      <c r="B354" s="1">
        <v>46124</v>
      </c>
      <c r="C354" t="s">
        <v>554</v>
      </c>
      <c r="D354" t="s">
        <v>40</v>
      </c>
      <c r="E354" t="s">
        <v>63</v>
      </c>
      <c r="F354">
        <v>1</v>
      </c>
      <c r="G354" s="2">
        <v>2200</v>
      </c>
      <c r="H354" s="3">
        <v>0.2</v>
      </c>
      <c r="I354" t="s">
        <v>116</v>
      </c>
      <c r="J354" t="s">
        <v>47</v>
      </c>
      <c r="K354" t="s">
        <v>19</v>
      </c>
      <c r="L354" s="2">
        <v>1760</v>
      </c>
      <c r="M354" t="s">
        <v>56</v>
      </c>
    </row>
    <row r="355" spans="1:13" x14ac:dyDescent="0.3">
      <c r="A355" t="s">
        <v>627</v>
      </c>
      <c r="B355" s="1">
        <v>46039</v>
      </c>
      <c r="C355" t="s">
        <v>628</v>
      </c>
      <c r="D355" t="s">
        <v>35</v>
      </c>
      <c r="E355" t="s">
        <v>135</v>
      </c>
      <c r="F355">
        <v>3</v>
      </c>
      <c r="G355" s="2">
        <v>16800</v>
      </c>
      <c r="H355" s="3">
        <v>0.05</v>
      </c>
      <c r="I355" t="s">
        <v>17</v>
      </c>
      <c r="J355" t="s">
        <v>71</v>
      </c>
      <c r="K355" t="s">
        <v>25</v>
      </c>
      <c r="L355" s="2">
        <v>47880</v>
      </c>
      <c r="M355" t="s">
        <v>52</v>
      </c>
    </row>
    <row r="356" spans="1:13" x14ac:dyDescent="0.3">
      <c r="A356" t="s">
        <v>629</v>
      </c>
      <c r="B356" s="1">
        <v>46037</v>
      </c>
      <c r="C356" t="s">
        <v>353</v>
      </c>
      <c r="D356" t="s">
        <v>29</v>
      </c>
      <c r="E356" t="s">
        <v>183</v>
      </c>
      <c r="F356">
        <v>2</v>
      </c>
      <c r="G356" s="2">
        <v>3040</v>
      </c>
      <c r="H356" s="3">
        <v>0.05</v>
      </c>
      <c r="I356" t="s">
        <v>17</v>
      </c>
      <c r="J356" t="s">
        <v>47</v>
      </c>
      <c r="K356" t="s">
        <v>67</v>
      </c>
      <c r="L356" s="2">
        <v>5776</v>
      </c>
      <c r="M356" t="s">
        <v>32</v>
      </c>
    </row>
    <row r="357" spans="1:13" x14ac:dyDescent="0.3">
      <c r="A357" t="s">
        <v>630</v>
      </c>
      <c r="B357" s="1">
        <v>46126</v>
      </c>
      <c r="C357" t="s">
        <v>118</v>
      </c>
      <c r="D357" t="s">
        <v>70</v>
      </c>
      <c r="E357" t="s">
        <v>85</v>
      </c>
      <c r="F357">
        <v>1</v>
      </c>
      <c r="G357" s="2">
        <v>48500</v>
      </c>
      <c r="H357" s="3">
        <v>0.2</v>
      </c>
      <c r="I357" t="s">
        <v>116</v>
      </c>
      <c r="J357" t="s">
        <v>71</v>
      </c>
      <c r="K357" t="s">
        <v>25</v>
      </c>
      <c r="L357" s="2">
        <v>38800</v>
      </c>
      <c r="M357" t="s">
        <v>56</v>
      </c>
    </row>
    <row r="358" spans="1:13" x14ac:dyDescent="0.3">
      <c r="A358" t="s">
        <v>631</v>
      </c>
      <c r="B358" s="1">
        <v>46194</v>
      </c>
      <c r="C358" t="s">
        <v>355</v>
      </c>
      <c r="D358" t="s">
        <v>35</v>
      </c>
      <c r="E358" t="s">
        <v>51</v>
      </c>
      <c r="F358">
        <v>2</v>
      </c>
      <c r="G358" s="2">
        <v>18500</v>
      </c>
      <c r="H358" s="3">
        <v>0</v>
      </c>
      <c r="I358" t="s">
        <v>66</v>
      </c>
      <c r="J358" t="s">
        <v>31</v>
      </c>
      <c r="K358" t="s">
        <v>55</v>
      </c>
      <c r="L358" s="2">
        <v>37000</v>
      </c>
      <c r="M358" t="s">
        <v>59</v>
      </c>
    </row>
    <row r="359" spans="1:13" x14ac:dyDescent="0.3">
      <c r="A359" t="s">
        <v>632</v>
      </c>
      <c r="B359" s="1">
        <v>46089</v>
      </c>
      <c r="C359" t="s">
        <v>304</v>
      </c>
      <c r="D359" t="s">
        <v>123</v>
      </c>
      <c r="E359" t="s">
        <v>51</v>
      </c>
      <c r="F359">
        <v>4</v>
      </c>
      <c r="G359" s="2">
        <v>18500</v>
      </c>
      <c r="H359" s="3">
        <v>0</v>
      </c>
      <c r="I359" t="s">
        <v>80</v>
      </c>
      <c r="J359" t="s">
        <v>71</v>
      </c>
      <c r="K359" t="s">
        <v>67</v>
      </c>
      <c r="L359" s="2">
        <v>74000</v>
      </c>
      <c r="M359" t="s">
        <v>52</v>
      </c>
    </row>
    <row r="360" spans="1:13" x14ac:dyDescent="0.3">
      <c r="A360" t="s">
        <v>633</v>
      </c>
      <c r="B360" s="1">
        <v>46101</v>
      </c>
      <c r="C360" t="s">
        <v>330</v>
      </c>
      <c r="E360" t="s">
        <v>36</v>
      </c>
      <c r="F360">
        <v>2</v>
      </c>
      <c r="G360" s="2">
        <v>1330</v>
      </c>
      <c r="H360" s="3">
        <v>0.15</v>
      </c>
      <c r="I360" t="s">
        <v>17</v>
      </c>
      <c r="J360" t="s">
        <v>31</v>
      </c>
      <c r="K360" t="s">
        <v>25</v>
      </c>
      <c r="L360" s="2">
        <v>2261</v>
      </c>
      <c r="M360" t="s">
        <v>48</v>
      </c>
    </row>
    <row r="361" spans="1:13" x14ac:dyDescent="0.3">
      <c r="A361" t="s">
        <v>634</v>
      </c>
      <c r="B361" s="1">
        <v>46181</v>
      </c>
      <c r="C361" t="s">
        <v>635</v>
      </c>
      <c r="D361" t="s">
        <v>15</v>
      </c>
      <c r="E361" t="s">
        <v>46</v>
      </c>
      <c r="F361">
        <v>5</v>
      </c>
      <c r="G361" s="2">
        <v>8190</v>
      </c>
      <c r="H361" s="3">
        <v>0.15</v>
      </c>
      <c r="I361" t="s">
        <v>17</v>
      </c>
      <c r="J361" t="s">
        <v>18</v>
      </c>
      <c r="K361" t="s">
        <v>19</v>
      </c>
      <c r="L361" s="2">
        <v>34807.5</v>
      </c>
      <c r="M361" t="s">
        <v>59</v>
      </c>
    </row>
    <row r="362" spans="1:13" x14ac:dyDescent="0.3">
      <c r="A362" t="s">
        <v>636</v>
      </c>
      <c r="B362" s="1">
        <v>46058</v>
      </c>
      <c r="C362" t="s">
        <v>475</v>
      </c>
      <c r="D362" t="s">
        <v>23</v>
      </c>
      <c r="E362" t="s">
        <v>36</v>
      </c>
      <c r="F362">
        <v>2</v>
      </c>
      <c r="G362" s="2">
        <v>1470</v>
      </c>
      <c r="H362" s="3">
        <v>0.15</v>
      </c>
      <c r="I362" t="s">
        <v>66</v>
      </c>
      <c r="J362" t="s">
        <v>47</v>
      </c>
      <c r="K362" t="s">
        <v>41</v>
      </c>
      <c r="L362" s="2">
        <v>2499</v>
      </c>
      <c r="M362" t="s">
        <v>42</v>
      </c>
    </row>
    <row r="363" spans="1:13" x14ac:dyDescent="0.3">
      <c r="A363" t="s">
        <v>637</v>
      </c>
      <c r="B363" s="1">
        <v>46147</v>
      </c>
      <c r="C363" t="s">
        <v>84</v>
      </c>
      <c r="D363" t="s">
        <v>35</v>
      </c>
      <c r="E363" t="s">
        <v>74</v>
      </c>
      <c r="F363">
        <v>10</v>
      </c>
      <c r="G363" s="2">
        <v>2280</v>
      </c>
      <c r="H363" s="3">
        <v>0.05</v>
      </c>
      <c r="I363" t="s">
        <v>17</v>
      </c>
      <c r="J363" t="s">
        <v>47</v>
      </c>
      <c r="K363" t="s">
        <v>41</v>
      </c>
      <c r="L363" s="2">
        <v>21660</v>
      </c>
      <c r="M363" t="s">
        <v>59</v>
      </c>
    </row>
    <row r="364" spans="1:13" x14ac:dyDescent="0.3">
      <c r="A364" t="s">
        <v>638</v>
      </c>
      <c r="B364" s="1">
        <v>46170</v>
      </c>
      <c r="C364" t="s">
        <v>522</v>
      </c>
      <c r="D364" t="s">
        <v>29</v>
      </c>
      <c r="E364" t="s">
        <v>30</v>
      </c>
      <c r="F364">
        <v>2</v>
      </c>
      <c r="G364" s="2">
        <v>1890</v>
      </c>
      <c r="H364" s="3">
        <v>0</v>
      </c>
      <c r="I364" t="s">
        <v>17</v>
      </c>
      <c r="J364" t="s">
        <v>18</v>
      </c>
      <c r="K364" t="s">
        <v>55</v>
      </c>
      <c r="L364" s="2">
        <v>3780</v>
      </c>
      <c r="M364" t="s">
        <v>56</v>
      </c>
    </row>
    <row r="365" spans="1:13" x14ac:dyDescent="0.3">
      <c r="A365" t="s">
        <v>639</v>
      </c>
      <c r="B365" s="1">
        <v>46121</v>
      </c>
      <c r="C365" t="s">
        <v>315</v>
      </c>
      <c r="D365" t="s">
        <v>168</v>
      </c>
      <c r="E365" t="s">
        <v>16</v>
      </c>
      <c r="F365">
        <v>2</v>
      </c>
      <c r="G365" s="2">
        <v>617.5</v>
      </c>
      <c r="H365" s="3">
        <v>0.2</v>
      </c>
      <c r="I365" t="s">
        <v>17</v>
      </c>
      <c r="J365" t="s">
        <v>71</v>
      </c>
      <c r="K365" t="s">
        <v>19</v>
      </c>
      <c r="L365" s="2">
        <v>988</v>
      </c>
      <c r="M365" t="s">
        <v>20</v>
      </c>
    </row>
    <row r="366" spans="1:13" x14ac:dyDescent="0.3">
      <c r="A366" t="s">
        <v>640</v>
      </c>
      <c r="B366" s="1">
        <v>46183</v>
      </c>
      <c r="C366" t="s">
        <v>230</v>
      </c>
      <c r="D366" t="s">
        <v>123</v>
      </c>
      <c r="E366" t="s">
        <v>24</v>
      </c>
      <c r="F366">
        <v>1</v>
      </c>
      <c r="G366" s="2">
        <v>10640</v>
      </c>
      <c r="H366" s="3">
        <v>0.05</v>
      </c>
      <c r="I366" t="s">
        <v>173</v>
      </c>
      <c r="J366" t="s">
        <v>47</v>
      </c>
      <c r="K366" t="s">
        <v>41</v>
      </c>
      <c r="L366" s="2">
        <v>10108</v>
      </c>
      <c r="M366" t="s">
        <v>42</v>
      </c>
    </row>
    <row r="367" spans="1:13" x14ac:dyDescent="0.3">
      <c r="A367" t="s">
        <v>641</v>
      </c>
      <c r="B367" s="1">
        <v>46034</v>
      </c>
      <c r="C367" t="s">
        <v>607</v>
      </c>
      <c r="D367" t="s">
        <v>45</v>
      </c>
      <c r="E367" t="s">
        <v>135</v>
      </c>
      <c r="F367">
        <v>2</v>
      </c>
      <c r="G367" s="2">
        <v>16800</v>
      </c>
      <c r="H367" s="3">
        <v>0.15</v>
      </c>
      <c r="I367" t="s">
        <v>17</v>
      </c>
      <c r="J367" t="s">
        <v>71</v>
      </c>
      <c r="K367" t="s">
        <v>67</v>
      </c>
      <c r="L367" s="2">
        <v>28560</v>
      </c>
      <c r="M367" t="s">
        <v>56</v>
      </c>
    </row>
    <row r="368" spans="1:13" x14ac:dyDescent="0.3">
      <c r="A368" t="s">
        <v>642</v>
      </c>
      <c r="B368" s="1">
        <v>46114</v>
      </c>
      <c r="D368" t="s">
        <v>29</v>
      </c>
      <c r="E368" t="s">
        <v>24</v>
      </c>
      <c r="F368">
        <v>1</v>
      </c>
      <c r="G368" s="2">
        <v>11200</v>
      </c>
      <c r="H368" s="3">
        <v>0.1</v>
      </c>
      <c r="I368" t="s">
        <v>17</v>
      </c>
      <c r="J368" t="s">
        <v>71</v>
      </c>
      <c r="K368" t="s">
        <v>19</v>
      </c>
      <c r="L368" s="2">
        <v>10080</v>
      </c>
      <c r="M368" t="s">
        <v>48</v>
      </c>
    </row>
    <row r="369" spans="1:13" x14ac:dyDescent="0.3">
      <c r="A369" t="s">
        <v>643</v>
      </c>
      <c r="B369" s="1">
        <v>46152</v>
      </c>
      <c r="C369" t="s">
        <v>243</v>
      </c>
      <c r="D369" t="s">
        <v>50</v>
      </c>
      <c r="E369" t="s">
        <v>63</v>
      </c>
      <c r="F369">
        <v>2</v>
      </c>
      <c r="G369" s="2">
        <v>2310</v>
      </c>
      <c r="H369" s="3">
        <v>0.2</v>
      </c>
      <c r="I369" t="s">
        <v>17</v>
      </c>
      <c r="J369" t="s">
        <v>31</v>
      </c>
      <c r="K369" t="s">
        <v>25</v>
      </c>
      <c r="L369" s="2">
        <v>3696</v>
      </c>
      <c r="M369" t="s">
        <v>20</v>
      </c>
    </row>
    <row r="370" spans="1:13" x14ac:dyDescent="0.3">
      <c r="A370" t="s">
        <v>644</v>
      </c>
      <c r="B370" s="1">
        <v>46192</v>
      </c>
      <c r="C370" t="s">
        <v>357</v>
      </c>
      <c r="D370" t="s">
        <v>15</v>
      </c>
      <c r="E370" t="s">
        <v>74</v>
      </c>
      <c r="F370">
        <v>4</v>
      </c>
      <c r="G370" s="2">
        <v>2520</v>
      </c>
      <c r="H370" s="3">
        <v>0</v>
      </c>
      <c r="I370" t="s">
        <v>17</v>
      </c>
      <c r="J370" t="s">
        <v>18</v>
      </c>
      <c r="K370" t="s">
        <v>19</v>
      </c>
      <c r="L370" s="2">
        <v>10080</v>
      </c>
      <c r="M370" t="s">
        <v>82</v>
      </c>
    </row>
    <row r="371" spans="1:13" x14ac:dyDescent="0.3">
      <c r="A371" t="s">
        <v>645</v>
      </c>
      <c r="B371" s="1">
        <v>46087</v>
      </c>
      <c r="C371" t="s">
        <v>142</v>
      </c>
      <c r="D371" t="s">
        <v>62</v>
      </c>
      <c r="E371" t="s">
        <v>85</v>
      </c>
      <c r="F371">
        <v>1</v>
      </c>
      <c r="G371" s="2">
        <v>46075</v>
      </c>
      <c r="H371" s="3">
        <v>0.2</v>
      </c>
      <c r="I371" t="s">
        <v>17</v>
      </c>
      <c r="J371" t="s">
        <v>18</v>
      </c>
      <c r="K371" t="s">
        <v>19</v>
      </c>
      <c r="L371" s="2">
        <v>36860</v>
      </c>
      <c r="M371" t="s">
        <v>82</v>
      </c>
    </row>
    <row r="372" spans="1:13" x14ac:dyDescent="0.3">
      <c r="A372" t="s">
        <v>646</v>
      </c>
      <c r="B372" s="1">
        <v>46092</v>
      </c>
      <c r="C372" t="s">
        <v>440</v>
      </c>
      <c r="D372" t="s">
        <v>40</v>
      </c>
      <c r="E372" t="s">
        <v>183</v>
      </c>
      <c r="F372">
        <v>3</v>
      </c>
      <c r="G372" s="2">
        <v>3040</v>
      </c>
      <c r="H372" s="3">
        <v>0.1</v>
      </c>
      <c r="I372" t="s">
        <v>66</v>
      </c>
      <c r="J372" t="s">
        <v>47</v>
      </c>
      <c r="K372" t="s">
        <v>19</v>
      </c>
      <c r="L372" s="2">
        <v>8208</v>
      </c>
      <c r="M372" t="s">
        <v>42</v>
      </c>
    </row>
    <row r="373" spans="1:13" x14ac:dyDescent="0.3">
      <c r="A373" t="s">
        <v>647</v>
      </c>
      <c r="B373" s="1">
        <v>46150</v>
      </c>
      <c r="C373" t="s">
        <v>528</v>
      </c>
      <c r="D373" t="s">
        <v>23</v>
      </c>
      <c r="E373" t="s">
        <v>183</v>
      </c>
      <c r="F373">
        <v>1</v>
      </c>
      <c r="G373" s="2">
        <v>3200</v>
      </c>
      <c r="H373" s="3">
        <v>0.05</v>
      </c>
      <c r="I373" t="s">
        <v>66</v>
      </c>
      <c r="J373" t="s">
        <v>18</v>
      </c>
      <c r="K373" t="s">
        <v>67</v>
      </c>
      <c r="L373" s="2">
        <v>3040</v>
      </c>
      <c r="M373" t="s">
        <v>59</v>
      </c>
    </row>
    <row r="374" spans="1:13" x14ac:dyDescent="0.3">
      <c r="A374" t="s">
        <v>648</v>
      </c>
      <c r="B374" s="1">
        <v>46033</v>
      </c>
      <c r="C374" t="s">
        <v>264</v>
      </c>
      <c r="D374" t="s">
        <v>152</v>
      </c>
      <c r="E374" t="s">
        <v>46</v>
      </c>
      <c r="F374">
        <v>5</v>
      </c>
      <c r="G374" s="2">
        <v>7800</v>
      </c>
      <c r="H374" s="3">
        <v>0.2</v>
      </c>
      <c r="I374" t="s">
        <v>80</v>
      </c>
      <c r="J374" t="s">
        <v>31</v>
      </c>
      <c r="K374" t="s">
        <v>19</v>
      </c>
      <c r="L374" s="2">
        <v>31200</v>
      </c>
      <c r="M374" t="s">
        <v>42</v>
      </c>
    </row>
    <row r="375" spans="1:13" x14ac:dyDescent="0.3">
      <c r="A375" t="s">
        <v>649</v>
      </c>
      <c r="B375" s="1">
        <v>46051</v>
      </c>
      <c r="C375" t="s">
        <v>194</v>
      </c>
      <c r="D375" t="s">
        <v>90</v>
      </c>
      <c r="E375" t="s">
        <v>183</v>
      </c>
      <c r="F375">
        <v>3</v>
      </c>
      <c r="G375" s="2">
        <v>3040</v>
      </c>
      <c r="H375" s="3">
        <v>0</v>
      </c>
      <c r="I375" t="s">
        <v>80</v>
      </c>
      <c r="J375" t="s">
        <v>47</v>
      </c>
      <c r="K375" t="s">
        <v>41</v>
      </c>
      <c r="L375" s="2">
        <v>9120</v>
      </c>
      <c r="M375" t="s">
        <v>56</v>
      </c>
    </row>
    <row r="376" spans="1:13" x14ac:dyDescent="0.3">
      <c r="A376" t="s">
        <v>650</v>
      </c>
      <c r="B376" s="1">
        <v>46098</v>
      </c>
      <c r="C376" t="s">
        <v>651</v>
      </c>
      <c r="D376" t="s">
        <v>45</v>
      </c>
      <c r="E376" t="s">
        <v>46</v>
      </c>
      <c r="F376">
        <v>1</v>
      </c>
      <c r="G376" s="2">
        <v>7800</v>
      </c>
      <c r="H376" s="3">
        <v>0</v>
      </c>
      <c r="I376" t="s">
        <v>66</v>
      </c>
      <c r="J376" t="s">
        <v>47</v>
      </c>
      <c r="K376" t="s">
        <v>55</v>
      </c>
      <c r="L376" s="2">
        <v>7800</v>
      </c>
      <c r="M376" t="s">
        <v>42</v>
      </c>
    </row>
    <row r="377" spans="1:13" x14ac:dyDescent="0.3">
      <c r="A377" t="s">
        <v>652</v>
      </c>
      <c r="B377" s="1">
        <v>46047</v>
      </c>
      <c r="C377" t="s">
        <v>215</v>
      </c>
      <c r="D377" t="s">
        <v>90</v>
      </c>
      <c r="E377" t="s">
        <v>16</v>
      </c>
      <c r="F377">
        <v>1</v>
      </c>
      <c r="G377" s="2">
        <v>650</v>
      </c>
      <c r="H377" s="3">
        <v>0</v>
      </c>
      <c r="I377" t="s">
        <v>17</v>
      </c>
      <c r="J377" t="s">
        <v>47</v>
      </c>
      <c r="K377" t="s">
        <v>55</v>
      </c>
      <c r="L377" s="2">
        <v>650</v>
      </c>
      <c r="M377" t="s">
        <v>48</v>
      </c>
    </row>
    <row r="378" spans="1:13" x14ac:dyDescent="0.3">
      <c r="A378" t="s">
        <v>653</v>
      </c>
      <c r="B378" s="1">
        <v>46091</v>
      </c>
      <c r="C378" t="s">
        <v>58</v>
      </c>
      <c r="D378" t="s">
        <v>77</v>
      </c>
      <c r="E378" t="s">
        <v>85</v>
      </c>
      <c r="F378">
        <v>1</v>
      </c>
      <c r="G378" s="2">
        <v>50925</v>
      </c>
      <c r="H378" s="3"/>
      <c r="I378" t="s">
        <v>17</v>
      </c>
      <c r="J378" t="s">
        <v>18</v>
      </c>
      <c r="K378" t="s">
        <v>67</v>
      </c>
      <c r="L378" s="2">
        <v>48378.75</v>
      </c>
      <c r="M378" t="s">
        <v>32</v>
      </c>
    </row>
    <row r="379" spans="1:13" x14ac:dyDescent="0.3">
      <c r="A379" t="s">
        <v>654</v>
      </c>
      <c r="B379" s="1">
        <v>46199</v>
      </c>
      <c r="C379" t="s">
        <v>655</v>
      </c>
      <c r="D379" t="s">
        <v>90</v>
      </c>
      <c r="E379" t="s">
        <v>46</v>
      </c>
      <c r="F379">
        <v>4</v>
      </c>
      <c r="G379" s="2">
        <v>7800</v>
      </c>
      <c r="H379" s="3">
        <v>0.2</v>
      </c>
      <c r="I379" t="s">
        <v>66</v>
      </c>
      <c r="J379" t="s">
        <v>71</v>
      </c>
      <c r="K379" t="s">
        <v>19</v>
      </c>
      <c r="L379" s="2">
        <v>24960</v>
      </c>
      <c r="M379" t="s">
        <v>59</v>
      </c>
    </row>
    <row r="380" spans="1:13" x14ac:dyDescent="0.3">
      <c r="A380" t="s">
        <v>656</v>
      </c>
      <c r="B380" s="1">
        <v>46049</v>
      </c>
      <c r="C380" t="s">
        <v>202</v>
      </c>
      <c r="D380" t="s">
        <v>70</v>
      </c>
      <c r="E380" t="s">
        <v>183</v>
      </c>
      <c r="F380">
        <v>2</v>
      </c>
      <c r="G380" s="2">
        <v>3200</v>
      </c>
      <c r="H380" s="3">
        <v>0.15</v>
      </c>
      <c r="I380" t="s">
        <v>17</v>
      </c>
      <c r="J380" t="s">
        <v>47</v>
      </c>
      <c r="K380" t="s">
        <v>25</v>
      </c>
      <c r="L380" s="2">
        <v>5440</v>
      </c>
      <c r="M380" t="s">
        <v>20</v>
      </c>
    </row>
    <row r="381" spans="1:13" x14ac:dyDescent="0.3">
      <c r="A381" t="s">
        <v>657</v>
      </c>
      <c r="B381" s="1">
        <v>46198</v>
      </c>
      <c r="C381" t="s">
        <v>655</v>
      </c>
      <c r="D381" t="s">
        <v>77</v>
      </c>
      <c r="E381" t="s">
        <v>85</v>
      </c>
      <c r="F381">
        <v>10</v>
      </c>
      <c r="G381" s="2">
        <v>50925</v>
      </c>
      <c r="H381" s="3">
        <v>0</v>
      </c>
      <c r="I381" t="s">
        <v>17</v>
      </c>
      <c r="J381" t="s">
        <v>18</v>
      </c>
      <c r="K381" t="s">
        <v>55</v>
      </c>
      <c r="L381" s="2">
        <v>509250</v>
      </c>
      <c r="M381" t="s">
        <v>20</v>
      </c>
    </row>
    <row r="382" spans="1:13" x14ac:dyDescent="0.3">
      <c r="A382" t="s">
        <v>658</v>
      </c>
      <c r="B382" s="1">
        <v>46039</v>
      </c>
      <c r="C382" t="s">
        <v>659</v>
      </c>
      <c r="D382" t="s">
        <v>45</v>
      </c>
      <c r="E382" t="s">
        <v>74</v>
      </c>
      <c r="F382">
        <v>2</v>
      </c>
      <c r="G382" s="2">
        <v>2400</v>
      </c>
      <c r="H382" s="3">
        <v>0.2</v>
      </c>
      <c r="I382" t="s">
        <v>66</v>
      </c>
      <c r="J382" t="s">
        <v>31</v>
      </c>
      <c r="K382" t="s">
        <v>55</v>
      </c>
      <c r="L382" s="2">
        <v>3840</v>
      </c>
      <c r="M382" t="s">
        <v>52</v>
      </c>
    </row>
    <row r="383" spans="1:13" x14ac:dyDescent="0.3">
      <c r="A383" t="s">
        <v>660</v>
      </c>
      <c r="B383" s="1">
        <v>46146</v>
      </c>
      <c r="C383" t="s">
        <v>186</v>
      </c>
      <c r="D383" t="s">
        <v>35</v>
      </c>
      <c r="E383" t="s">
        <v>74</v>
      </c>
      <c r="F383">
        <v>3</v>
      </c>
      <c r="G383" s="2">
        <v>2280</v>
      </c>
      <c r="H383" s="3">
        <v>0.1</v>
      </c>
      <c r="I383" t="s">
        <v>17</v>
      </c>
      <c r="J383" t="s">
        <v>71</v>
      </c>
      <c r="K383" t="s">
        <v>25</v>
      </c>
      <c r="L383" s="2">
        <v>6156</v>
      </c>
      <c r="M383" t="s">
        <v>56</v>
      </c>
    </row>
    <row r="384" spans="1:13" x14ac:dyDescent="0.3">
      <c r="A384" t="s">
        <v>661</v>
      </c>
      <c r="B384" s="1">
        <v>46149</v>
      </c>
      <c r="C384" t="s">
        <v>170</v>
      </c>
      <c r="D384" t="s">
        <v>90</v>
      </c>
      <c r="E384" t="s">
        <v>30</v>
      </c>
      <c r="F384">
        <v>1</v>
      </c>
      <c r="G384" s="2">
        <v>1800</v>
      </c>
      <c r="H384" s="3">
        <v>0.1</v>
      </c>
      <c r="I384" t="s">
        <v>17</v>
      </c>
      <c r="J384" t="s">
        <v>31</v>
      </c>
      <c r="K384" t="s">
        <v>25</v>
      </c>
      <c r="L384" s="2">
        <v>1620</v>
      </c>
      <c r="M384" t="s">
        <v>52</v>
      </c>
    </row>
    <row r="385" spans="1:13" x14ac:dyDescent="0.3">
      <c r="A385" t="s">
        <v>662</v>
      </c>
      <c r="B385" s="1">
        <v>46163</v>
      </c>
      <c r="C385" t="s">
        <v>188</v>
      </c>
      <c r="D385" t="s">
        <v>95</v>
      </c>
      <c r="E385" t="s">
        <v>161</v>
      </c>
      <c r="F385">
        <v>2</v>
      </c>
      <c r="G385" s="2">
        <v>2730</v>
      </c>
      <c r="H385" s="3">
        <v>0</v>
      </c>
      <c r="I385" t="s">
        <v>17</v>
      </c>
      <c r="J385" t="s">
        <v>31</v>
      </c>
      <c r="K385" t="s">
        <v>55</v>
      </c>
      <c r="L385" s="2">
        <v>5460</v>
      </c>
      <c r="M385" t="s">
        <v>56</v>
      </c>
    </row>
    <row r="386" spans="1:13" x14ac:dyDescent="0.3">
      <c r="A386" t="s">
        <v>663</v>
      </c>
      <c r="B386" s="1">
        <v>46103</v>
      </c>
      <c r="C386" t="s">
        <v>499</v>
      </c>
      <c r="D386" t="s">
        <v>15</v>
      </c>
      <c r="E386" t="s">
        <v>46</v>
      </c>
      <c r="F386">
        <v>4</v>
      </c>
      <c r="G386" s="2">
        <v>8190</v>
      </c>
      <c r="H386" s="3">
        <v>0</v>
      </c>
      <c r="I386" t="s">
        <v>17</v>
      </c>
      <c r="J386" t="s">
        <v>31</v>
      </c>
      <c r="K386" t="s">
        <v>19</v>
      </c>
      <c r="L386" s="2">
        <v>32760</v>
      </c>
      <c r="M386" t="s">
        <v>48</v>
      </c>
    </row>
    <row r="387" spans="1:13" x14ac:dyDescent="0.3">
      <c r="A387" t="s">
        <v>664</v>
      </c>
      <c r="B387" s="1">
        <v>46181</v>
      </c>
      <c r="C387" t="s">
        <v>227</v>
      </c>
      <c r="D387" t="s">
        <v>95</v>
      </c>
      <c r="E387" t="s">
        <v>135</v>
      </c>
      <c r="F387">
        <v>5</v>
      </c>
      <c r="G387" s="2">
        <v>17640</v>
      </c>
      <c r="H387" s="3">
        <v>0.15</v>
      </c>
      <c r="I387" t="s">
        <v>17</v>
      </c>
      <c r="J387" t="s">
        <v>47</v>
      </c>
      <c r="K387" t="s">
        <v>19</v>
      </c>
      <c r="L387" s="2">
        <v>74970</v>
      </c>
      <c r="M387" t="s">
        <v>52</v>
      </c>
    </row>
    <row r="388" spans="1:13" x14ac:dyDescent="0.3">
      <c r="A388" t="s">
        <v>665</v>
      </c>
      <c r="B388" s="1">
        <v>46139</v>
      </c>
      <c r="C388" t="s">
        <v>84</v>
      </c>
      <c r="D388" t="s">
        <v>35</v>
      </c>
      <c r="E388" t="s">
        <v>51</v>
      </c>
      <c r="F388">
        <v>4</v>
      </c>
      <c r="G388" s="2">
        <v>18500</v>
      </c>
      <c r="H388" s="3">
        <v>0.15</v>
      </c>
      <c r="I388" t="s">
        <v>17</v>
      </c>
      <c r="J388" t="s">
        <v>31</v>
      </c>
      <c r="K388" t="s">
        <v>19</v>
      </c>
      <c r="L388" s="2">
        <v>62900</v>
      </c>
      <c r="M388" t="s">
        <v>52</v>
      </c>
    </row>
    <row r="389" spans="1:13" x14ac:dyDescent="0.3">
      <c r="A389" t="s">
        <v>666</v>
      </c>
      <c r="B389" s="1">
        <v>46023</v>
      </c>
      <c r="C389" t="s">
        <v>150</v>
      </c>
      <c r="D389" t="s">
        <v>35</v>
      </c>
      <c r="E389" t="s">
        <v>36</v>
      </c>
      <c r="F389">
        <v>4</v>
      </c>
      <c r="G389" s="2">
        <v>1400</v>
      </c>
      <c r="H389" s="3">
        <v>0.05</v>
      </c>
      <c r="I389" t="s">
        <v>17</v>
      </c>
      <c r="J389" t="s">
        <v>31</v>
      </c>
      <c r="K389" t="s">
        <v>41</v>
      </c>
      <c r="L389" s="2">
        <v>5320</v>
      </c>
      <c r="M389" t="s">
        <v>56</v>
      </c>
    </row>
    <row r="390" spans="1:13" x14ac:dyDescent="0.3">
      <c r="A390" t="s">
        <v>667</v>
      </c>
      <c r="B390" s="1">
        <v>46058</v>
      </c>
      <c r="C390" t="s">
        <v>628</v>
      </c>
      <c r="D390" t="s">
        <v>90</v>
      </c>
      <c r="E390" t="s">
        <v>85</v>
      </c>
      <c r="F390">
        <v>4</v>
      </c>
      <c r="G390" s="2">
        <v>48500</v>
      </c>
      <c r="H390" s="3">
        <v>0.1</v>
      </c>
      <c r="I390" t="s">
        <v>17</v>
      </c>
      <c r="J390" t="s">
        <v>31</v>
      </c>
      <c r="K390" t="s">
        <v>55</v>
      </c>
      <c r="L390" s="2">
        <v>174600</v>
      </c>
      <c r="M390" t="s">
        <v>52</v>
      </c>
    </row>
    <row r="391" spans="1:13" x14ac:dyDescent="0.3">
      <c r="A391" t="s">
        <v>668</v>
      </c>
      <c r="B391" s="1">
        <v>46140</v>
      </c>
      <c r="C391" t="s">
        <v>669</v>
      </c>
      <c r="D391" t="s">
        <v>90</v>
      </c>
      <c r="E391" t="s">
        <v>24</v>
      </c>
      <c r="F391">
        <v>3</v>
      </c>
      <c r="G391" s="2">
        <v>10640</v>
      </c>
      <c r="H391" s="3">
        <v>0</v>
      </c>
      <c r="I391" t="s">
        <v>17</v>
      </c>
      <c r="J391" t="s">
        <v>18</v>
      </c>
      <c r="K391" t="s">
        <v>55</v>
      </c>
      <c r="L391" s="2">
        <v>31920</v>
      </c>
      <c r="M391" t="s">
        <v>48</v>
      </c>
    </row>
    <row r="392" spans="1:13" x14ac:dyDescent="0.3">
      <c r="A392" t="s">
        <v>670</v>
      </c>
      <c r="B392" s="1">
        <v>46152</v>
      </c>
      <c r="C392" t="s">
        <v>407</v>
      </c>
      <c r="D392" t="s">
        <v>50</v>
      </c>
      <c r="E392" t="s">
        <v>46</v>
      </c>
      <c r="F392">
        <v>1</v>
      </c>
      <c r="G392" s="2">
        <v>8190</v>
      </c>
      <c r="H392" s="3">
        <v>0.2</v>
      </c>
      <c r="I392" t="s">
        <v>17</v>
      </c>
      <c r="J392" t="s">
        <v>71</v>
      </c>
      <c r="K392" t="s">
        <v>25</v>
      </c>
      <c r="L392" s="2">
        <v>6552</v>
      </c>
      <c r="M392" t="s">
        <v>59</v>
      </c>
    </row>
    <row r="393" spans="1:13" x14ac:dyDescent="0.3">
      <c r="A393" t="s">
        <v>671</v>
      </c>
      <c r="B393" s="1">
        <v>46055</v>
      </c>
      <c r="C393" t="s">
        <v>163</v>
      </c>
      <c r="D393" t="s">
        <v>15</v>
      </c>
      <c r="E393" t="s">
        <v>161</v>
      </c>
      <c r="F393">
        <v>3</v>
      </c>
      <c r="G393" s="2">
        <v>2730</v>
      </c>
      <c r="H393" s="3">
        <v>0.15</v>
      </c>
      <c r="I393" t="s">
        <v>66</v>
      </c>
      <c r="J393" t="s">
        <v>71</v>
      </c>
      <c r="K393" t="s">
        <v>67</v>
      </c>
      <c r="L393" s="2">
        <v>6961.5</v>
      </c>
      <c r="M393" t="s">
        <v>32</v>
      </c>
    </row>
    <row r="394" spans="1:13" x14ac:dyDescent="0.3">
      <c r="A394" t="s">
        <v>672</v>
      </c>
      <c r="B394" t="s">
        <v>673</v>
      </c>
      <c r="C394" t="s">
        <v>281</v>
      </c>
      <c r="D394" t="s">
        <v>45</v>
      </c>
      <c r="E394" t="s">
        <v>46</v>
      </c>
      <c r="F394">
        <v>4</v>
      </c>
      <c r="G394" s="2">
        <v>7800</v>
      </c>
      <c r="H394" s="3">
        <v>0</v>
      </c>
      <c r="I394" t="s">
        <v>17</v>
      </c>
      <c r="J394" t="s">
        <v>71</v>
      </c>
      <c r="K394" t="s">
        <v>41</v>
      </c>
      <c r="L394" s="2">
        <v>31200</v>
      </c>
      <c r="M394" t="s">
        <v>52</v>
      </c>
    </row>
    <row r="395" spans="1:13" x14ac:dyDescent="0.3">
      <c r="A395" t="s">
        <v>674</v>
      </c>
      <c r="B395" s="1">
        <v>46182</v>
      </c>
      <c r="C395" t="s">
        <v>376</v>
      </c>
      <c r="D395" t="s">
        <v>123</v>
      </c>
      <c r="E395" t="s">
        <v>135</v>
      </c>
      <c r="F395">
        <v>3</v>
      </c>
      <c r="G395" s="2">
        <v>16800</v>
      </c>
      <c r="H395" s="3">
        <v>0.2</v>
      </c>
      <c r="I395" t="s">
        <v>17</v>
      </c>
      <c r="J395" t="s">
        <v>47</v>
      </c>
      <c r="K395" t="s">
        <v>19</v>
      </c>
      <c r="L395" s="2">
        <v>40320</v>
      </c>
      <c r="M395" t="s">
        <v>138</v>
      </c>
    </row>
    <row r="396" spans="1:13" x14ac:dyDescent="0.3">
      <c r="A396" t="s">
        <v>675</v>
      </c>
      <c r="B396" s="1">
        <v>46166</v>
      </c>
      <c r="C396" t="s">
        <v>61</v>
      </c>
      <c r="D396" t="s">
        <v>62</v>
      </c>
      <c r="E396" t="s">
        <v>183</v>
      </c>
      <c r="F396">
        <v>3</v>
      </c>
      <c r="G396" s="2">
        <v>3200</v>
      </c>
      <c r="H396" s="3">
        <v>0.2</v>
      </c>
      <c r="I396" t="s">
        <v>17</v>
      </c>
      <c r="J396" t="s">
        <v>31</v>
      </c>
      <c r="K396" t="s">
        <v>25</v>
      </c>
      <c r="L396" s="2">
        <v>7680</v>
      </c>
      <c r="M396" t="s">
        <v>42</v>
      </c>
    </row>
    <row r="397" spans="1:13" x14ac:dyDescent="0.3">
      <c r="A397" t="s">
        <v>676</v>
      </c>
      <c r="B397" s="1">
        <v>46029</v>
      </c>
      <c r="C397" t="s">
        <v>248</v>
      </c>
      <c r="D397" t="s">
        <v>70</v>
      </c>
      <c r="E397" t="s">
        <v>30</v>
      </c>
      <c r="F397">
        <v>1</v>
      </c>
      <c r="G397" s="2">
        <v>1800</v>
      </c>
      <c r="H397" s="3">
        <v>0</v>
      </c>
      <c r="I397" t="s">
        <v>17</v>
      </c>
      <c r="J397" t="s">
        <v>47</v>
      </c>
      <c r="K397" t="s">
        <v>41</v>
      </c>
      <c r="L397" s="2">
        <v>1800</v>
      </c>
      <c r="M397" t="s">
        <v>20</v>
      </c>
    </row>
    <row r="398" spans="1:13" x14ac:dyDescent="0.3">
      <c r="A398" t="s">
        <v>677</v>
      </c>
      <c r="B398" s="1">
        <v>46199</v>
      </c>
      <c r="C398" t="s">
        <v>177</v>
      </c>
      <c r="D398" t="s">
        <v>29</v>
      </c>
      <c r="E398" t="s">
        <v>135</v>
      </c>
      <c r="F398">
        <v>1</v>
      </c>
      <c r="G398" s="2">
        <v>17640</v>
      </c>
      <c r="H398" s="3">
        <v>0.15</v>
      </c>
      <c r="I398" t="s">
        <v>17</v>
      </c>
      <c r="J398" t="s">
        <v>71</v>
      </c>
      <c r="K398" t="s">
        <v>25</v>
      </c>
      <c r="L398" s="2">
        <v>14994</v>
      </c>
      <c r="M398" t="s">
        <v>32</v>
      </c>
    </row>
    <row r="399" spans="1:13" x14ac:dyDescent="0.3">
      <c r="A399" t="s">
        <v>678</v>
      </c>
      <c r="B399" s="1">
        <v>46083</v>
      </c>
      <c r="C399" t="s">
        <v>319</v>
      </c>
      <c r="D399" t="s">
        <v>152</v>
      </c>
      <c r="E399" t="s">
        <v>85</v>
      </c>
      <c r="F399">
        <v>1</v>
      </c>
      <c r="G399" s="2">
        <v>50925</v>
      </c>
      <c r="H399" s="3">
        <v>0.2</v>
      </c>
      <c r="I399" t="s">
        <v>17</v>
      </c>
      <c r="J399" t="s">
        <v>18</v>
      </c>
      <c r="K399" t="s">
        <v>67</v>
      </c>
      <c r="L399" s="2">
        <v>40740</v>
      </c>
      <c r="M399" t="s">
        <v>82</v>
      </c>
    </row>
    <row r="400" spans="1:13" x14ac:dyDescent="0.3">
      <c r="A400" t="s">
        <v>679</v>
      </c>
      <c r="B400" s="1">
        <v>46036</v>
      </c>
      <c r="C400" t="s">
        <v>594</v>
      </c>
      <c r="D400" t="s">
        <v>168</v>
      </c>
      <c r="E400" t="s">
        <v>85</v>
      </c>
      <c r="F400">
        <v>1</v>
      </c>
      <c r="G400" s="2">
        <v>50925</v>
      </c>
      <c r="H400" s="3">
        <v>0.15</v>
      </c>
      <c r="I400" t="s">
        <v>66</v>
      </c>
      <c r="J400" t="s">
        <v>47</v>
      </c>
      <c r="K400" t="s">
        <v>25</v>
      </c>
      <c r="L400" s="2">
        <v>43286.25</v>
      </c>
      <c r="M400" t="s">
        <v>82</v>
      </c>
    </row>
    <row r="401" spans="1:13" x14ac:dyDescent="0.3">
      <c r="A401" t="s">
        <v>680</v>
      </c>
      <c r="B401" s="1">
        <v>46177</v>
      </c>
      <c r="C401" t="s">
        <v>484</v>
      </c>
      <c r="D401" t="s">
        <v>23</v>
      </c>
      <c r="E401" t="s">
        <v>85</v>
      </c>
      <c r="F401">
        <v>8</v>
      </c>
      <c r="G401" s="2">
        <v>46075</v>
      </c>
      <c r="H401" s="3">
        <v>0.05</v>
      </c>
      <c r="I401" t="s">
        <v>17</v>
      </c>
      <c r="J401" t="s">
        <v>71</v>
      </c>
      <c r="K401" t="s">
        <v>25</v>
      </c>
      <c r="L401" s="2">
        <v>350170</v>
      </c>
      <c r="M401" t="s">
        <v>42</v>
      </c>
    </row>
    <row r="402" spans="1:13" x14ac:dyDescent="0.3">
      <c r="A402" t="s">
        <v>681</v>
      </c>
      <c r="B402" s="1">
        <v>46119</v>
      </c>
      <c r="C402" t="s">
        <v>682</v>
      </c>
      <c r="D402" t="s">
        <v>168</v>
      </c>
      <c r="E402" t="s">
        <v>161</v>
      </c>
      <c r="F402">
        <v>1</v>
      </c>
      <c r="G402" s="2">
        <v>2600</v>
      </c>
      <c r="H402" s="3">
        <v>0.05</v>
      </c>
      <c r="I402" t="s">
        <v>17</v>
      </c>
      <c r="J402" t="s">
        <v>47</v>
      </c>
      <c r="K402" t="s">
        <v>55</v>
      </c>
      <c r="L402" s="2">
        <v>2470</v>
      </c>
      <c r="M402" t="s">
        <v>59</v>
      </c>
    </row>
    <row r="403" spans="1:13" x14ac:dyDescent="0.3">
      <c r="A403" t="s">
        <v>683</v>
      </c>
      <c r="B403" s="1">
        <v>46033</v>
      </c>
      <c r="C403" t="s">
        <v>684</v>
      </c>
      <c r="D403" t="s">
        <v>50</v>
      </c>
      <c r="E403" t="s">
        <v>36</v>
      </c>
      <c r="F403">
        <v>3</v>
      </c>
      <c r="G403" s="2">
        <v>1400</v>
      </c>
      <c r="H403" s="3">
        <v>0.2</v>
      </c>
      <c r="I403" t="s">
        <v>17</v>
      </c>
      <c r="J403" t="s">
        <v>47</v>
      </c>
      <c r="K403" t="s">
        <v>19</v>
      </c>
      <c r="L403" s="2">
        <v>3360</v>
      </c>
      <c r="M403" t="s">
        <v>138</v>
      </c>
    </row>
    <row r="404" spans="1:13" x14ac:dyDescent="0.3">
      <c r="A404" t="s">
        <v>685</v>
      </c>
      <c r="B404" s="1">
        <v>46157</v>
      </c>
      <c r="C404" t="s">
        <v>146</v>
      </c>
      <c r="D404" t="s">
        <v>23</v>
      </c>
      <c r="E404" t="s">
        <v>30</v>
      </c>
      <c r="F404">
        <v>2</v>
      </c>
      <c r="G404" s="2">
        <v>1890</v>
      </c>
      <c r="H404" s="3">
        <v>0.15</v>
      </c>
      <c r="I404" t="s">
        <v>17</v>
      </c>
      <c r="J404" t="s">
        <v>47</v>
      </c>
      <c r="K404" t="s">
        <v>41</v>
      </c>
      <c r="L404" s="2">
        <v>3213</v>
      </c>
      <c r="M404" t="s">
        <v>52</v>
      </c>
    </row>
    <row r="405" spans="1:13" x14ac:dyDescent="0.3">
      <c r="A405" t="s">
        <v>686</v>
      </c>
      <c r="B405" s="1">
        <v>46192</v>
      </c>
      <c r="C405" t="s">
        <v>111</v>
      </c>
      <c r="D405" t="s">
        <v>35</v>
      </c>
      <c r="E405" t="s">
        <v>36</v>
      </c>
      <c r="F405">
        <v>2</v>
      </c>
      <c r="G405" s="2">
        <v>1470</v>
      </c>
      <c r="H405" s="3">
        <v>0</v>
      </c>
      <c r="I405" t="s">
        <v>80</v>
      </c>
      <c r="J405" t="s">
        <v>31</v>
      </c>
      <c r="K405" t="s">
        <v>67</v>
      </c>
      <c r="L405" s="2">
        <v>2940</v>
      </c>
      <c r="M405" t="s">
        <v>56</v>
      </c>
    </row>
    <row r="406" spans="1:13" x14ac:dyDescent="0.3">
      <c r="A406" t="s">
        <v>687</v>
      </c>
      <c r="B406" s="1">
        <v>46084</v>
      </c>
      <c r="C406" t="s">
        <v>315</v>
      </c>
      <c r="D406" t="s">
        <v>77</v>
      </c>
      <c r="E406" t="s">
        <v>74</v>
      </c>
      <c r="F406">
        <v>3</v>
      </c>
      <c r="G406" s="2">
        <v>2280</v>
      </c>
      <c r="H406" s="3">
        <v>0.15</v>
      </c>
      <c r="I406" t="s">
        <v>17</v>
      </c>
      <c r="J406" t="s">
        <v>18</v>
      </c>
      <c r="K406" t="s">
        <v>495</v>
      </c>
      <c r="L406" s="2">
        <v>5814</v>
      </c>
      <c r="M406" t="s">
        <v>32</v>
      </c>
    </row>
    <row r="407" spans="1:13" x14ac:dyDescent="0.3">
      <c r="A407" t="s">
        <v>688</v>
      </c>
      <c r="B407" s="1">
        <v>46088</v>
      </c>
      <c r="C407" t="s">
        <v>154</v>
      </c>
      <c r="D407" t="s">
        <v>152</v>
      </c>
      <c r="E407" t="s">
        <v>85</v>
      </c>
      <c r="F407">
        <v>1</v>
      </c>
      <c r="G407" s="2">
        <v>48500</v>
      </c>
      <c r="H407" s="3">
        <v>0.15</v>
      </c>
      <c r="I407" t="s">
        <v>17</v>
      </c>
      <c r="J407" t="s">
        <v>18</v>
      </c>
      <c r="K407" t="s">
        <v>19</v>
      </c>
      <c r="L407" s="2">
        <v>41225</v>
      </c>
      <c r="M407" t="s">
        <v>26</v>
      </c>
    </row>
    <row r="408" spans="1:13" x14ac:dyDescent="0.3">
      <c r="A408" t="s">
        <v>689</v>
      </c>
      <c r="B408" s="1">
        <v>46189</v>
      </c>
      <c r="C408" t="s">
        <v>690</v>
      </c>
      <c r="D408" t="s">
        <v>23</v>
      </c>
      <c r="E408" t="s">
        <v>36</v>
      </c>
      <c r="F408">
        <v>2</v>
      </c>
      <c r="G408" s="2">
        <v>1330</v>
      </c>
      <c r="H408" s="3">
        <v>0</v>
      </c>
      <c r="I408" t="s">
        <v>17</v>
      </c>
      <c r="J408" t="s">
        <v>71</v>
      </c>
      <c r="K408" t="s">
        <v>41</v>
      </c>
      <c r="L408" s="2">
        <v>2660</v>
      </c>
      <c r="M408" t="s">
        <v>32</v>
      </c>
    </row>
    <row r="409" spans="1:13" x14ac:dyDescent="0.3">
      <c r="A409" t="s">
        <v>691</v>
      </c>
      <c r="B409" s="1">
        <v>46049</v>
      </c>
      <c r="C409" t="s">
        <v>181</v>
      </c>
      <c r="D409" t="s">
        <v>23</v>
      </c>
      <c r="E409" t="s">
        <v>51</v>
      </c>
      <c r="F409">
        <v>4</v>
      </c>
      <c r="G409" s="2">
        <v>17575</v>
      </c>
      <c r="H409" s="3">
        <v>0.2</v>
      </c>
      <c r="I409" t="s">
        <v>17</v>
      </c>
      <c r="J409" t="s">
        <v>31</v>
      </c>
      <c r="K409" t="s">
        <v>55</v>
      </c>
      <c r="L409" s="2">
        <v>56240</v>
      </c>
      <c r="M409" t="s">
        <v>138</v>
      </c>
    </row>
    <row r="410" spans="1:13" x14ac:dyDescent="0.3">
      <c r="A410" t="s">
        <v>692</v>
      </c>
      <c r="B410" s="1">
        <v>46032</v>
      </c>
      <c r="C410" t="s">
        <v>693</v>
      </c>
      <c r="D410" t="s">
        <v>15</v>
      </c>
      <c r="E410" t="s">
        <v>63</v>
      </c>
      <c r="F410">
        <v>1</v>
      </c>
      <c r="G410" s="2">
        <v>2200</v>
      </c>
      <c r="H410" s="3">
        <v>0.05</v>
      </c>
      <c r="I410" t="s">
        <v>17</v>
      </c>
      <c r="J410" t="s">
        <v>18</v>
      </c>
      <c r="K410" t="s">
        <v>55</v>
      </c>
      <c r="L410" s="2">
        <v>2090</v>
      </c>
      <c r="M410" t="s">
        <v>56</v>
      </c>
    </row>
    <row r="411" spans="1:13" x14ac:dyDescent="0.3">
      <c r="A411" t="s">
        <v>694</v>
      </c>
      <c r="B411" s="1">
        <v>46184</v>
      </c>
      <c r="C411" t="s">
        <v>260</v>
      </c>
      <c r="D411" t="s">
        <v>70</v>
      </c>
      <c r="E411" t="s">
        <v>161</v>
      </c>
      <c r="F411">
        <v>2</v>
      </c>
      <c r="G411" s="2">
        <v>2470</v>
      </c>
      <c r="H411" s="3">
        <v>0.1</v>
      </c>
      <c r="I411" t="s">
        <v>17</v>
      </c>
      <c r="J411" t="s">
        <v>31</v>
      </c>
      <c r="K411" t="s">
        <v>19</v>
      </c>
      <c r="L411" s="2">
        <v>4446</v>
      </c>
      <c r="M411" t="s">
        <v>138</v>
      </c>
    </row>
    <row r="412" spans="1:13" x14ac:dyDescent="0.3">
      <c r="A412" t="s">
        <v>695</v>
      </c>
      <c r="B412" s="1">
        <v>46151</v>
      </c>
      <c r="C412" t="s">
        <v>696</v>
      </c>
      <c r="D412" t="s">
        <v>15</v>
      </c>
      <c r="E412" t="s">
        <v>135</v>
      </c>
      <c r="F412">
        <v>4</v>
      </c>
      <c r="G412" s="2">
        <v>16800</v>
      </c>
      <c r="H412" s="3">
        <v>0.05</v>
      </c>
      <c r="I412" t="s">
        <v>17</v>
      </c>
      <c r="J412" t="s">
        <v>18</v>
      </c>
      <c r="K412" t="s">
        <v>55</v>
      </c>
      <c r="L412" s="2">
        <v>63840</v>
      </c>
      <c r="M412" t="s">
        <v>20</v>
      </c>
    </row>
    <row r="413" spans="1:13" x14ac:dyDescent="0.3">
      <c r="A413" t="s">
        <v>697</v>
      </c>
      <c r="B413" s="1">
        <v>46144</v>
      </c>
      <c r="C413" t="s">
        <v>475</v>
      </c>
      <c r="D413" t="s">
        <v>50</v>
      </c>
      <c r="E413" t="s">
        <v>51</v>
      </c>
      <c r="F413">
        <v>1</v>
      </c>
      <c r="G413" s="2">
        <v>18500</v>
      </c>
      <c r="H413" s="3">
        <v>0.2</v>
      </c>
      <c r="I413" t="s">
        <v>17</v>
      </c>
      <c r="J413" t="s">
        <v>47</v>
      </c>
      <c r="K413" t="s">
        <v>67</v>
      </c>
      <c r="L413" s="2">
        <v>14800</v>
      </c>
      <c r="M413" t="s">
        <v>20</v>
      </c>
    </row>
    <row r="414" spans="1:13" x14ac:dyDescent="0.3">
      <c r="A414" t="s">
        <v>698</v>
      </c>
      <c r="B414" s="1">
        <v>46164</v>
      </c>
      <c r="C414" t="s">
        <v>480</v>
      </c>
      <c r="D414" t="s">
        <v>90</v>
      </c>
      <c r="E414" t="s">
        <v>51</v>
      </c>
      <c r="F414">
        <v>1</v>
      </c>
      <c r="G414" s="2">
        <v>19425</v>
      </c>
      <c r="H414" s="3">
        <v>0</v>
      </c>
      <c r="I414" t="s">
        <v>17</v>
      </c>
      <c r="J414" t="s">
        <v>47</v>
      </c>
      <c r="K414" t="s">
        <v>41</v>
      </c>
      <c r="L414" s="2">
        <v>19425</v>
      </c>
      <c r="M414" t="s">
        <v>138</v>
      </c>
    </row>
    <row r="415" spans="1:13" x14ac:dyDescent="0.3">
      <c r="A415" t="s">
        <v>699</v>
      </c>
      <c r="B415" s="1">
        <v>46077</v>
      </c>
      <c r="C415" t="s">
        <v>700</v>
      </c>
      <c r="D415" t="s">
        <v>70</v>
      </c>
      <c r="E415" t="s">
        <v>74</v>
      </c>
      <c r="F415">
        <v>5</v>
      </c>
      <c r="G415" s="2">
        <v>2400</v>
      </c>
      <c r="H415" s="3">
        <v>0</v>
      </c>
      <c r="I415" t="s">
        <v>17</v>
      </c>
      <c r="J415" t="s">
        <v>71</v>
      </c>
      <c r="K415" t="s">
        <v>19</v>
      </c>
      <c r="L415" s="2">
        <v>12000</v>
      </c>
      <c r="M415" t="s">
        <v>59</v>
      </c>
    </row>
    <row r="416" spans="1:13" x14ac:dyDescent="0.3">
      <c r="A416" t="s">
        <v>701</v>
      </c>
      <c r="B416" s="1">
        <v>46194</v>
      </c>
      <c r="C416" t="s">
        <v>39</v>
      </c>
      <c r="D416" t="s">
        <v>29</v>
      </c>
      <c r="E416" t="s">
        <v>183</v>
      </c>
      <c r="F416">
        <v>5</v>
      </c>
      <c r="G416" s="2">
        <v>3040</v>
      </c>
      <c r="H416" s="3">
        <v>0.15</v>
      </c>
      <c r="I416" t="s">
        <v>17</v>
      </c>
      <c r="J416" t="s">
        <v>31</v>
      </c>
      <c r="K416" t="s">
        <v>67</v>
      </c>
      <c r="L416" s="2">
        <v>12920</v>
      </c>
      <c r="M416" t="s">
        <v>42</v>
      </c>
    </row>
    <row r="417" spans="1:13" x14ac:dyDescent="0.3">
      <c r="A417" t="s">
        <v>702</v>
      </c>
      <c r="B417" s="1">
        <v>46073</v>
      </c>
      <c r="C417" t="s">
        <v>194</v>
      </c>
      <c r="D417" t="s">
        <v>123</v>
      </c>
      <c r="E417" t="s">
        <v>183</v>
      </c>
      <c r="F417">
        <v>2</v>
      </c>
      <c r="G417" s="2">
        <v>3200</v>
      </c>
      <c r="H417" s="3">
        <v>0.05</v>
      </c>
      <c r="I417" t="s">
        <v>17</v>
      </c>
      <c r="J417" t="s">
        <v>47</v>
      </c>
      <c r="K417" t="s">
        <v>25</v>
      </c>
      <c r="L417" s="2">
        <v>6080</v>
      </c>
      <c r="M417" t="s">
        <v>42</v>
      </c>
    </row>
    <row r="418" spans="1:13" x14ac:dyDescent="0.3">
      <c r="A418" t="s">
        <v>703</v>
      </c>
      <c r="B418" s="1">
        <v>46072</v>
      </c>
      <c r="C418" t="s">
        <v>137</v>
      </c>
      <c r="D418" t="s">
        <v>35</v>
      </c>
      <c r="E418" t="s">
        <v>46</v>
      </c>
      <c r="F418">
        <v>2</v>
      </c>
      <c r="G418" s="2">
        <v>7800</v>
      </c>
      <c r="H418" s="3">
        <v>0.15</v>
      </c>
      <c r="I418" t="s">
        <v>17</v>
      </c>
      <c r="J418" t="s">
        <v>47</v>
      </c>
      <c r="K418" t="s">
        <v>55</v>
      </c>
      <c r="L418" s="2">
        <v>13260</v>
      </c>
      <c r="M418" t="s">
        <v>59</v>
      </c>
    </row>
    <row r="419" spans="1:13" x14ac:dyDescent="0.3">
      <c r="A419" t="s">
        <v>704</v>
      </c>
      <c r="B419" s="1">
        <v>46024</v>
      </c>
      <c r="C419" t="s">
        <v>705</v>
      </c>
      <c r="D419" t="s">
        <v>35</v>
      </c>
      <c r="E419" t="s">
        <v>24</v>
      </c>
      <c r="F419">
        <v>4</v>
      </c>
      <c r="G419" s="2">
        <v>11760</v>
      </c>
      <c r="H419" s="3">
        <v>0.2</v>
      </c>
      <c r="I419" t="s">
        <v>17</v>
      </c>
      <c r="J419" t="s">
        <v>47</v>
      </c>
      <c r="K419" t="s">
        <v>41</v>
      </c>
      <c r="L419" s="2">
        <v>37632</v>
      </c>
      <c r="M419" t="s">
        <v>138</v>
      </c>
    </row>
    <row r="420" spans="1:13" x14ac:dyDescent="0.3">
      <c r="A420" t="s">
        <v>706</v>
      </c>
      <c r="B420" s="1">
        <v>46145</v>
      </c>
      <c r="C420" t="s">
        <v>298</v>
      </c>
      <c r="D420" t="s">
        <v>62</v>
      </c>
      <c r="E420" t="s">
        <v>46</v>
      </c>
      <c r="F420">
        <v>2</v>
      </c>
      <c r="G420" s="2">
        <v>7410</v>
      </c>
      <c r="H420" s="3">
        <v>0.05</v>
      </c>
      <c r="I420" t="s">
        <v>17</v>
      </c>
      <c r="J420" t="s">
        <v>31</v>
      </c>
      <c r="K420" t="s">
        <v>67</v>
      </c>
      <c r="L420" s="2">
        <v>14079</v>
      </c>
      <c r="M420" t="s">
        <v>59</v>
      </c>
    </row>
    <row r="421" spans="1:13" x14ac:dyDescent="0.3">
      <c r="A421" t="s">
        <v>707</v>
      </c>
      <c r="B421" s="1">
        <v>46160</v>
      </c>
      <c r="C421" t="s">
        <v>576</v>
      </c>
      <c r="D421" t="s">
        <v>23</v>
      </c>
      <c r="E421" t="s">
        <v>135</v>
      </c>
      <c r="F421">
        <v>4</v>
      </c>
      <c r="G421" s="2">
        <v>15960</v>
      </c>
      <c r="H421" s="3">
        <v>0.2</v>
      </c>
      <c r="I421" t="s">
        <v>17</v>
      </c>
      <c r="J421" t="s">
        <v>31</v>
      </c>
      <c r="K421" t="s">
        <v>25</v>
      </c>
      <c r="L421" s="2">
        <v>51072</v>
      </c>
      <c r="M421" t="s">
        <v>48</v>
      </c>
    </row>
    <row r="422" spans="1:13" x14ac:dyDescent="0.3">
      <c r="A422" t="s">
        <v>708</v>
      </c>
      <c r="B422" s="1">
        <v>46126</v>
      </c>
      <c r="C422" t="s">
        <v>709</v>
      </c>
      <c r="D422" t="s">
        <v>29</v>
      </c>
      <c r="E422" t="s">
        <v>183</v>
      </c>
      <c r="F422">
        <v>1</v>
      </c>
      <c r="G422" s="2">
        <v>3360</v>
      </c>
      <c r="H422" s="3">
        <v>0</v>
      </c>
      <c r="I422" t="s">
        <v>17</v>
      </c>
      <c r="J422" t="s">
        <v>47</v>
      </c>
      <c r="K422" t="s">
        <v>55</v>
      </c>
      <c r="L422" s="2">
        <v>3360</v>
      </c>
      <c r="M422" t="s">
        <v>52</v>
      </c>
    </row>
    <row r="423" spans="1:13" x14ac:dyDescent="0.3">
      <c r="A423" t="s">
        <v>710</v>
      </c>
      <c r="B423" s="1">
        <v>46173</v>
      </c>
      <c r="C423" t="s">
        <v>137</v>
      </c>
      <c r="D423" t="s">
        <v>123</v>
      </c>
      <c r="E423" t="s">
        <v>135</v>
      </c>
      <c r="F423">
        <v>1</v>
      </c>
      <c r="G423" s="2">
        <v>17640</v>
      </c>
      <c r="H423" s="3">
        <v>0.15</v>
      </c>
      <c r="I423" t="s">
        <v>17</v>
      </c>
      <c r="J423" t="s">
        <v>31</v>
      </c>
      <c r="K423" t="s">
        <v>41</v>
      </c>
      <c r="L423" s="2">
        <v>14994</v>
      </c>
      <c r="M423" t="s">
        <v>48</v>
      </c>
    </row>
    <row r="424" spans="1:13" x14ac:dyDescent="0.3">
      <c r="A424" t="s">
        <v>711</v>
      </c>
      <c r="B424" s="1">
        <v>46198</v>
      </c>
      <c r="C424" t="s">
        <v>407</v>
      </c>
      <c r="D424" t="s">
        <v>50</v>
      </c>
      <c r="E424" t="s">
        <v>51</v>
      </c>
      <c r="F424">
        <v>1</v>
      </c>
      <c r="G424" s="2">
        <v>18500</v>
      </c>
      <c r="H424" s="3">
        <v>0</v>
      </c>
      <c r="I424" t="s">
        <v>17</v>
      </c>
      <c r="J424" t="s">
        <v>47</v>
      </c>
      <c r="K424" t="s">
        <v>19</v>
      </c>
      <c r="L424" s="2">
        <v>18500</v>
      </c>
      <c r="M424" t="s">
        <v>52</v>
      </c>
    </row>
    <row r="425" spans="1:13" x14ac:dyDescent="0.3">
      <c r="A425" t="s">
        <v>712</v>
      </c>
      <c r="B425" s="1">
        <v>46147</v>
      </c>
      <c r="C425" t="s">
        <v>651</v>
      </c>
      <c r="D425" t="s">
        <v>23</v>
      </c>
      <c r="E425" t="s">
        <v>63</v>
      </c>
      <c r="F425">
        <v>1</v>
      </c>
      <c r="G425" s="2">
        <v>2200</v>
      </c>
      <c r="H425" s="3">
        <v>0</v>
      </c>
      <c r="I425" t="s">
        <v>17</v>
      </c>
      <c r="J425" t="s">
        <v>18</v>
      </c>
      <c r="K425" t="s">
        <v>55</v>
      </c>
      <c r="L425" s="2">
        <v>2200</v>
      </c>
      <c r="M425" t="s">
        <v>56</v>
      </c>
    </row>
    <row r="426" spans="1:13" x14ac:dyDescent="0.3">
      <c r="A426" t="s">
        <v>713</v>
      </c>
      <c r="B426" s="1">
        <v>46034</v>
      </c>
      <c r="C426" t="s">
        <v>714</v>
      </c>
      <c r="D426" t="s">
        <v>168</v>
      </c>
      <c r="E426" t="s">
        <v>74</v>
      </c>
      <c r="F426">
        <v>2</v>
      </c>
      <c r="G426" s="2">
        <v>2400</v>
      </c>
      <c r="H426" s="3">
        <v>0.2</v>
      </c>
      <c r="I426" t="s">
        <v>116</v>
      </c>
      <c r="J426" t="s">
        <v>71</v>
      </c>
      <c r="K426" t="s">
        <v>55</v>
      </c>
      <c r="L426" s="2">
        <v>3840</v>
      </c>
      <c r="M426" t="s">
        <v>32</v>
      </c>
    </row>
    <row r="427" spans="1:13" x14ac:dyDescent="0.3">
      <c r="A427" t="s">
        <v>715</v>
      </c>
      <c r="B427" s="1">
        <v>46116</v>
      </c>
      <c r="C427" t="s">
        <v>338</v>
      </c>
      <c r="D427" t="s">
        <v>40</v>
      </c>
      <c r="E427" t="s">
        <v>74</v>
      </c>
      <c r="F427">
        <v>5</v>
      </c>
      <c r="G427" s="2">
        <v>2520</v>
      </c>
      <c r="H427" s="3">
        <v>0</v>
      </c>
      <c r="I427" t="s">
        <v>17</v>
      </c>
      <c r="J427" t="s">
        <v>18</v>
      </c>
      <c r="K427" t="s">
        <v>67</v>
      </c>
      <c r="L427" s="2">
        <v>12600</v>
      </c>
      <c r="M427" t="s">
        <v>138</v>
      </c>
    </row>
    <row r="428" spans="1:13" x14ac:dyDescent="0.3">
      <c r="A428" t="s">
        <v>716</v>
      </c>
      <c r="B428" s="1">
        <v>46147</v>
      </c>
      <c r="C428" t="s">
        <v>491</v>
      </c>
      <c r="D428" t="s">
        <v>29</v>
      </c>
      <c r="E428" t="s">
        <v>46</v>
      </c>
      <c r="F428">
        <v>5</v>
      </c>
      <c r="G428" s="2">
        <v>7800</v>
      </c>
      <c r="H428" s="3">
        <v>0</v>
      </c>
      <c r="I428" t="s">
        <v>17</v>
      </c>
      <c r="J428" t="s">
        <v>71</v>
      </c>
      <c r="K428" t="s">
        <v>41</v>
      </c>
      <c r="L428" s="2">
        <v>39000</v>
      </c>
      <c r="M428" t="s">
        <v>42</v>
      </c>
    </row>
    <row r="429" spans="1:13" x14ac:dyDescent="0.3">
      <c r="A429" t="s">
        <v>717</v>
      </c>
      <c r="B429" s="1">
        <v>46154</v>
      </c>
      <c r="C429" t="s">
        <v>211</v>
      </c>
      <c r="D429" t="s">
        <v>95</v>
      </c>
      <c r="E429" t="s">
        <v>135</v>
      </c>
      <c r="F429">
        <v>1</v>
      </c>
      <c r="G429" s="2">
        <v>15960</v>
      </c>
      <c r="H429" s="3">
        <v>0</v>
      </c>
      <c r="I429" t="s">
        <v>17</v>
      </c>
      <c r="J429" t="s">
        <v>18</v>
      </c>
      <c r="K429" t="s">
        <v>67</v>
      </c>
      <c r="L429" s="2">
        <v>15960</v>
      </c>
      <c r="M429" t="s">
        <v>42</v>
      </c>
    </row>
    <row r="430" spans="1:13" x14ac:dyDescent="0.3">
      <c r="A430" t="s">
        <v>718</v>
      </c>
      <c r="B430" s="1">
        <v>46146</v>
      </c>
      <c r="C430" t="s">
        <v>507</v>
      </c>
      <c r="D430" t="s">
        <v>95</v>
      </c>
      <c r="E430" t="s">
        <v>46</v>
      </c>
      <c r="F430">
        <v>2</v>
      </c>
      <c r="G430" s="2">
        <v>8190</v>
      </c>
      <c r="H430" s="3">
        <v>0.15</v>
      </c>
      <c r="I430" t="s">
        <v>17</v>
      </c>
      <c r="J430" t="s">
        <v>71</v>
      </c>
      <c r="K430" t="s">
        <v>19</v>
      </c>
      <c r="L430" s="2">
        <v>13923</v>
      </c>
      <c r="M430" t="s">
        <v>59</v>
      </c>
    </row>
    <row r="431" spans="1:13" x14ac:dyDescent="0.3">
      <c r="A431" t="s">
        <v>719</v>
      </c>
      <c r="B431" s="1">
        <v>46169</v>
      </c>
      <c r="C431" t="s">
        <v>720</v>
      </c>
      <c r="D431" t="s">
        <v>40</v>
      </c>
      <c r="E431" t="s">
        <v>30</v>
      </c>
      <c r="F431">
        <v>1</v>
      </c>
      <c r="G431" s="2">
        <v>1800</v>
      </c>
      <c r="H431" s="3">
        <v>0.15</v>
      </c>
      <c r="I431" t="s">
        <v>17</v>
      </c>
      <c r="J431" t="s">
        <v>71</v>
      </c>
      <c r="K431" t="s">
        <v>67</v>
      </c>
      <c r="L431" s="2">
        <v>1530</v>
      </c>
      <c r="M431" t="s">
        <v>59</v>
      </c>
    </row>
    <row r="432" spans="1:13" x14ac:dyDescent="0.3">
      <c r="A432" t="s">
        <v>721</v>
      </c>
      <c r="B432" s="1">
        <v>46155</v>
      </c>
      <c r="C432" t="s">
        <v>480</v>
      </c>
      <c r="D432" t="s">
        <v>70</v>
      </c>
      <c r="E432" t="s">
        <v>183</v>
      </c>
      <c r="F432">
        <v>8</v>
      </c>
      <c r="G432" s="2">
        <v>3200</v>
      </c>
      <c r="H432" s="3">
        <v>0.2</v>
      </c>
      <c r="I432" t="s">
        <v>17</v>
      </c>
      <c r="J432" t="s">
        <v>71</v>
      </c>
      <c r="K432" t="s">
        <v>55</v>
      </c>
      <c r="L432" s="2">
        <v>20480</v>
      </c>
      <c r="M432" t="s">
        <v>48</v>
      </c>
    </row>
    <row r="433" spans="1:13" x14ac:dyDescent="0.3">
      <c r="A433" t="s">
        <v>722</v>
      </c>
      <c r="B433" s="1">
        <v>46143</v>
      </c>
      <c r="C433" t="s">
        <v>79</v>
      </c>
      <c r="D433" t="s">
        <v>90</v>
      </c>
      <c r="E433" t="s">
        <v>46</v>
      </c>
      <c r="F433">
        <v>1</v>
      </c>
      <c r="G433" s="2">
        <v>7800</v>
      </c>
      <c r="H433" s="3">
        <v>0.1</v>
      </c>
      <c r="I433" t="s">
        <v>17</v>
      </c>
      <c r="J433" t="s">
        <v>71</v>
      </c>
      <c r="K433" t="s">
        <v>67</v>
      </c>
      <c r="L433" s="2">
        <v>7020</v>
      </c>
      <c r="M433" t="s">
        <v>56</v>
      </c>
    </row>
    <row r="434" spans="1:13" x14ac:dyDescent="0.3">
      <c r="A434" t="s">
        <v>723</v>
      </c>
      <c r="B434" s="1">
        <v>46175</v>
      </c>
      <c r="C434" t="s">
        <v>724</v>
      </c>
      <c r="D434" t="s">
        <v>40</v>
      </c>
      <c r="E434" t="s">
        <v>63</v>
      </c>
      <c r="F434">
        <v>1</v>
      </c>
      <c r="G434" s="2">
        <v>2090</v>
      </c>
      <c r="H434" s="3">
        <v>0.1</v>
      </c>
      <c r="I434" t="s">
        <v>17</v>
      </c>
      <c r="J434" t="s">
        <v>18</v>
      </c>
      <c r="K434" t="s">
        <v>41</v>
      </c>
      <c r="L434" s="2">
        <v>1881</v>
      </c>
      <c r="M434" t="s">
        <v>48</v>
      </c>
    </row>
    <row r="435" spans="1:13" x14ac:dyDescent="0.3">
      <c r="A435" t="s">
        <v>725</v>
      </c>
      <c r="B435" s="1">
        <v>46047</v>
      </c>
      <c r="C435" t="s">
        <v>146</v>
      </c>
      <c r="D435" t="s">
        <v>50</v>
      </c>
      <c r="E435" t="s">
        <v>46</v>
      </c>
      <c r="F435">
        <v>5</v>
      </c>
      <c r="G435" s="2">
        <v>7410</v>
      </c>
      <c r="H435" s="3">
        <v>0.15</v>
      </c>
      <c r="I435" t="s">
        <v>17</v>
      </c>
      <c r="J435" t="s">
        <v>18</v>
      </c>
      <c r="K435" t="s">
        <v>41</v>
      </c>
      <c r="L435" s="2">
        <v>31492.5</v>
      </c>
      <c r="M435" t="s">
        <v>48</v>
      </c>
    </row>
    <row r="436" spans="1:13" x14ac:dyDescent="0.3">
      <c r="A436" t="s">
        <v>726</v>
      </c>
      <c r="B436" s="1">
        <v>46161</v>
      </c>
      <c r="C436" t="s">
        <v>291</v>
      </c>
      <c r="D436" t="s">
        <v>90</v>
      </c>
      <c r="E436" t="s">
        <v>16</v>
      </c>
      <c r="F436">
        <v>5</v>
      </c>
      <c r="G436" s="2">
        <v>682.5</v>
      </c>
      <c r="H436" s="3">
        <v>0.2</v>
      </c>
      <c r="I436" t="s">
        <v>17</v>
      </c>
      <c r="J436" t="s">
        <v>31</v>
      </c>
      <c r="K436" t="s">
        <v>25</v>
      </c>
      <c r="L436" s="2">
        <v>2730</v>
      </c>
      <c r="M436" t="s">
        <v>32</v>
      </c>
    </row>
    <row r="437" spans="1:13" x14ac:dyDescent="0.3">
      <c r="A437" t="s">
        <v>727</v>
      </c>
      <c r="B437" s="1">
        <v>46081</v>
      </c>
      <c r="C437" t="s">
        <v>728</v>
      </c>
      <c r="D437" t="s">
        <v>29</v>
      </c>
      <c r="E437" t="s">
        <v>46</v>
      </c>
      <c r="F437">
        <v>4</v>
      </c>
      <c r="G437" s="2">
        <v>7410</v>
      </c>
      <c r="H437" s="3">
        <v>0.1</v>
      </c>
      <c r="I437" t="s">
        <v>17</v>
      </c>
      <c r="J437" t="s">
        <v>71</v>
      </c>
      <c r="K437" t="s">
        <v>67</v>
      </c>
      <c r="L437" s="2">
        <v>26676</v>
      </c>
      <c r="M437" t="s">
        <v>56</v>
      </c>
    </row>
    <row r="438" spans="1:13" x14ac:dyDescent="0.3">
      <c r="A438" t="s">
        <v>729</v>
      </c>
      <c r="B438" s="1">
        <v>46082</v>
      </c>
      <c r="C438" t="s">
        <v>682</v>
      </c>
      <c r="D438" t="s">
        <v>77</v>
      </c>
      <c r="E438" t="s">
        <v>63</v>
      </c>
      <c r="F438">
        <v>1</v>
      </c>
      <c r="G438" s="2">
        <v>2200</v>
      </c>
      <c r="H438" s="3">
        <v>0.15</v>
      </c>
      <c r="I438" t="s">
        <v>17</v>
      </c>
      <c r="J438" t="s">
        <v>31</v>
      </c>
      <c r="K438" t="s">
        <v>25</v>
      </c>
      <c r="L438" s="2">
        <v>1870</v>
      </c>
      <c r="M438" t="s">
        <v>82</v>
      </c>
    </row>
    <row r="439" spans="1:13" x14ac:dyDescent="0.3">
      <c r="A439" t="s">
        <v>730</v>
      </c>
      <c r="B439" s="1">
        <v>46053</v>
      </c>
      <c r="C439" t="s">
        <v>140</v>
      </c>
      <c r="D439" t="s">
        <v>152</v>
      </c>
      <c r="E439" t="s">
        <v>16</v>
      </c>
      <c r="F439">
        <v>2</v>
      </c>
      <c r="G439" s="2">
        <v>650</v>
      </c>
      <c r="H439" s="3">
        <v>0</v>
      </c>
      <c r="I439" t="s">
        <v>17</v>
      </c>
      <c r="J439" t="s">
        <v>47</v>
      </c>
      <c r="K439" t="s">
        <v>19</v>
      </c>
      <c r="L439" s="2">
        <v>1300</v>
      </c>
      <c r="M439" t="s">
        <v>59</v>
      </c>
    </row>
    <row r="440" spans="1:13" x14ac:dyDescent="0.3">
      <c r="A440" t="s">
        <v>731</v>
      </c>
      <c r="B440" s="1">
        <v>46132</v>
      </c>
      <c r="C440" t="s">
        <v>705</v>
      </c>
      <c r="D440" t="s">
        <v>95</v>
      </c>
      <c r="E440" t="s">
        <v>183</v>
      </c>
      <c r="F440">
        <v>1</v>
      </c>
      <c r="G440" s="2">
        <v>3200</v>
      </c>
      <c r="H440" s="3">
        <v>0.15</v>
      </c>
      <c r="I440" t="s">
        <v>17</v>
      </c>
      <c r="J440" t="s">
        <v>18</v>
      </c>
      <c r="K440" t="s">
        <v>41</v>
      </c>
      <c r="L440" s="2">
        <v>2720</v>
      </c>
      <c r="M440" t="s">
        <v>32</v>
      </c>
    </row>
    <row r="441" spans="1:13" x14ac:dyDescent="0.3">
      <c r="A441" t="s">
        <v>732</v>
      </c>
      <c r="B441" s="1">
        <v>46164</v>
      </c>
      <c r="C441" t="s">
        <v>700</v>
      </c>
      <c r="D441" t="s">
        <v>29</v>
      </c>
      <c r="E441" t="s">
        <v>51</v>
      </c>
      <c r="F441">
        <v>2</v>
      </c>
      <c r="G441" s="2">
        <v>19425</v>
      </c>
      <c r="H441" s="3">
        <v>0.05</v>
      </c>
      <c r="I441" t="s">
        <v>17</v>
      </c>
      <c r="J441" t="s">
        <v>47</v>
      </c>
      <c r="K441" t="s">
        <v>25</v>
      </c>
      <c r="L441" s="2">
        <v>36907.5</v>
      </c>
      <c r="M441" t="s">
        <v>138</v>
      </c>
    </row>
    <row r="442" spans="1:13" x14ac:dyDescent="0.3">
      <c r="A442" t="s">
        <v>733</v>
      </c>
      <c r="B442" s="1">
        <v>46203</v>
      </c>
      <c r="C442" t="s">
        <v>154</v>
      </c>
      <c r="D442" t="s">
        <v>70</v>
      </c>
      <c r="E442" t="s">
        <v>85</v>
      </c>
      <c r="F442">
        <v>1</v>
      </c>
      <c r="G442" s="2">
        <v>48500</v>
      </c>
      <c r="H442" s="3">
        <v>0.2</v>
      </c>
      <c r="I442" t="s">
        <v>17</v>
      </c>
      <c r="J442" t="s">
        <v>71</v>
      </c>
      <c r="K442" t="s">
        <v>19</v>
      </c>
      <c r="L442" s="2">
        <v>38800</v>
      </c>
      <c r="M442" t="s">
        <v>52</v>
      </c>
    </row>
    <row r="443" spans="1:13" x14ac:dyDescent="0.3">
      <c r="A443" t="s">
        <v>734</v>
      </c>
      <c r="B443" s="1">
        <v>46153</v>
      </c>
      <c r="C443" t="s">
        <v>735</v>
      </c>
      <c r="D443" t="s">
        <v>70</v>
      </c>
      <c r="E443" t="s">
        <v>36</v>
      </c>
      <c r="F443">
        <v>4</v>
      </c>
      <c r="G443" s="2">
        <v>1330</v>
      </c>
      <c r="H443" s="3">
        <v>0.15</v>
      </c>
      <c r="I443" t="s">
        <v>17</v>
      </c>
      <c r="J443" t="s">
        <v>18</v>
      </c>
      <c r="K443" t="s">
        <v>19</v>
      </c>
      <c r="L443" s="2">
        <v>4522</v>
      </c>
      <c r="M443" t="s">
        <v>42</v>
      </c>
    </row>
    <row r="444" spans="1:13" x14ac:dyDescent="0.3">
      <c r="A444" t="s">
        <v>736</v>
      </c>
      <c r="B444" s="1">
        <v>46060</v>
      </c>
      <c r="C444" t="s">
        <v>76</v>
      </c>
      <c r="D444" t="s">
        <v>62</v>
      </c>
      <c r="E444" t="s">
        <v>183</v>
      </c>
      <c r="F444">
        <v>2</v>
      </c>
      <c r="G444" s="2">
        <v>3200</v>
      </c>
      <c r="H444" s="3">
        <v>0</v>
      </c>
      <c r="I444" t="s">
        <v>17</v>
      </c>
      <c r="J444" t="s">
        <v>31</v>
      </c>
      <c r="K444" t="s">
        <v>55</v>
      </c>
      <c r="L444" s="2">
        <v>6400</v>
      </c>
      <c r="M444" t="s">
        <v>32</v>
      </c>
    </row>
    <row r="445" spans="1:13" x14ac:dyDescent="0.3">
      <c r="A445" t="s">
        <v>737</v>
      </c>
      <c r="B445" s="1">
        <v>46180</v>
      </c>
      <c r="C445" t="s">
        <v>232</v>
      </c>
      <c r="D445" t="s">
        <v>95</v>
      </c>
      <c r="E445" t="s">
        <v>51</v>
      </c>
      <c r="F445">
        <v>1</v>
      </c>
      <c r="G445" s="2">
        <v>18500</v>
      </c>
      <c r="H445" s="3">
        <v>0.15</v>
      </c>
      <c r="I445" t="s">
        <v>17</v>
      </c>
      <c r="J445" t="s">
        <v>18</v>
      </c>
      <c r="K445" t="s">
        <v>19</v>
      </c>
      <c r="L445" s="2">
        <v>15725</v>
      </c>
      <c r="M445" t="s">
        <v>52</v>
      </c>
    </row>
    <row r="446" spans="1:13" x14ac:dyDescent="0.3">
      <c r="A446" t="s">
        <v>738</v>
      </c>
      <c r="B446" s="1">
        <v>46191</v>
      </c>
      <c r="C446" t="s">
        <v>487</v>
      </c>
      <c r="D446" t="s">
        <v>77</v>
      </c>
      <c r="E446" t="s">
        <v>51</v>
      </c>
      <c r="F446">
        <v>1</v>
      </c>
      <c r="G446" s="2">
        <v>18500</v>
      </c>
      <c r="H446" s="3">
        <v>0</v>
      </c>
      <c r="I446" t="s">
        <v>17</v>
      </c>
      <c r="J446" t="s">
        <v>31</v>
      </c>
      <c r="K446" t="s">
        <v>67</v>
      </c>
      <c r="L446" s="2">
        <v>18500</v>
      </c>
      <c r="M446" t="s">
        <v>52</v>
      </c>
    </row>
    <row r="447" spans="1:13" x14ac:dyDescent="0.3">
      <c r="A447" t="s">
        <v>739</v>
      </c>
      <c r="B447" s="1">
        <v>46190</v>
      </c>
      <c r="C447" t="s">
        <v>411</v>
      </c>
      <c r="D447" t="s">
        <v>168</v>
      </c>
      <c r="E447" t="s">
        <v>30</v>
      </c>
      <c r="F447">
        <v>1</v>
      </c>
      <c r="G447" s="2">
        <v>1800</v>
      </c>
      <c r="H447" s="3">
        <v>0.05</v>
      </c>
      <c r="I447" t="s">
        <v>17</v>
      </c>
      <c r="J447" t="s">
        <v>18</v>
      </c>
      <c r="K447" t="s">
        <v>25</v>
      </c>
      <c r="L447" s="2">
        <v>1710</v>
      </c>
      <c r="M447" t="s">
        <v>52</v>
      </c>
    </row>
    <row r="448" spans="1:13" x14ac:dyDescent="0.3">
      <c r="A448" t="s">
        <v>740</v>
      </c>
      <c r="B448" s="1">
        <v>46155</v>
      </c>
      <c r="C448" t="s">
        <v>367</v>
      </c>
      <c r="D448" t="s">
        <v>168</v>
      </c>
      <c r="E448" t="s">
        <v>85</v>
      </c>
      <c r="F448">
        <v>3</v>
      </c>
      <c r="G448" s="2">
        <v>48500</v>
      </c>
      <c r="H448" s="3">
        <v>0</v>
      </c>
      <c r="I448" t="s">
        <v>17</v>
      </c>
      <c r="J448" t="s">
        <v>47</v>
      </c>
      <c r="K448" t="s">
        <v>41</v>
      </c>
      <c r="L448" s="2">
        <v>145500</v>
      </c>
      <c r="M448" t="s">
        <v>48</v>
      </c>
    </row>
    <row r="449" spans="1:13" x14ac:dyDescent="0.3">
      <c r="A449" t="s">
        <v>741</v>
      </c>
      <c r="B449" s="1">
        <v>46072</v>
      </c>
      <c r="C449" t="s">
        <v>742</v>
      </c>
      <c r="D449" t="s">
        <v>62</v>
      </c>
      <c r="E449" t="s">
        <v>161</v>
      </c>
      <c r="F449">
        <v>3</v>
      </c>
      <c r="G449" s="2">
        <v>2470</v>
      </c>
      <c r="H449" s="3">
        <v>0.05</v>
      </c>
      <c r="I449" t="s">
        <v>17</v>
      </c>
      <c r="J449" t="s">
        <v>47</v>
      </c>
      <c r="K449" t="s">
        <v>67</v>
      </c>
      <c r="L449" s="2">
        <v>7039.5</v>
      </c>
      <c r="M449" t="s">
        <v>42</v>
      </c>
    </row>
    <row r="450" spans="1:13" x14ac:dyDescent="0.3">
      <c r="A450" t="s">
        <v>743</v>
      </c>
      <c r="B450" s="1">
        <v>46154</v>
      </c>
      <c r="C450" t="s">
        <v>34</v>
      </c>
      <c r="D450" t="s">
        <v>45</v>
      </c>
      <c r="E450" t="s">
        <v>51</v>
      </c>
      <c r="F450">
        <v>4</v>
      </c>
      <c r="G450" s="2">
        <v>19425</v>
      </c>
      <c r="H450" s="3">
        <v>0.15</v>
      </c>
      <c r="I450" t="s">
        <v>17</v>
      </c>
      <c r="J450" t="s">
        <v>18</v>
      </c>
      <c r="K450" t="s">
        <v>41</v>
      </c>
      <c r="L450" s="2">
        <v>66045</v>
      </c>
      <c r="M450" t="s">
        <v>138</v>
      </c>
    </row>
    <row r="451" spans="1:13" x14ac:dyDescent="0.3">
      <c r="A451" t="s">
        <v>744</v>
      </c>
      <c r="B451" s="1">
        <v>46140</v>
      </c>
      <c r="C451" t="s">
        <v>745</v>
      </c>
      <c r="D451" t="s">
        <v>95</v>
      </c>
      <c r="E451" t="s">
        <v>46</v>
      </c>
      <c r="F451">
        <v>5</v>
      </c>
      <c r="G451" s="2">
        <v>7800</v>
      </c>
      <c r="H451" s="3">
        <v>0</v>
      </c>
      <c r="I451" t="s">
        <v>17</v>
      </c>
      <c r="J451" t="s">
        <v>18</v>
      </c>
      <c r="K451" t="s">
        <v>41</v>
      </c>
      <c r="L451" s="2">
        <v>39000</v>
      </c>
      <c r="M451" t="s">
        <v>52</v>
      </c>
    </row>
    <row r="452" spans="1:13" x14ac:dyDescent="0.3">
      <c r="A452" t="s">
        <v>746</v>
      </c>
      <c r="B452" s="1">
        <v>46103</v>
      </c>
      <c r="C452" t="s">
        <v>747</v>
      </c>
      <c r="D452" t="s">
        <v>70</v>
      </c>
      <c r="E452" t="s">
        <v>36</v>
      </c>
      <c r="F452">
        <v>2</v>
      </c>
      <c r="G452" s="2">
        <v>1400</v>
      </c>
      <c r="H452" s="3">
        <v>0</v>
      </c>
      <c r="I452" t="s">
        <v>17</v>
      </c>
      <c r="J452" t="s">
        <v>47</v>
      </c>
      <c r="K452" t="s">
        <v>19</v>
      </c>
      <c r="L452" s="2">
        <v>2800</v>
      </c>
      <c r="M452" t="s">
        <v>32</v>
      </c>
    </row>
    <row r="453" spans="1:13" x14ac:dyDescent="0.3">
      <c r="A453" t="s">
        <v>748</v>
      </c>
      <c r="B453" s="1">
        <v>46195</v>
      </c>
      <c r="C453" t="s">
        <v>434</v>
      </c>
      <c r="D453" t="s">
        <v>123</v>
      </c>
      <c r="E453" t="s">
        <v>36</v>
      </c>
      <c r="F453">
        <v>1</v>
      </c>
      <c r="G453" s="2">
        <v>1400</v>
      </c>
      <c r="H453" s="3">
        <v>0</v>
      </c>
      <c r="I453" t="s">
        <v>17</v>
      </c>
      <c r="J453" t="s">
        <v>47</v>
      </c>
      <c r="K453" t="s">
        <v>41</v>
      </c>
      <c r="L453" s="2">
        <v>1400</v>
      </c>
      <c r="M453" t="s">
        <v>52</v>
      </c>
    </row>
    <row r="454" spans="1:13" x14ac:dyDescent="0.3">
      <c r="A454" t="s">
        <v>749</v>
      </c>
      <c r="B454" s="1">
        <v>46150</v>
      </c>
      <c r="C454" t="s">
        <v>211</v>
      </c>
      <c r="D454" t="s">
        <v>123</v>
      </c>
      <c r="E454" t="s">
        <v>24</v>
      </c>
      <c r="F454">
        <v>1</v>
      </c>
      <c r="G454" s="2">
        <v>11200</v>
      </c>
      <c r="H454" s="3">
        <v>0</v>
      </c>
      <c r="I454" t="s">
        <v>66</v>
      </c>
      <c r="J454" t="s">
        <v>71</v>
      </c>
      <c r="K454" t="s">
        <v>41</v>
      </c>
      <c r="L454" s="2">
        <v>11200</v>
      </c>
      <c r="M454" t="s">
        <v>48</v>
      </c>
    </row>
    <row r="455" spans="1:13" x14ac:dyDescent="0.3">
      <c r="A455" t="s">
        <v>750</v>
      </c>
      <c r="B455" s="1">
        <v>46114</v>
      </c>
      <c r="C455" t="s">
        <v>296</v>
      </c>
      <c r="D455" t="s">
        <v>50</v>
      </c>
      <c r="E455" t="s">
        <v>63</v>
      </c>
      <c r="F455">
        <v>1</v>
      </c>
      <c r="G455" s="2">
        <v>2310</v>
      </c>
      <c r="H455" s="3">
        <v>0</v>
      </c>
      <c r="I455" t="s">
        <v>17</v>
      </c>
      <c r="J455" t="s">
        <v>31</v>
      </c>
      <c r="K455" t="s">
        <v>55</v>
      </c>
      <c r="L455" s="2">
        <v>2310</v>
      </c>
      <c r="M455" t="s">
        <v>138</v>
      </c>
    </row>
    <row r="456" spans="1:13" x14ac:dyDescent="0.3">
      <c r="A456" t="s">
        <v>751</v>
      </c>
      <c r="B456" s="1">
        <v>46181</v>
      </c>
      <c r="C456" t="s">
        <v>348</v>
      </c>
      <c r="D456" t="s">
        <v>35</v>
      </c>
      <c r="E456" t="s">
        <v>46</v>
      </c>
      <c r="F456">
        <v>5</v>
      </c>
      <c r="G456" s="2">
        <v>8190</v>
      </c>
      <c r="H456" s="3">
        <v>0.15</v>
      </c>
      <c r="I456" t="s">
        <v>752</v>
      </c>
      <c r="J456" t="s">
        <v>47</v>
      </c>
      <c r="K456" t="s">
        <v>55</v>
      </c>
      <c r="L456" s="2">
        <v>34807.5</v>
      </c>
      <c r="M456" t="s">
        <v>52</v>
      </c>
    </row>
    <row r="457" spans="1:13" x14ac:dyDescent="0.3">
      <c r="A457" t="s">
        <v>753</v>
      </c>
      <c r="B457" s="1">
        <v>46170</v>
      </c>
      <c r="C457" t="s">
        <v>376</v>
      </c>
      <c r="D457" t="s">
        <v>50</v>
      </c>
      <c r="E457" t="s">
        <v>16</v>
      </c>
      <c r="F457">
        <v>2</v>
      </c>
      <c r="G457" s="2">
        <v>617.5</v>
      </c>
      <c r="H457" s="3">
        <v>0.1</v>
      </c>
      <c r="I457" t="s">
        <v>17</v>
      </c>
      <c r="J457" t="s">
        <v>47</v>
      </c>
      <c r="K457" t="s">
        <v>55</v>
      </c>
      <c r="L457" s="2">
        <v>1111.5</v>
      </c>
      <c r="M457" t="s">
        <v>59</v>
      </c>
    </row>
    <row r="458" spans="1:13" x14ac:dyDescent="0.3">
      <c r="A458" t="s">
        <v>754</v>
      </c>
      <c r="B458" s="1">
        <v>46140</v>
      </c>
      <c r="C458" t="s">
        <v>44</v>
      </c>
      <c r="D458" t="s">
        <v>15</v>
      </c>
      <c r="E458" t="s">
        <v>85</v>
      </c>
      <c r="F458">
        <v>2</v>
      </c>
      <c r="G458" s="2">
        <v>46075</v>
      </c>
      <c r="H458" s="3">
        <v>0.05</v>
      </c>
      <c r="I458" t="s">
        <v>17</v>
      </c>
      <c r="J458" t="s">
        <v>18</v>
      </c>
      <c r="K458" t="s">
        <v>25</v>
      </c>
      <c r="L458" s="2">
        <v>87542.5</v>
      </c>
      <c r="M458" t="s">
        <v>42</v>
      </c>
    </row>
    <row r="459" spans="1:13" x14ac:dyDescent="0.3">
      <c r="A459" t="s">
        <v>755</v>
      </c>
      <c r="B459" s="1">
        <v>46106</v>
      </c>
      <c r="C459" t="s">
        <v>756</v>
      </c>
      <c r="D459" t="s">
        <v>35</v>
      </c>
      <c r="E459" t="s">
        <v>183</v>
      </c>
      <c r="F459">
        <v>5</v>
      </c>
      <c r="G459" s="2">
        <v>3200</v>
      </c>
      <c r="H459" s="3">
        <v>0</v>
      </c>
      <c r="I459" t="s">
        <v>17</v>
      </c>
      <c r="J459" t="s">
        <v>18</v>
      </c>
      <c r="K459" t="s">
        <v>25</v>
      </c>
      <c r="L459" s="2">
        <v>16000</v>
      </c>
      <c r="M459" t="s">
        <v>138</v>
      </c>
    </row>
    <row r="460" spans="1:13" x14ac:dyDescent="0.3">
      <c r="A460" t="s">
        <v>757</v>
      </c>
      <c r="B460" s="1">
        <v>46116</v>
      </c>
      <c r="C460" t="s">
        <v>137</v>
      </c>
      <c r="D460" t="s">
        <v>50</v>
      </c>
      <c r="E460" t="s">
        <v>46</v>
      </c>
      <c r="F460">
        <v>2</v>
      </c>
      <c r="G460" s="2">
        <v>7800</v>
      </c>
      <c r="H460" s="3">
        <v>0.1</v>
      </c>
      <c r="I460" t="s">
        <v>17</v>
      </c>
      <c r="J460" t="s">
        <v>18</v>
      </c>
      <c r="K460" t="s">
        <v>67</v>
      </c>
      <c r="L460" s="2">
        <v>14040</v>
      </c>
      <c r="M460" t="s">
        <v>56</v>
      </c>
    </row>
    <row r="461" spans="1:13" x14ac:dyDescent="0.3">
      <c r="A461" t="s">
        <v>758</v>
      </c>
      <c r="B461" s="1">
        <v>46069</v>
      </c>
      <c r="C461" t="s">
        <v>473</v>
      </c>
      <c r="D461" t="s">
        <v>40</v>
      </c>
      <c r="E461" t="s">
        <v>30</v>
      </c>
      <c r="F461">
        <v>10</v>
      </c>
      <c r="G461" s="2">
        <v>1710</v>
      </c>
      <c r="H461" s="3">
        <v>0.2</v>
      </c>
      <c r="I461" t="s">
        <v>17</v>
      </c>
      <c r="J461" t="s">
        <v>71</v>
      </c>
      <c r="K461" t="s">
        <v>25</v>
      </c>
      <c r="L461" s="2">
        <v>13680</v>
      </c>
      <c r="M461" t="s">
        <v>32</v>
      </c>
    </row>
    <row r="462" spans="1:13" x14ac:dyDescent="0.3">
      <c r="A462" t="s">
        <v>759</v>
      </c>
      <c r="B462" s="1">
        <v>46120</v>
      </c>
      <c r="C462" t="s">
        <v>310</v>
      </c>
      <c r="D462" t="s">
        <v>23</v>
      </c>
      <c r="E462" t="s">
        <v>30</v>
      </c>
      <c r="F462">
        <v>4</v>
      </c>
      <c r="G462" s="2">
        <v>1710</v>
      </c>
      <c r="H462" s="3">
        <v>0.2</v>
      </c>
      <c r="I462" t="s">
        <v>17</v>
      </c>
      <c r="J462" t="s">
        <v>18</v>
      </c>
      <c r="K462" t="s">
        <v>55</v>
      </c>
      <c r="L462" s="2">
        <v>5472</v>
      </c>
      <c r="M462" t="s">
        <v>59</v>
      </c>
    </row>
    <row r="463" spans="1:13" x14ac:dyDescent="0.3">
      <c r="A463" t="s">
        <v>760</v>
      </c>
      <c r="B463" s="1">
        <v>46184</v>
      </c>
      <c r="C463" t="s">
        <v>300</v>
      </c>
      <c r="D463" t="s">
        <v>152</v>
      </c>
      <c r="E463" t="s">
        <v>51</v>
      </c>
      <c r="F463">
        <v>3</v>
      </c>
      <c r="G463" s="2">
        <v>17575</v>
      </c>
      <c r="H463" s="3">
        <v>0.1</v>
      </c>
      <c r="I463" t="s">
        <v>17</v>
      </c>
      <c r="J463" t="s">
        <v>31</v>
      </c>
      <c r="K463" t="s">
        <v>41</v>
      </c>
      <c r="L463" s="2">
        <v>47452.5</v>
      </c>
      <c r="M463" t="s">
        <v>20</v>
      </c>
    </row>
    <row r="464" spans="1:13" x14ac:dyDescent="0.3">
      <c r="A464" t="s">
        <v>761</v>
      </c>
      <c r="B464" s="1">
        <v>46078</v>
      </c>
      <c r="C464" t="s">
        <v>108</v>
      </c>
      <c r="D464" t="s">
        <v>90</v>
      </c>
      <c r="E464" t="s">
        <v>135</v>
      </c>
      <c r="F464">
        <v>2</v>
      </c>
      <c r="G464" s="2">
        <v>16800</v>
      </c>
      <c r="H464" s="3">
        <v>0.2</v>
      </c>
      <c r="I464" t="s">
        <v>17</v>
      </c>
      <c r="J464" t="s">
        <v>47</v>
      </c>
      <c r="K464" t="s">
        <v>67</v>
      </c>
      <c r="L464" s="2">
        <v>26880</v>
      </c>
      <c r="M464" t="s">
        <v>82</v>
      </c>
    </row>
    <row r="465" spans="1:13" x14ac:dyDescent="0.3">
      <c r="A465" t="s">
        <v>762</v>
      </c>
      <c r="B465" s="1">
        <v>46165</v>
      </c>
      <c r="C465" t="s">
        <v>298</v>
      </c>
      <c r="D465" t="s">
        <v>77</v>
      </c>
      <c r="E465" t="s">
        <v>135</v>
      </c>
      <c r="F465">
        <v>2</v>
      </c>
      <c r="G465" s="2">
        <v>16800</v>
      </c>
      <c r="H465" s="3">
        <v>0.1</v>
      </c>
      <c r="I465" t="s">
        <v>17</v>
      </c>
      <c r="J465" t="s">
        <v>47</v>
      </c>
      <c r="K465" t="s">
        <v>67</v>
      </c>
      <c r="L465" s="2">
        <v>30240</v>
      </c>
      <c r="M465" t="s">
        <v>138</v>
      </c>
    </row>
    <row r="466" spans="1:13" x14ac:dyDescent="0.3">
      <c r="A466" t="s">
        <v>763</v>
      </c>
      <c r="B466" s="1">
        <v>46195</v>
      </c>
      <c r="C466" t="s">
        <v>248</v>
      </c>
      <c r="D466" t="s">
        <v>152</v>
      </c>
      <c r="E466" t="s">
        <v>46</v>
      </c>
      <c r="F466">
        <v>4</v>
      </c>
      <c r="G466" s="2">
        <v>8190</v>
      </c>
      <c r="H466" s="3">
        <v>0.1</v>
      </c>
      <c r="I466" t="s">
        <v>66</v>
      </c>
      <c r="J466" t="s">
        <v>18</v>
      </c>
      <c r="K466" t="s">
        <v>41</v>
      </c>
      <c r="L466" s="2">
        <v>29484</v>
      </c>
      <c r="M466" t="s">
        <v>59</v>
      </c>
    </row>
    <row r="467" spans="1:13" x14ac:dyDescent="0.3">
      <c r="A467" t="s">
        <v>764</v>
      </c>
      <c r="B467" s="1">
        <v>46186</v>
      </c>
      <c r="C467" t="s">
        <v>76</v>
      </c>
      <c r="D467" t="s">
        <v>29</v>
      </c>
      <c r="E467" t="s">
        <v>36</v>
      </c>
      <c r="F467">
        <v>2</v>
      </c>
      <c r="G467" s="2">
        <v>1330</v>
      </c>
      <c r="H467" s="3">
        <v>0.15</v>
      </c>
      <c r="I467" t="s">
        <v>17</v>
      </c>
      <c r="J467" t="s">
        <v>71</v>
      </c>
      <c r="K467" t="s">
        <v>67</v>
      </c>
      <c r="L467" s="2">
        <v>2261</v>
      </c>
      <c r="M467" t="s">
        <v>52</v>
      </c>
    </row>
    <row r="468" spans="1:13" x14ac:dyDescent="0.3">
      <c r="A468" t="s">
        <v>765</v>
      </c>
      <c r="B468" s="1">
        <v>46103</v>
      </c>
      <c r="C468" t="s">
        <v>473</v>
      </c>
      <c r="D468" t="s">
        <v>35</v>
      </c>
      <c r="E468" t="s">
        <v>74</v>
      </c>
      <c r="F468">
        <v>1</v>
      </c>
      <c r="G468" s="2">
        <v>2520</v>
      </c>
      <c r="H468" s="3">
        <v>0.05</v>
      </c>
      <c r="I468" t="s">
        <v>17</v>
      </c>
      <c r="J468" t="s">
        <v>18</v>
      </c>
      <c r="K468" t="s">
        <v>67</v>
      </c>
      <c r="L468" s="2">
        <v>2394</v>
      </c>
      <c r="M468" t="s">
        <v>48</v>
      </c>
    </row>
    <row r="469" spans="1:13" x14ac:dyDescent="0.3">
      <c r="A469" t="s">
        <v>766</v>
      </c>
      <c r="B469" s="1">
        <v>46156</v>
      </c>
      <c r="C469" t="s">
        <v>767</v>
      </c>
      <c r="D469" t="s">
        <v>62</v>
      </c>
      <c r="E469" t="s">
        <v>161</v>
      </c>
      <c r="F469">
        <v>1</v>
      </c>
      <c r="G469" s="2">
        <v>2600</v>
      </c>
      <c r="H469" s="3">
        <v>0</v>
      </c>
      <c r="I469" t="s">
        <v>17</v>
      </c>
      <c r="J469" t="s">
        <v>31</v>
      </c>
      <c r="K469" t="s">
        <v>41</v>
      </c>
      <c r="L469" s="2">
        <v>2600</v>
      </c>
      <c r="M469" t="s">
        <v>59</v>
      </c>
    </row>
    <row r="470" spans="1:13" x14ac:dyDescent="0.3">
      <c r="A470" t="s">
        <v>768</v>
      </c>
      <c r="B470" s="1">
        <v>46124</v>
      </c>
      <c r="C470" t="s">
        <v>300</v>
      </c>
      <c r="D470" t="s">
        <v>15</v>
      </c>
      <c r="E470" t="s">
        <v>63</v>
      </c>
      <c r="F470">
        <v>1</v>
      </c>
      <c r="G470" s="2">
        <v>2090</v>
      </c>
      <c r="H470" s="3">
        <v>0.1</v>
      </c>
      <c r="I470" t="s">
        <v>17</v>
      </c>
      <c r="J470" t="s">
        <v>31</v>
      </c>
      <c r="K470" t="s">
        <v>19</v>
      </c>
      <c r="L470" s="2">
        <v>1881</v>
      </c>
      <c r="M470" t="s">
        <v>26</v>
      </c>
    </row>
    <row r="471" spans="1:13" x14ac:dyDescent="0.3">
      <c r="A471" t="s">
        <v>769</v>
      </c>
      <c r="B471" s="1">
        <v>46181</v>
      </c>
      <c r="C471" t="s">
        <v>321</v>
      </c>
      <c r="D471" t="s">
        <v>50</v>
      </c>
      <c r="E471" t="s">
        <v>63</v>
      </c>
      <c r="F471">
        <v>3</v>
      </c>
      <c r="G471" s="2">
        <v>2200</v>
      </c>
      <c r="H471" s="3">
        <v>0.1</v>
      </c>
      <c r="I471" t="s">
        <v>17</v>
      </c>
      <c r="J471" t="s">
        <v>18</v>
      </c>
      <c r="K471" t="s">
        <v>41</v>
      </c>
      <c r="L471" s="2">
        <v>5940</v>
      </c>
      <c r="M471" t="s">
        <v>59</v>
      </c>
    </row>
    <row r="472" spans="1:13" x14ac:dyDescent="0.3">
      <c r="A472" t="s">
        <v>770</v>
      </c>
      <c r="B472" s="1">
        <v>46157</v>
      </c>
      <c r="C472" t="s">
        <v>771</v>
      </c>
      <c r="D472" t="s">
        <v>90</v>
      </c>
      <c r="E472" t="s">
        <v>30</v>
      </c>
      <c r="F472">
        <v>1</v>
      </c>
      <c r="G472" s="2">
        <v>1800</v>
      </c>
      <c r="H472" s="3">
        <v>0.2</v>
      </c>
      <c r="I472" t="s">
        <v>17</v>
      </c>
      <c r="J472" t="s">
        <v>18</v>
      </c>
      <c r="K472" t="s">
        <v>25</v>
      </c>
      <c r="L472" s="2">
        <v>1440</v>
      </c>
      <c r="M472" t="s">
        <v>26</v>
      </c>
    </row>
    <row r="473" spans="1:13" x14ac:dyDescent="0.3">
      <c r="A473" t="s">
        <v>772</v>
      </c>
      <c r="B473" s="1">
        <v>46163</v>
      </c>
      <c r="C473" t="s">
        <v>607</v>
      </c>
      <c r="D473" t="s">
        <v>62</v>
      </c>
      <c r="E473" t="s">
        <v>30</v>
      </c>
      <c r="F473">
        <v>8</v>
      </c>
      <c r="G473" s="2">
        <v>1890</v>
      </c>
      <c r="H473" s="3">
        <v>0.2</v>
      </c>
      <c r="I473" t="s">
        <v>17</v>
      </c>
      <c r="J473" t="s">
        <v>47</v>
      </c>
      <c r="K473" t="s">
        <v>67</v>
      </c>
      <c r="L473" s="2">
        <v>12096</v>
      </c>
      <c r="M473" t="s">
        <v>56</v>
      </c>
    </row>
    <row r="474" spans="1:13" x14ac:dyDescent="0.3">
      <c r="A474" t="s">
        <v>773</v>
      </c>
      <c r="B474" s="1">
        <v>46161</v>
      </c>
      <c r="C474" t="s">
        <v>774</v>
      </c>
      <c r="D474" t="s">
        <v>23</v>
      </c>
      <c r="E474" t="s">
        <v>63</v>
      </c>
      <c r="F474">
        <v>2</v>
      </c>
      <c r="G474" s="2">
        <v>2200</v>
      </c>
      <c r="H474" s="3">
        <v>0.05</v>
      </c>
      <c r="I474" t="s">
        <v>17</v>
      </c>
      <c r="J474" t="s">
        <v>31</v>
      </c>
      <c r="K474" t="s">
        <v>19</v>
      </c>
      <c r="L474" s="2">
        <v>4180</v>
      </c>
      <c r="M474" t="s">
        <v>82</v>
      </c>
    </row>
    <row r="475" spans="1:13" x14ac:dyDescent="0.3">
      <c r="A475" t="s">
        <v>775</v>
      </c>
      <c r="B475" s="1">
        <v>46057</v>
      </c>
      <c r="C475" t="s">
        <v>103</v>
      </c>
      <c r="D475" t="s">
        <v>35</v>
      </c>
      <c r="E475" t="s">
        <v>135</v>
      </c>
      <c r="F475">
        <v>2</v>
      </c>
      <c r="G475" s="2">
        <v>17640</v>
      </c>
      <c r="H475" s="3">
        <v>0</v>
      </c>
      <c r="I475" t="s">
        <v>17</v>
      </c>
      <c r="J475" t="s">
        <v>47</v>
      </c>
      <c r="K475" t="s">
        <v>19</v>
      </c>
      <c r="L475" s="2">
        <v>35280</v>
      </c>
      <c r="M475" t="s">
        <v>32</v>
      </c>
    </row>
    <row r="476" spans="1:13" x14ac:dyDescent="0.3">
      <c r="A476" t="s">
        <v>776</v>
      </c>
      <c r="B476" s="1">
        <v>46097</v>
      </c>
      <c r="C476" t="s">
        <v>134</v>
      </c>
      <c r="D476" t="s">
        <v>40</v>
      </c>
      <c r="E476" t="s">
        <v>24</v>
      </c>
      <c r="F476">
        <v>4</v>
      </c>
      <c r="G476" s="2">
        <v>11760</v>
      </c>
      <c r="H476" s="3">
        <v>0.15</v>
      </c>
      <c r="I476" t="s">
        <v>17</v>
      </c>
      <c r="J476" t="s">
        <v>18</v>
      </c>
      <c r="K476" t="s">
        <v>41</v>
      </c>
      <c r="L476" s="2">
        <v>39984</v>
      </c>
      <c r="M476" t="s">
        <v>59</v>
      </c>
    </row>
    <row r="477" spans="1:13" x14ac:dyDescent="0.3">
      <c r="A477" t="s">
        <v>777</v>
      </c>
      <c r="B477" s="1">
        <v>46188</v>
      </c>
      <c r="C477" t="s">
        <v>209</v>
      </c>
      <c r="D477" t="s">
        <v>70</v>
      </c>
      <c r="E477" t="s">
        <v>161</v>
      </c>
      <c r="F477">
        <v>1</v>
      </c>
      <c r="G477" s="2">
        <v>2600</v>
      </c>
      <c r="H477" s="3">
        <v>0</v>
      </c>
      <c r="I477" t="s">
        <v>17</v>
      </c>
      <c r="J477" t="s">
        <v>47</v>
      </c>
      <c r="K477" t="s">
        <v>25</v>
      </c>
      <c r="L477" s="2">
        <v>2600</v>
      </c>
      <c r="M477" t="s">
        <v>26</v>
      </c>
    </row>
    <row r="478" spans="1:13" x14ac:dyDescent="0.3">
      <c r="A478" t="s">
        <v>778</v>
      </c>
      <c r="B478" s="1">
        <v>46128</v>
      </c>
      <c r="C478" t="s">
        <v>84</v>
      </c>
      <c r="D478" t="s">
        <v>23</v>
      </c>
      <c r="E478" t="s">
        <v>63</v>
      </c>
      <c r="F478">
        <v>1</v>
      </c>
      <c r="G478" s="2">
        <v>2310</v>
      </c>
      <c r="H478" s="3">
        <v>0.05</v>
      </c>
      <c r="I478" t="s">
        <v>17</v>
      </c>
      <c r="J478" t="s">
        <v>47</v>
      </c>
      <c r="K478" t="s">
        <v>25</v>
      </c>
      <c r="L478" s="2">
        <v>2194.5</v>
      </c>
      <c r="M478" t="s">
        <v>56</v>
      </c>
    </row>
    <row r="479" spans="1:13" x14ac:dyDescent="0.3">
      <c r="A479" t="s">
        <v>779</v>
      </c>
      <c r="B479" s="1">
        <v>46071</v>
      </c>
      <c r="C479" t="s">
        <v>554</v>
      </c>
      <c r="D479" t="s">
        <v>35</v>
      </c>
      <c r="E479" t="s">
        <v>16</v>
      </c>
      <c r="F479">
        <v>1</v>
      </c>
      <c r="G479" s="2">
        <v>617.5</v>
      </c>
      <c r="H479" s="3">
        <v>0.15</v>
      </c>
      <c r="I479" t="s">
        <v>17</v>
      </c>
      <c r="J479" t="s">
        <v>47</v>
      </c>
      <c r="K479" t="s">
        <v>41</v>
      </c>
      <c r="L479" s="2">
        <v>524.88</v>
      </c>
      <c r="M479" t="s">
        <v>56</v>
      </c>
    </row>
    <row r="480" spans="1:13" x14ac:dyDescent="0.3">
      <c r="A480" t="s">
        <v>780</v>
      </c>
      <c r="B480" s="1">
        <v>46025</v>
      </c>
      <c r="C480" t="s">
        <v>781</v>
      </c>
      <c r="D480" t="s">
        <v>23</v>
      </c>
      <c r="E480" t="s">
        <v>63</v>
      </c>
      <c r="F480">
        <v>1</v>
      </c>
      <c r="G480" s="2">
        <v>2310</v>
      </c>
      <c r="H480" s="3">
        <v>0.1</v>
      </c>
      <c r="I480" t="s">
        <v>17</v>
      </c>
      <c r="J480" t="s">
        <v>18</v>
      </c>
      <c r="K480" t="s">
        <v>67</v>
      </c>
      <c r="L480" s="2">
        <v>2079</v>
      </c>
      <c r="M480" t="s">
        <v>56</v>
      </c>
    </row>
    <row r="481" spans="1:13" x14ac:dyDescent="0.3">
      <c r="A481" t="s">
        <v>782</v>
      </c>
      <c r="B481" s="1">
        <v>46201</v>
      </c>
      <c r="C481" t="s">
        <v>87</v>
      </c>
      <c r="D481" t="s">
        <v>29</v>
      </c>
      <c r="E481" t="s">
        <v>16</v>
      </c>
      <c r="F481">
        <v>2</v>
      </c>
      <c r="G481" s="2">
        <v>682.5</v>
      </c>
      <c r="H481" s="3">
        <v>0</v>
      </c>
      <c r="I481" t="s">
        <v>17</v>
      </c>
      <c r="J481" t="s">
        <v>18</v>
      </c>
      <c r="K481" t="s">
        <v>41</v>
      </c>
      <c r="L481" s="2">
        <v>1365</v>
      </c>
      <c r="M481" t="s">
        <v>52</v>
      </c>
    </row>
    <row r="482" spans="1:13" x14ac:dyDescent="0.3">
      <c r="A482" t="s">
        <v>783</v>
      </c>
      <c r="B482" s="1">
        <v>46087</v>
      </c>
      <c r="C482" t="s">
        <v>592</v>
      </c>
      <c r="D482" t="s">
        <v>90</v>
      </c>
      <c r="E482" t="s">
        <v>161</v>
      </c>
      <c r="F482">
        <v>4</v>
      </c>
      <c r="G482" s="2">
        <v>2600</v>
      </c>
      <c r="H482" s="3">
        <v>0</v>
      </c>
      <c r="I482" t="s">
        <v>116</v>
      </c>
      <c r="J482" t="s">
        <v>18</v>
      </c>
      <c r="K482" t="s">
        <v>41</v>
      </c>
      <c r="L482" s="2">
        <v>10400</v>
      </c>
      <c r="M482" t="s">
        <v>20</v>
      </c>
    </row>
    <row r="483" spans="1:13" x14ac:dyDescent="0.3">
      <c r="A483" t="s">
        <v>784</v>
      </c>
      <c r="B483" s="1">
        <v>46073</v>
      </c>
      <c r="C483" t="s">
        <v>399</v>
      </c>
      <c r="D483" t="s">
        <v>62</v>
      </c>
      <c r="E483" t="s">
        <v>85</v>
      </c>
      <c r="F483">
        <v>4</v>
      </c>
      <c r="G483" s="2">
        <v>48500</v>
      </c>
      <c r="H483" s="3">
        <v>0.15</v>
      </c>
      <c r="I483" t="s">
        <v>37</v>
      </c>
      <c r="J483" t="s">
        <v>18</v>
      </c>
      <c r="K483" t="s">
        <v>67</v>
      </c>
      <c r="L483" s="2">
        <v>164900</v>
      </c>
      <c r="M483" t="s">
        <v>138</v>
      </c>
    </row>
    <row r="484" spans="1:13" x14ac:dyDescent="0.3">
      <c r="A484" t="s">
        <v>785</v>
      </c>
      <c r="B484" s="1">
        <v>46063</v>
      </c>
      <c r="C484" t="s">
        <v>254</v>
      </c>
      <c r="D484" t="s">
        <v>95</v>
      </c>
      <c r="E484" t="s">
        <v>85</v>
      </c>
      <c r="F484">
        <v>1</v>
      </c>
      <c r="G484" s="2">
        <v>48500</v>
      </c>
      <c r="H484" s="3">
        <v>0.15</v>
      </c>
      <c r="I484" t="s">
        <v>17</v>
      </c>
      <c r="J484" t="s">
        <v>47</v>
      </c>
      <c r="K484" t="s">
        <v>41</v>
      </c>
      <c r="L484" s="2">
        <v>41225</v>
      </c>
      <c r="M484" t="s">
        <v>138</v>
      </c>
    </row>
    <row r="485" spans="1:13" x14ac:dyDescent="0.3">
      <c r="A485" t="s">
        <v>786</v>
      </c>
      <c r="B485" s="1">
        <v>46036</v>
      </c>
      <c r="C485" t="s">
        <v>405</v>
      </c>
      <c r="D485" t="s">
        <v>90</v>
      </c>
      <c r="E485" t="s">
        <v>74</v>
      </c>
      <c r="F485">
        <v>1</v>
      </c>
      <c r="G485" s="2">
        <v>2520</v>
      </c>
      <c r="H485" s="3">
        <v>0</v>
      </c>
      <c r="I485" t="s">
        <v>17</v>
      </c>
      <c r="J485" t="s">
        <v>31</v>
      </c>
      <c r="K485" t="s">
        <v>41</v>
      </c>
      <c r="L485" s="2">
        <v>2520</v>
      </c>
      <c r="M485" t="s">
        <v>26</v>
      </c>
    </row>
    <row r="486" spans="1:13" x14ac:dyDescent="0.3">
      <c r="A486" t="s">
        <v>787</v>
      </c>
      <c r="B486" s="1">
        <v>46172</v>
      </c>
      <c r="C486" t="s">
        <v>101</v>
      </c>
      <c r="D486" t="s">
        <v>15</v>
      </c>
      <c r="E486" t="s">
        <v>161</v>
      </c>
      <c r="F486">
        <v>4</v>
      </c>
      <c r="G486" s="2">
        <v>2730</v>
      </c>
      <c r="H486" s="3">
        <v>0</v>
      </c>
      <c r="I486" t="s">
        <v>116</v>
      </c>
      <c r="J486" t="s">
        <v>47</v>
      </c>
      <c r="K486" t="s">
        <v>19</v>
      </c>
      <c r="L486" s="2">
        <v>10920</v>
      </c>
      <c r="M486" t="s">
        <v>52</v>
      </c>
    </row>
    <row r="487" spans="1:13" x14ac:dyDescent="0.3">
      <c r="A487" t="s">
        <v>788</v>
      </c>
      <c r="B487" s="1">
        <v>46063</v>
      </c>
      <c r="C487" t="s">
        <v>99</v>
      </c>
      <c r="D487" t="s">
        <v>62</v>
      </c>
      <c r="E487" t="s">
        <v>63</v>
      </c>
      <c r="F487">
        <v>3</v>
      </c>
      <c r="G487" s="2">
        <v>2090</v>
      </c>
      <c r="H487" s="3">
        <v>0.05</v>
      </c>
      <c r="I487" t="s">
        <v>80</v>
      </c>
      <c r="J487" t="s">
        <v>47</v>
      </c>
      <c r="K487" t="s">
        <v>41</v>
      </c>
      <c r="L487" s="2">
        <v>5956.5</v>
      </c>
      <c r="M487" t="s">
        <v>82</v>
      </c>
    </row>
    <row r="488" spans="1:13" x14ac:dyDescent="0.3">
      <c r="A488" t="s">
        <v>789</v>
      </c>
      <c r="B488" s="1">
        <v>46050</v>
      </c>
      <c r="C488" t="s">
        <v>696</v>
      </c>
      <c r="D488" t="s">
        <v>50</v>
      </c>
      <c r="E488" t="s">
        <v>46</v>
      </c>
      <c r="F488">
        <v>1</v>
      </c>
      <c r="G488" s="2">
        <v>7800</v>
      </c>
      <c r="H488" s="3">
        <v>0.15</v>
      </c>
      <c r="I488" t="s">
        <v>17</v>
      </c>
      <c r="J488" t="s">
        <v>71</v>
      </c>
      <c r="K488" t="s">
        <v>19</v>
      </c>
      <c r="L488" s="2">
        <v>6630</v>
      </c>
      <c r="M488" t="s">
        <v>32</v>
      </c>
    </row>
    <row r="489" spans="1:13" x14ac:dyDescent="0.3">
      <c r="A489" t="s">
        <v>790</v>
      </c>
      <c r="B489" s="1">
        <v>46114</v>
      </c>
      <c r="C489" t="s">
        <v>355</v>
      </c>
      <c r="D489" t="s">
        <v>123</v>
      </c>
      <c r="E489" t="s">
        <v>30</v>
      </c>
      <c r="F489">
        <v>1</v>
      </c>
      <c r="G489" s="2">
        <v>1890</v>
      </c>
      <c r="H489" s="3">
        <v>0</v>
      </c>
      <c r="I489" t="s">
        <v>17</v>
      </c>
      <c r="J489" t="s">
        <v>18</v>
      </c>
      <c r="K489" t="s">
        <v>41</v>
      </c>
      <c r="L489" s="2">
        <v>1890</v>
      </c>
      <c r="M489" t="s">
        <v>48</v>
      </c>
    </row>
    <row r="490" spans="1:13" x14ac:dyDescent="0.3">
      <c r="A490" t="s">
        <v>791</v>
      </c>
      <c r="B490" s="1">
        <v>46070</v>
      </c>
      <c r="C490" t="s">
        <v>113</v>
      </c>
      <c r="D490" t="s">
        <v>152</v>
      </c>
      <c r="E490" t="s">
        <v>36</v>
      </c>
      <c r="F490">
        <v>2</v>
      </c>
      <c r="G490" s="2">
        <v>1400</v>
      </c>
      <c r="H490" s="3">
        <v>0.1</v>
      </c>
      <c r="I490" t="s">
        <v>17</v>
      </c>
      <c r="J490" t="s">
        <v>71</v>
      </c>
      <c r="K490" t="s">
        <v>55</v>
      </c>
      <c r="L490" s="2">
        <v>2520</v>
      </c>
      <c r="M490" t="s">
        <v>26</v>
      </c>
    </row>
    <row r="491" spans="1:13" x14ac:dyDescent="0.3">
      <c r="A491" t="s">
        <v>792</v>
      </c>
      <c r="B491" s="1">
        <v>46090</v>
      </c>
      <c r="C491" t="s">
        <v>576</v>
      </c>
      <c r="D491" t="s">
        <v>152</v>
      </c>
      <c r="E491" t="s">
        <v>36</v>
      </c>
      <c r="F491">
        <v>2</v>
      </c>
      <c r="G491" s="2">
        <v>1400</v>
      </c>
      <c r="H491" s="3">
        <v>0.2</v>
      </c>
      <c r="I491" t="s">
        <v>17</v>
      </c>
      <c r="J491" t="s">
        <v>47</v>
      </c>
      <c r="K491" t="s">
        <v>25</v>
      </c>
      <c r="L491" s="2">
        <v>2240</v>
      </c>
      <c r="M491" t="s">
        <v>52</v>
      </c>
    </row>
    <row r="492" spans="1:13" x14ac:dyDescent="0.3">
      <c r="A492" t="s">
        <v>793</v>
      </c>
      <c r="B492" s="1">
        <v>46105</v>
      </c>
      <c r="C492" t="s">
        <v>353</v>
      </c>
      <c r="D492" t="s">
        <v>123</v>
      </c>
      <c r="E492" t="s">
        <v>63</v>
      </c>
      <c r="F492">
        <v>3</v>
      </c>
      <c r="G492" s="2">
        <v>2200</v>
      </c>
      <c r="H492" s="3">
        <v>0.15</v>
      </c>
      <c r="I492" t="s">
        <v>17</v>
      </c>
      <c r="J492" t="s">
        <v>71</v>
      </c>
      <c r="K492" t="s">
        <v>25</v>
      </c>
      <c r="L492" s="2">
        <v>5610</v>
      </c>
      <c r="M492" t="s">
        <v>26</v>
      </c>
    </row>
    <row r="493" spans="1:13" x14ac:dyDescent="0.3">
      <c r="A493" t="s">
        <v>794</v>
      </c>
      <c r="B493" s="1">
        <v>46105</v>
      </c>
      <c r="C493" t="s">
        <v>795</v>
      </c>
      <c r="D493" t="s">
        <v>70</v>
      </c>
      <c r="E493" t="s">
        <v>74</v>
      </c>
      <c r="F493">
        <v>2</v>
      </c>
      <c r="G493" s="2">
        <v>2280</v>
      </c>
      <c r="H493" s="3">
        <v>0</v>
      </c>
      <c r="I493" t="s">
        <v>17</v>
      </c>
      <c r="J493" t="s">
        <v>71</v>
      </c>
      <c r="K493" t="s">
        <v>41</v>
      </c>
      <c r="L493" s="2">
        <v>4560</v>
      </c>
      <c r="M493" t="s">
        <v>20</v>
      </c>
    </row>
    <row r="494" spans="1:13" x14ac:dyDescent="0.3">
      <c r="A494" t="s">
        <v>796</v>
      </c>
      <c r="B494" s="1">
        <v>46074</v>
      </c>
      <c r="C494" t="s">
        <v>409</v>
      </c>
      <c r="D494" t="s">
        <v>15</v>
      </c>
      <c r="E494" t="s">
        <v>46</v>
      </c>
      <c r="F494">
        <v>1</v>
      </c>
      <c r="G494" s="2">
        <v>8190</v>
      </c>
      <c r="H494" s="3">
        <v>0</v>
      </c>
      <c r="I494" t="s">
        <v>17</v>
      </c>
      <c r="J494" t="s">
        <v>47</v>
      </c>
      <c r="K494" t="s">
        <v>19</v>
      </c>
      <c r="L494" s="2">
        <v>8190</v>
      </c>
      <c r="M494" t="s">
        <v>138</v>
      </c>
    </row>
    <row r="495" spans="1:13" x14ac:dyDescent="0.3">
      <c r="A495" t="s">
        <v>797</v>
      </c>
      <c r="B495" s="1">
        <v>46079</v>
      </c>
      <c r="C495" t="s">
        <v>798</v>
      </c>
      <c r="D495" t="s">
        <v>40</v>
      </c>
      <c r="E495" t="s">
        <v>85</v>
      </c>
      <c r="F495">
        <v>1</v>
      </c>
      <c r="G495" s="2">
        <v>46075</v>
      </c>
      <c r="H495" s="3">
        <v>0</v>
      </c>
      <c r="I495" t="s">
        <v>17</v>
      </c>
      <c r="J495" t="s">
        <v>31</v>
      </c>
      <c r="K495" t="s">
        <v>67</v>
      </c>
      <c r="L495" s="2">
        <v>46075</v>
      </c>
      <c r="M495" t="s">
        <v>82</v>
      </c>
    </row>
    <row r="496" spans="1:13" x14ac:dyDescent="0.3">
      <c r="A496" t="s">
        <v>799</v>
      </c>
      <c r="B496" s="1">
        <v>46129</v>
      </c>
      <c r="C496" t="s">
        <v>125</v>
      </c>
      <c r="D496" t="s">
        <v>90</v>
      </c>
      <c r="E496" t="s">
        <v>36</v>
      </c>
      <c r="F496">
        <v>4</v>
      </c>
      <c r="G496" s="2">
        <v>1400</v>
      </c>
      <c r="H496" s="3">
        <v>0</v>
      </c>
      <c r="I496" t="s">
        <v>17</v>
      </c>
      <c r="J496" t="s">
        <v>31</v>
      </c>
      <c r="K496" t="s">
        <v>67</v>
      </c>
      <c r="L496" s="2">
        <v>5600</v>
      </c>
      <c r="M496" t="s">
        <v>42</v>
      </c>
    </row>
    <row r="497" spans="1:13" x14ac:dyDescent="0.3">
      <c r="A497" t="s">
        <v>800</v>
      </c>
      <c r="B497" s="1">
        <v>46078</v>
      </c>
      <c r="C497" t="s">
        <v>801</v>
      </c>
      <c r="D497" t="s">
        <v>152</v>
      </c>
      <c r="E497" t="s">
        <v>63</v>
      </c>
      <c r="F497">
        <v>1</v>
      </c>
      <c r="G497" s="2">
        <v>2200</v>
      </c>
      <c r="H497" s="3">
        <v>0</v>
      </c>
      <c r="I497" t="s">
        <v>17</v>
      </c>
      <c r="J497" t="s">
        <v>71</v>
      </c>
      <c r="K497" t="s">
        <v>25</v>
      </c>
      <c r="L497" s="2">
        <v>2200</v>
      </c>
      <c r="M497" t="s">
        <v>59</v>
      </c>
    </row>
    <row r="498" spans="1:13" x14ac:dyDescent="0.3">
      <c r="A498" t="s">
        <v>802</v>
      </c>
      <c r="B498" s="1">
        <v>46165</v>
      </c>
      <c r="C498" t="s">
        <v>274</v>
      </c>
      <c r="D498" t="s">
        <v>123</v>
      </c>
      <c r="E498" t="s">
        <v>51</v>
      </c>
      <c r="F498">
        <v>2</v>
      </c>
      <c r="G498" s="2">
        <v>18500</v>
      </c>
      <c r="H498" s="3">
        <v>0</v>
      </c>
      <c r="I498" t="s">
        <v>17</v>
      </c>
      <c r="J498" t="s">
        <v>18</v>
      </c>
      <c r="K498" t="s">
        <v>19</v>
      </c>
      <c r="L498" s="2">
        <v>37000</v>
      </c>
      <c r="M498" t="s">
        <v>59</v>
      </c>
    </row>
    <row r="499" spans="1:13" x14ac:dyDescent="0.3">
      <c r="A499" t="s">
        <v>803</v>
      </c>
      <c r="B499" s="1">
        <v>46069</v>
      </c>
      <c r="C499" t="s">
        <v>581</v>
      </c>
      <c r="D499" t="s">
        <v>152</v>
      </c>
      <c r="E499" t="s">
        <v>161</v>
      </c>
      <c r="F499">
        <v>2</v>
      </c>
      <c r="G499" s="2">
        <v>2730</v>
      </c>
      <c r="H499" s="3">
        <v>0.2</v>
      </c>
      <c r="I499" t="s">
        <v>17</v>
      </c>
      <c r="J499" t="s">
        <v>47</v>
      </c>
      <c r="K499" t="s">
        <v>25</v>
      </c>
      <c r="L499" s="2">
        <v>4368</v>
      </c>
      <c r="M499" t="s">
        <v>138</v>
      </c>
    </row>
    <row r="500" spans="1:13" x14ac:dyDescent="0.3">
      <c r="A500" t="s">
        <v>804</v>
      </c>
      <c r="B500" s="1">
        <v>46118</v>
      </c>
      <c r="C500" t="s">
        <v>89</v>
      </c>
      <c r="D500" t="s">
        <v>70</v>
      </c>
      <c r="E500" t="s">
        <v>74</v>
      </c>
      <c r="F500">
        <v>2</v>
      </c>
      <c r="G500" s="2">
        <v>2400</v>
      </c>
      <c r="H500" s="3">
        <v>0.2</v>
      </c>
      <c r="I500" t="s">
        <v>17</v>
      </c>
      <c r="J500" t="s">
        <v>18</v>
      </c>
      <c r="K500" t="s">
        <v>25</v>
      </c>
      <c r="L500" s="2">
        <v>3840</v>
      </c>
      <c r="M500" t="s">
        <v>26</v>
      </c>
    </row>
    <row r="501" spans="1:13" x14ac:dyDescent="0.3">
      <c r="A501" t="s">
        <v>805</v>
      </c>
      <c r="B501" s="1">
        <v>46115</v>
      </c>
      <c r="C501" t="s">
        <v>467</v>
      </c>
      <c r="D501" t="s">
        <v>62</v>
      </c>
      <c r="E501" t="s">
        <v>46</v>
      </c>
      <c r="F501">
        <v>8</v>
      </c>
      <c r="G501" s="2">
        <v>7800</v>
      </c>
      <c r="H501" s="3">
        <v>0</v>
      </c>
      <c r="I501" t="s">
        <v>17</v>
      </c>
      <c r="J501" t="s">
        <v>71</v>
      </c>
      <c r="K501" t="s">
        <v>67</v>
      </c>
      <c r="L501" s="2">
        <v>62400</v>
      </c>
    </row>
    <row r="502" spans="1:13" x14ac:dyDescent="0.3">
      <c r="A502" t="s">
        <v>806</v>
      </c>
      <c r="B502" s="1">
        <v>46099</v>
      </c>
      <c r="C502" t="s">
        <v>101</v>
      </c>
      <c r="D502" t="s">
        <v>23</v>
      </c>
      <c r="E502" t="s">
        <v>24</v>
      </c>
      <c r="F502">
        <v>5</v>
      </c>
      <c r="G502" s="2">
        <v>11200</v>
      </c>
      <c r="H502" s="3">
        <v>0</v>
      </c>
      <c r="I502" t="s">
        <v>17</v>
      </c>
      <c r="J502" t="s">
        <v>31</v>
      </c>
      <c r="K502" t="s">
        <v>19</v>
      </c>
      <c r="L502" s="2">
        <v>56000</v>
      </c>
      <c r="M502" t="s">
        <v>56</v>
      </c>
    </row>
    <row r="503" spans="1:13" x14ac:dyDescent="0.3">
      <c r="A503" t="s">
        <v>807</v>
      </c>
      <c r="B503" s="1">
        <v>46114</v>
      </c>
      <c r="C503" t="s">
        <v>115</v>
      </c>
      <c r="D503" t="s">
        <v>50</v>
      </c>
      <c r="E503" t="s">
        <v>30</v>
      </c>
      <c r="F503">
        <v>1</v>
      </c>
      <c r="G503" s="2">
        <v>1800</v>
      </c>
      <c r="H503" s="3">
        <v>0.15</v>
      </c>
      <c r="I503" t="s">
        <v>17</v>
      </c>
      <c r="J503" t="s">
        <v>31</v>
      </c>
      <c r="K503" t="s">
        <v>25</v>
      </c>
      <c r="L503" s="2">
        <v>1530</v>
      </c>
      <c r="M503" t="s">
        <v>32</v>
      </c>
    </row>
    <row r="504" spans="1:13" x14ac:dyDescent="0.3">
      <c r="A504" t="s">
        <v>808</v>
      </c>
      <c r="B504" s="1">
        <v>46168</v>
      </c>
      <c r="C504" t="s">
        <v>809</v>
      </c>
      <c r="D504" t="s">
        <v>77</v>
      </c>
      <c r="E504" t="s">
        <v>24</v>
      </c>
      <c r="F504">
        <v>4</v>
      </c>
      <c r="G504" s="2">
        <v>11760</v>
      </c>
      <c r="H504" s="3">
        <v>0.2</v>
      </c>
      <c r="I504" t="s">
        <v>17</v>
      </c>
      <c r="J504" t="s">
        <v>18</v>
      </c>
      <c r="K504" t="s">
        <v>25</v>
      </c>
      <c r="L504" s="2">
        <v>37632</v>
      </c>
      <c r="M504" t="s">
        <v>42</v>
      </c>
    </row>
    <row r="505" spans="1:13" x14ac:dyDescent="0.3">
      <c r="A505" t="s">
        <v>810</v>
      </c>
      <c r="B505" s="1">
        <v>46175</v>
      </c>
      <c r="C505" t="s">
        <v>811</v>
      </c>
      <c r="D505" t="s">
        <v>95</v>
      </c>
      <c r="E505" t="s">
        <v>135</v>
      </c>
      <c r="F505">
        <v>1</v>
      </c>
      <c r="G505" s="2">
        <v>15960</v>
      </c>
      <c r="H505" s="3">
        <v>0.15</v>
      </c>
      <c r="I505" t="s">
        <v>17</v>
      </c>
      <c r="J505" t="s">
        <v>47</v>
      </c>
      <c r="K505" t="s">
        <v>55</v>
      </c>
      <c r="L505" s="2">
        <v>13566</v>
      </c>
      <c r="M505" t="s">
        <v>32</v>
      </c>
    </row>
    <row r="506" spans="1:13" x14ac:dyDescent="0.3">
      <c r="A506" t="s">
        <v>812</v>
      </c>
      <c r="B506" s="1">
        <v>46053</v>
      </c>
      <c r="C506" t="s">
        <v>196</v>
      </c>
      <c r="D506" t="s">
        <v>90</v>
      </c>
      <c r="E506" t="s">
        <v>24</v>
      </c>
      <c r="F506">
        <v>4</v>
      </c>
      <c r="G506" s="2">
        <v>11760</v>
      </c>
      <c r="H506" s="3">
        <v>0.15</v>
      </c>
      <c r="I506" t="s">
        <v>80</v>
      </c>
      <c r="J506" t="s">
        <v>47</v>
      </c>
      <c r="K506" t="s">
        <v>25</v>
      </c>
      <c r="L506" s="2">
        <v>39984</v>
      </c>
      <c r="M506" t="s">
        <v>20</v>
      </c>
    </row>
    <row r="507" spans="1:13" x14ac:dyDescent="0.3">
      <c r="A507" t="s">
        <v>813</v>
      </c>
      <c r="B507" s="1">
        <v>46104</v>
      </c>
      <c r="C507" t="s">
        <v>572</v>
      </c>
      <c r="D507" t="s">
        <v>152</v>
      </c>
      <c r="E507" t="s">
        <v>183</v>
      </c>
      <c r="F507">
        <v>1</v>
      </c>
      <c r="G507" s="2">
        <v>3200</v>
      </c>
      <c r="H507" s="3">
        <v>0.15</v>
      </c>
      <c r="I507" t="s">
        <v>17</v>
      </c>
      <c r="J507" t="s">
        <v>18</v>
      </c>
      <c r="K507" t="s">
        <v>55</v>
      </c>
      <c r="L507" s="2">
        <v>2720</v>
      </c>
      <c r="M507" t="s">
        <v>48</v>
      </c>
    </row>
    <row r="508" spans="1:13" x14ac:dyDescent="0.3">
      <c r="A508" t="s">
        <v>814</v>
      </c>
      <c r="B508" s="1">
        <v>46170</v>
      </c>
      <c r="C508" t="s">
        <v>326</v>
      </c>
      <c r="D508" t="s">
        <v>152</v>
      </c>
      <c r="E508" t="s">
        <v>63</v>
      </c>
      <c r="F508">
        <v>1</v>
      </c>
      <c r="G508" s="2">
        <v>2200</v>
      </c>
      <c r="H508" s="3">
        <v>0.05</v>
      </c>
      <c r="I508" t="s">
        <v>17</v>
      </c>
      <c r="J508" t="s">
        <v>47</v>
      </c>
      <c r="K508" t="s">
        <v>19</v>
      </c>
      <c r="L508" s="2">
        <v>2090</v>
      </c>
      <c r="M508" t="s">
        <v>56</v>
      </c>
    </row>
    <row r="509" spans="1:13" x14ac:dyDescent="0.3">
      <c r="A509" t="s">
        <v>815</v>
      </c>
      <c r="B509" s="1">
        <v>46169</v>
      </c>
      <c r="C509" t="s">
        <v>269</v>
      </c>
      <c r="D509" t="s">
        <v>123</v>
      </c>
      <c r="E509" t="s">
        <v>16</v>
      </c>
      <c r="F509">
        <v>2</v>
      </c>
      <c r="G509" s="2">
        <v>682.5</v>
      </c>
      <c r="H509" s="3">
        <v>0.05</v>
      </c>
      <c r="I509" t="s">
        <v>17</v>
      </c>
      <c r="J509" t="s">
        <v>71</v>
      </c>
      <c r="K509" t="s">
        <v>55</v>
      </c>
      <c r="L509" s="2">
        <v>1296.75</v>
      </c>
      <c r="M509" t="s">
        <v>82</v>
      </c>
    </row>
    <row r="510" spans="1:13" x14ac:dyDescent="0.3">
      <c r="A510" t="s">
        <v>816</v>
      </c>
      <c r="B510" s="1">
        <v>46073</v>
      </c>
      <c r="C510" t="s">
        <v>414</v>
      </c>
      <c r="D510" t="s">
        <v>62</v>
      </c>
      <c r="E510" t="s">
        <v>161</v>
      </c>
      <c r="F510">
        <v>3</v>
      </c>
      <c r="G510" s="2">
        <v>2600</v>
      </c>
      <c r="H510" s="3">
        <v>0</v>
      </c>
      <c r="I510" t="s">
        <v>17</v>
      </c>
      <c r="J510" t="s">
        <v>31</v>
      </c>
      <c r="K510" t="s">
        <v>67</v>
      </c>
      <c r="L510" s="2">
        <v>7800</v>
      </c>
      <c r="M510" t="s">
        <v>32</v>
      </c>
    </row>
    <row r="511" spans="1:13" x14ac:dyDescent="0.3">
      <c r="A511" t="s">
        <v>817</v>
      </c>
      <c r="B511" s="1">
        <v>46105</v>
      </c>
      <c r="C511" t="s">
        <v>818</v>
      </c>
      <c r="E511" t="s">
        <v>183</v>
      </c>
      <c r="F511">
        <v>1</v>
      </c>
      <c r="G511" s="2">
        <v>3200</v>
      </c>
      <c r="H511" s="3">
        <v>0.2</v>
      </c>
      <c r="I511" t="s">
        <v>17</v>
      </c>
      <c r="J511" t="s">
        <v>71</v>
      </c>
      <c r="K511" t="s">
        <v>67</v>
      </c>
      <c r="L511" s="2">
        <v>2560</v>
      </c>
      <c r="M511" t="s">
        <v>138</v>
      </c>
    </row>
    <row r="512" spans="1:13" x14ac:dyDescent="0.3">
      <c r="A512" t="s">
        <v>819</v>
      </c>
      <c r="B512" s="1">
        <v>46175</v>
      </c>
      <c r="C512" t="s">
        <v>820</v>
      </c>
      <c r="D512" t="s">
        <v>95</v>
      </c>
      <c r="E512" t="s">
        <v>16</v>
      </c>
      <c r="F512">
        <v>4</v>
      </c>
      <c r="G512" s="2">
        <v>682.5</v>
      </c>
      <c r="H512" s="3">
        <v>0</v>
      </c>
      <c r="I512" t="s">
        <v>116</v>
      </c>
      <c r="J512" t="s">
        <v>18</v>
      </c>
      <c r="K512" t="s">
        <v>19</v>
      </c>
      <c r="L512" s="2">
        <v>2730</v>
      </c>
      <c r="M512" t="s">
        <v>52</v>
      </c>
    </row>
    <row r="513" spans="1:13" x14ac:dyDescent="0.3">
      <c r="A513" t="s">
        <v>821</v>
      </c>
      <c r="B513" s="1">
        <v>46074</v>
      </c>
      <c r="C513" t="s">
        <v>196</v>
      </c>
      <c r="D513" t="s">
        <v>95</v>
      </c>
      <c r="E513" t="s">
        <v>36</v>
      </c>
      <c r="F513">
        <v>1</v>
      </c>
      <c r="G513" s="2">
        <v>1330</v>
      </c>
      <c r="H513" s="3">
        <v>0.2</v>
      </c>
      <c r="I513" t="s">
        <v>66</v>
      </c>
      <c r="J513" t="s">
        <v>71</v>
      </c>
      <c r="K513" t="s">
        <v>25</v>
      </c>
      <c r="L513" s="2">
        <v>1064</v>
      </c>
      <c r="M513" t="s">
        <v>59</v>
      </c>
    </row>
    <row r="514" spans="1:13" x14ac:dyDescent="0.3">
      <c r="A514" t="s">
        <v>822</v>
      </c>
      <c r="B514" s="1">
        <v>46096</v>
      </c>
      <c r="C514" t="s">
        <v>507</v>
      </c>
      <c r="D514" t="s">
        <v>168</v>
      </c>
      <c r="E514" t="s">
        <v>36</v>
      </c>
      <c r="F514">
        <v>3</v>
      </c>
      <c r="G514" s="2">
        <v>1470</v>
      </c>
      <c r="H514" s="3">
        <v>0</v>
      </c>
      <c r="I514" t="s">
        <v>17</v>
      </c>
      <c r="J514" t="s">
        <v>47</v>
      </c>
      <c r="K514" t="s">
        <v>41</v>
      </c>
      <c r="L514" s="2">
        <v>4410</v>
      </c>
      <c r="M514" t="s">
        <v>82</v>
      </c>
    </row>
    <row r="515" spans="1:13" x14ac:dyDescent="0.3">
      <c r="A515" t="s">
        <v>823</v>
      </c>
      <c r="B515" s="1">
        <v>46077</v>
      </c>
      <c r="C515" t="s">
        <v>576</v>
      </c>
      <c r="D515" t="s">
        <v>23</v>
      </c>
      <c r="E515" t="s">
        <v>51</v>
      </c>
      <c r="F515">
        <v>2</v>
      </c>
      <c r="G515" s="2">
        <v>18500</v>
      </c>
      <c r="H515" s="3">
        <v>0.05</v>
      </c>
      <c r="I515" t="s">
        <v>17</v>
      </c>
      <c r="J515" t="s">
        <v>18</v>
      </c>
      <c r="K515" t="s">
        <v>25</v>
      </c>
      <c r="L515" s="2">
        <v>35150</v>
      </c>
      <c r="M515" t="s">
        <v>82</v>
      </c>
    </row>
    <row r="516" spans="1:13" x14ac:dyDescent="0.3">
      <c r="A516" t="s">
        <v>824</v>
      </c>
      <c r="B516" s="1">
        <v>46034</v>
      </c>
      <c r="C516" t="s">
        <v>196</v>
      </c>
      <c r="D516" t="s">
        <v>45</v>
      </c>
      <c r="E516" t="s">
        <v>30</v>
      </c>
      <c r="F516">
        <v>1</v>
      </c>
      <c r="G516" s="2">
        <v>1800</v>
      </c>
      <c r="H516" s="3">
        <v>0</v>
      </c>
      <c r="I516" t="s">
        <v>17</v>
      </c>
      <c r="J516" t="s">
        <v>18</v>
      </c>
      <c r="K516" t="s">
        <v>19</v>
      </c>
      <c r="L516" s="2">
        <v>1800</v>
      </c>
      <c r="M516" t="s">
        <v>42</v>
      </c>
    </row>
    <row r="517" spans="1:13" x14ac:dyDescent="0.3">
      <c r="A517" t="s">
        <v>825</v>
      </c>
      <c r="B517" s="1">
        <v>46122</v>
      </c>
      <c r="C517" t="s">
        <v>576</v>
      </c>
      <c r="D517" t="s">
        <v>95</v>
      </c>
      <c r="E517" t="s">
        <v>135</v>
      </c>
      <c r="F517">
        <v>3</v>
      </c>
      <c r="G517" s="2">
        <v>15960</v>
      </c>
      <c r="H517" s="3">
        <v>0.2</v>
      </c>
      <c r="I517" t="s">
        <v>17</v>
      </c>
      <c r="J517" t="s">
        <v>47</v>
      </c>
      <c r="K517" t="s">
        <v>55</v>
      </c>
      <c r="L517" s="2">
        <v>38304</v>
      </c>
      <c r="M517" t="s">
        <v>52</v>
      </c>
    </row>
    <row r="518" spans="1:13" x14ac:dyDescent="0.3">
      <c r="A518" t="s">
        <v>826</v>
      </c>
      <c r="B518" s="1">
        <v>46120</v>
      </c>
      <c r="C518" t="s">
        <v>484</v>
      </c>
      <c r="D518" t="s">
        <v>152</v>
      </c>
      <c r="E518" t="s">
        <v>85</v>
      </c>
      <c r="F518">
        <v>1</v>
      </c>
      <c r="G518" s="2">
        <v>46075</v>
      </c>
      <c r="H518" s="3">
        <v>0.05</v>
      </c>
      <c r="I518" t="s">
        <v>17</v>
      </c>
      <c r="J518" t="s">
        <v>71</v>
      </c>
      <c r="K518" t="s">
        <v>25</v>
      </c>
      <c r="L518" s="2">
        <v>43771.25</v>
      </c>
      <c r="M518" t="s">
        <v>56</v>
      </c>
    </row>
    <row r="519" spans="1:13" x14ac:dyDescent="0.3">
      <c r="A519" t="s">
        <v>827</v>
      </c>
      <c r="B519" s="1">
        <v>46166</v>
      </c>
      <c r="C519" t="s">
        <v>346</v>
      </c>
      <c r="D519" t="s">
        <v>77</v>
      </c>
      <c r="E519" t="s">
        <v>85</v>
      </c>
      <c r="F519">
        <v>1</v>
      </c>
      <c r="G519" s="2">
        <v>48500</v>
      </c>
      <c r="H519" s="3">
        <v>0</v>
      </c>
      <c r="I519" t="s">
        <v>80</v>
      </c>
      <c r="J519" t="s">
        <v>18</v>
      </c>
      <c r="K519" t="s">
        <v>55</v>
      </c>
      <c r="L519" s="2">
        <v>48500</v>
      </c>
      <c r="M519" t="s">
        <v>59</v>
      </c>
    </row>
    <row r="520" spans="1:13" x14ac:dyDescent="0.3">
      <c r="A520" t="s">
        <v>828</v>
      </c>
      <c r="B520" s="1">
        <v>46027</v>
      </c>
      <c r="C520" t="s">
        <v>426</v>
      </c>
      <c r="D520" t="s">
        <v>35</v>
      </c>
      <c r="E520" t="s">
        <v>74</v>
      </c>
      <c r="F520">
        <v>2</v>
      </c>
      <c r="G520" s="2">
        <v>2400</v>
      </c>
      <c r="H520" s="3">
        <v>0.2</v>
      </c>
      <c r="I520" t="s">
        <v>17</v>
      </c>
      <c r="J520" t="s">
        <v>47</v>
      </c>
      <c r="K520" t="s">
        <v>55</v>
      </c>
      <c r="L520" s="2">
        <v>3840</v>
      </c>
      <c r="M520" t="s">
        <v>20</v>
      </c>
    </row>
    <row r="521" spans="1:13" x14ac:dyDescent="0.3">
      <c r="A521" t="s">
        <v>829</v>
      </c>
      <c r="B521" s="1">
        <v>46165</v>
      </c>
      <c r="C521" t="s">
        <v>258</v>
      </c>
      <c r="D521" t="s">
        <v>45</v>
      </c>
      <c r="E521" t="s">
        <v>24</v>
      </c>
      <c r="F521">
        <v>1</v>
      </c>
      <c r="G521" s="2">
        <v>10640</v>
      </c>
      <c r="H521" s="3">
        <v>0.1</v>
      </c>
      <c r="I521" t="s">
        <v>17</v>
      </c>
      <c r="J521" t="s">
        <v>71</v>
      </c>
      <c r="K521" t="s">
        <v>55</v>
      </c>
      <c r="L521" s="2">
        <v>9576</v>
      </c>
      <c r="M521" t="s">
        <v>52</v>
      </c>
    </row>
    <row r="522" spans="1:13" x14ac:dyDescent="0.3">
      <c r="A522" t="s">
        <v>830</v>
      </c>
      <c r="B522" s="1">
        <v>46169</v>
      </c>
      <c r="C522" t="s">
        <v>623</v>
      </c>
      <c r="D522" t="s">
        <v>50</v>
      </c>
      <c r="E522" t="s">
        <v>161</v>
      </c>
      <c r="F522">
        <v>10</v>
      </c>
      <c r="G522" s="2">
        <v>2600</v>
      </c>
      <c r="H522" s="3">
        <v>0.15</v>
      </c>
      <c r="I522" t="s">
        <v>17</v>
      </c>
      <c r="J522" t="s">
        <v>71</v>
      </c>
      <c r="K522" t="s">
        <v>25</v>
      </c>
      <c r="L522" s="2">
        <v>22100</v>
      </c>
      <c r="M522" t="s">
        <v>82</v>
      </c>
    </row>
    <row r="523" spans="1:13" x14ac:dyDescent="0.3">
      <c r="A523" t="s">
        <v>831</v>
      </c>
      <c r="B523" s="1">
        <v>46198</v>
      </c>
      <c r="C523" t="s">
        <v>279</v>
      </c>
      <c r="D523" t="s">
        <v>29</v>
      </c>
      <c r="E523" t="s">
        <v>24</v>
      </c>
      <c r="F523">
        <v>5</v>
      </c>
      <c r="G523" s="2">
        <v>11200</v>
      </c>
      <c r="H523" s="3">
        <v>0.05</v>
      </c>
      <c r="I523" t="s">
        <v>17</v>
      </c>
      <c r="J523" t="s">
        <v>71</v>
      </c>
      <c r="K523" t="s">
        <v>25</v>
      </c>
      <c r="L523" s="2">
        <v>53200</v>
      </c>
      <c r="M523" t="s">
        <v>59</v>
      </c>
    </row>
    <row r="524" spans="1:13" x14ac:dyDescent="0.3">
      <c r="A524" t="s">
        <v>832</v>
      </c>
      <c r="B524" s="1">
        <v>46104</v>
      </c>
      <c r="C524" t="s">
        <v>820</v>
      </c>
      <c r="D524" t="s">
        <v>15</v>
      </c>
      <c r="E524" t="s">
        <v>51</v>
      </c>
      <c r="F524">
        <v>2</v>
      </c>
      <c r="G524" s="2">
        <v>18500</v>
      </c>
      <c r="H524" s="3">
        <v>0.2</v>
      </c>
      <c r="I524" t="s">
        <v>17</v>
      </c>
      <c r="J524" t="s">
        <v>31</v>
      </c>
      <c r="K524" t="s">
        <v>67</v>
      </c>
      <c r="L524" s="2">
        <v>29600</v>
      </c>
      <c r="M524" t="s">
        <v>32</v>
      </c>
    </row>
    <row r="525" spans="1:13" x14ac:dyDescent="0.3">
      <c r="A525" t="s">
        <v>833</v>
      </c>
      <c r="B525" s="1">
        <v>46128</v>
      </c>
      <c r="C525" t="s">
        <v>200</v>
      </c>
      <c r="D525" t="s">
        <v>45</v>
      </c>
      <c r="E525" t="s">
        <v>46</v>
      </c>
      <c r="F525">
        <v>4</v>
      </c>
      <c r="G525" s="2">
        <v>7800</v>
      </c>
      <c r="H525" s="3">
        <v>0.2</v>
      </c>
      <c r="I525" t="s">
        <v>80</v>
      </c>
      <c r="J525" t="s">
        <v>71</v>
      </c>
      <c r="K525" t="s">
        <v>19</v>
      </c>
      <c r="L525" s="2">
        <v>24960</v>
      </c>
      <c r="M525" t="s">
        <v>59</v>
      </c>
    </row>
    <row r="526" spans="1:13" x14ac:dyDescent="0.3">
      <c r="A526" t="s">
        <v>834</v>
      </c>
      <c r="B526" s="1">
        <v>46070</v>
      </c>
      <c r="C526" t="s">
        <v>158</v>
      </c>
      <c r="D526" t="s">
        <v>168</v>
      </c>
      <c r="E526" t="s">
        <v>183</v>
      </c>
      <c r="F526">
        <v>3</v>
      </c>
      <c r="G526" s="2">
        <v>3200</v>
      </c>
      <c r="H526" s="3">
        <v>0.15</v>
      </c>
      <c r="I526" t="s">
        <v>17</v>
      </c>
      <c r="J526" t="s">
        <v>71</v>
      </c>
      <c r="K526" t="s">
        <v>19</v>
      </c>
      <c r="L526" s="2">
        <v>8160</v>
      </c>
      <c r="M526" t="s">
        <v>138</v>
      </c>
    </row>
    <row r="527" spans="1:13" x14ac:dyDescent="0.3">
      <c r="A527" t="s">
        <v>835</v>
      </c>
      <c r="B527" s="1">
        <v>46043</v>
      </c>
      <c r="C527" t="s">
        <v>198</v>
      </c>
      <c r="D527" t="s">
        <v>123</v>
      </c>
      <c r="E527" t="s">
        <v>46</v>
      </c>
      <c r="F527">
        <v>1</v>
      </c>
      <c r="G527" s="2">
        <v>7800</v>
      </c>
      <c r="H527" s="3">
        <v>0.15</v>
      </c>
      <c r="I527" t="s">
        <v>17</v>
      </c>
      <c r="J527" t="s">
        <v>18</v>
      </c>
      <c r="K527" t="s">
        <v>55</v>
      </c>
      <c r="L527" s="2">
        <v>6630</v>
      </c>
      <c r="M527" t="s">
        <v>56</v>
      </c>
    </row>
    <row r="528" spans="1:13" x14ac:dyDescent="0.3">
      <c r="A528" t="s">
        <v>836</v>
      </c>
      <c r="B528" s="1">
        <v>46058</v>
      </c>
      <c r="C528" t="s">
        <v>473</v>
      </c>
      <c r="D528" t="s">
        <v>50</v>
      </c>
      <c r="E528" t="s">
        <v>24</v>
      </c>
      <c r="F528">
        <v>1</v>
      </c>
      <c r="G528" s="2">
        <v>10640</v>
      </c>
      <c r="H528" s="3">
        <v>0.1</v>
      </c>
      <c r="I528" t="s">
        <v>17</v>
      </c>
      <c r="J528" t="s">
        <v>18</v>
      </c>
      <c r="K528" t="s">
        <v>41</v>
      </c>
      <c r="L528" s="2">
        <v>9576</v>
      </c>
      <c r="M528" t="s">
        <v>52</v>
      </c>
    </row>
    <row r="529" spans="1:13" x14ac:dyDescent="0.3">
      <c r="A529" t="s">
        <v>837</v>
      </c>
      <c r="B529" s="1">
        <v>46075</v>
      </c>
      <c r="C529" t="s">
        <v>405</v>
      </c>
      <c r="D529" t="s">
        <v>15</v>
      </c>
      <c r="E529" t="s">
        <v>30</v>
      </c>
      <c r="F529">
        <v>8</v>
      </c>
      <c r="G529" s="2">
        <v>1890</v>
      </c>
      <c r="H529" s="3">
        <v>0.1</v>
      </c>
      <c r="I529" t="s">
        <v>66</v>
      </c>
      <c r="J529" t="s">
        <v>18</v>
      </c>
      <c r="K529" t="s">
        <v>41</v>
      </c>
      <c r="L529" s="2">
        <v>13608</v>
      </c>
      <c r="M529" t="s">
        <v>32</v>
      </c>
    </row>
    <row r="530" spans="1:13" x14ac:dyDescent="0.3">
      <c r="A530" t="s">
        <v>838</v>
      </c>
      <c r="B530" s="1">
        <v>46126</v>
      </c>
      <c r="C530" t="s">
        <v>419</v>
      </c>
      <c r="D530" t="s">
        <v>29</v>
      </c>
      <c r="E530" t="s">
        <v>16</v>
      </c>
      <c r="F530">
        <v>3</v>
      </c>
      <c r="G530" s="2">
        <v>682.5</v>
      </c>
      <c r="H530" s="3">
        <v>0.1</v>
      </c>
      <c r="I530" t="s">
        <v>17</v>
      </c>
      <c r="J530" t="s">
        <v>31</v>
      </c>
      <c r="K530" t="s">
        <v>495</v>
      </c>
      <c r="L530" s="2">
        <v>1842.75</v>
      </c>
      <c r="M530" t="s">
        <v>56</v>
      </c>
    </row>
    <row r="531" spans="1:13" x14ac:dyDescent="0.3">
      <c r="A531" t="s">
        <v>839</v>
      </c>
      <c r="B531" s="1">
        <v>46033</v>
      </c>
      <c r="C531" t="s">
        <v>319</v>
      </c>
      <c r="D531" t="s">
        <v>77</v>
      </c>
      <c r="E531" t="s">
        <v>24</v>
      </c>
      <c r="F531">
        <v>2</v>
      </c>
      <c r="G531" s="2">
        <v>10640</v>
      </c>
      <c r="H531" s="3">
        <v>0.1</v>
      </c>
      <c r="I531" t="s">
        <v>116</v>
      </c>
      <c r="J531" t="s">
        <v>31</v>
      </c>
      <c r="K531" t="s">
        <v>41</v>
      </c>
      <c r="L531" s="2">
        <v>19152</v>
      </c>
      <c r="M531" t="s">
        <v>26</v>
      </c>
    </row>
    <row r="532" spans="1:13" x14ac:dyDescent="0.3">
      <c r="A532" t="s">
        <v>840</v>
      </c>
      <c r="B532" s="1">
        <v>46135</v>
      </c>
      <c r="C532" t="s">
        <v>355</v>
      </c>
      <c r="D532" t="s">
        <v>70</v>
      </c>
      <c r="E532" t="s">
        <v>135</v>
      </c>
      <c r="F532">
        <v>4</v>
      </c>
      <c r="G532" s="2">
        <v>17640</v>
      </c>
      <c r="H532" s="3">
        <v>0.05</v>
      </c>
      <c r="I532" t="s">
        <v>17</v>
      </c>
      <c r="J532" t="s">
        <v>31</v>
      </c>
      <c r="K532" t="s">
        <v>25</v>
      </c>
      <c r="L532" s="2">
        <v>67032</v>
      </c>
      <c r="M532" t="s">
        <v>59</v>
      </c>
    </row>
    <row r="533" spans="1:13" x14ac:dyDescent="0.3">
      <c r="A533" t="s">
        <v>841</v>
      </c>
      <c r="B533" s="1">
        <v>46141</v>
      </c>
      <c r="C533" t="s">
        <v>167</v>
      </c>
      <c r="D533" t="s">
        <v>90</v>
      </c>
      <c r="E533" t="s">
        <v>74</v>
      </c>
      <c r="F533">
        <v>2</v>
      </c>
      <c r="G533" s="2">
        <v>2400</v>
      </c>
      <c r="H533" s="3">
        <v>0.2</v>
      </c>
      <c r="I533" t="s">
        <v>17</v>
      </c>
      <c r="J533" t="s">
        <v>18</v>
      </c>
      <c r="K533" t="s">
        <v>55</v>
      </c>
      <c r="L533" s="2">
        <v>3840</v>
      </c>
      <c r="M533" t="s">
        <v>138</v>
      </c>
    </row>
    <row r="534" spans="1:13" x14ac:dyDescent="0.3">
      <c r="A534" t="s">
        <v>842</v>
      </c>
      <c r="B534" s="1">
        <v>46138</v>
      </c>
      <c r="C534" t="s">
        <v>843</v>
      </c>
      <c r="D534" t="s">
        <v>168</v>
      </c>
      <c r="E534" t="s">
        <v>30</v>
      </c>
      <c r="F534">
        <v>2</v>
      </c>
      <c r="G534" s="2">
        <v>1890</v>
      </c>
      <c r="H534" s="3">
        <v>0.2</v>
      </c>
      <c r="I534" t="s">
        <v>66</v>
      </c>
      <c r="J534" t="s">
        <v>47</v>
      </c>
      <c r="K534" t="s">
        <v>67</v>
      </c>
      <c r="L534" s="2">
        <v>3024</v>
      </c>
      <c r="M534" t="s">
        <v>59</v>
      </c>
    </row>
    <row r="535" spans="1:13" x14ac:dyDescent="0.3">
      <c r="A535" t="s">
        <v>844</v>
      </c>
      <c r="B535" s="1">
        <v>46054</v>
      </c>
      <c r="C535" t="s">
        <v>845</v>
      </c>
      <c r="D535" t="s">
        <v>15</v>
      </c>
      <c r="E535" t="s">
        <v>63</v>
      </c>
      <c r="F535">
        <v>3</v>
      </c>
      <c r="G535" s="2">
        <v>2310</v>
      </c>
      <c r="H535" s="3">
        <v>0.2</v>
      </c>
      <c r="I535" t="s">
        <v>17</v>
      </c>
      <c r="J535" t="s">
        <v>18</v>
      </c>
      <c r="K535" t="s">
        <v>25</v>
      </c>
      <c r="L535" s="2">
        <v>5544</v>
      </c>
      <c r="M535" t="s">
        <v>32</v>
      </c>
    </row>
    <row r="536" spans="1:13" x14ac:dyDescent="0.3">
      <c r="A536" t="s">
        <v>846</v>
      </c>
      <c r="B536" t="s">
        <v>847</v>
      </c>
      <c r="C536" t="s">
        <v>848</v>
      </c>
      <c r="D536" t="s">
        <v>29</v>
      </c>
      <c r="E536" t="s">
        <v>30</v>
      </c>
      <c r="F536">
        <v>5</v>
      </c>
      <c r="G536" s="2">
        <v>1800</v>
      </c>
      <c r="H536" s="3">
        <v>0.15</v>
      </c>
      <c r="I536" t="s">
        <v>66</v>
      </c>
      <c r="J536" t="s">
        <v>71</v>
      </c>
      <c r="K536" t="s">
        <v>41</v>
      </c>
      <c r="L536" s="2">
        <v>7650</v>
      </c>
      <c r="M536" t="s">
        <v>20</v>
      </c>
    </row>
    <row r="537" spans="1:13" x14ac:dyDescent="0.3">
      <c r="A537" t="s">
        <v>849</v>
      </c>
      <c r="B537" s="1">
        <v>46130</v>
      </c>
      <c r="C537" t="s">
        <v>440</v>
      </c>
      <c r="D537" t="s">
        <v>45</v>
      </c>
      <c r="E537" t="s">
        <v>135</v>
      </c>
      <c r="F537">
        <v>4</v>
      </c>
      <c r="G537" s="2">
        <v>16800</v>
      </c>
      <c r="H537" s="3">
        <v>0.1</v>
      </c>
      <c r="I537" t="s">
        <v>17</v>
      </c>
      <c r="J537" t="s">
        <v>71</v>
      </c>
      <c r="K537" t="s">
        <v>41</v>
      </c>
      <c r="L537" s="2">
        <v>60480</v>
      </c>
      <c r="M537" t="s">
        <v>20</v>
      </c>
    </row>
    <row r="538" spans="1:13" x14ac:dyDescent="0.3">
      <c r="A538" t="s">
        <v>850</v>
      </c>
      <c r="B538" s="1">
        <v>46182</v>
      </c>
      <c r="C538" t="s">
        <v>851</v>
      </c>
      <c r="D538" t="s">
        <v>29</v>
      </c>
      <c r="E538" t="s">
        <v>135</v>
      </c>
      <c r="F538">
        <v>1</v>
      </c>
      <c r="G538" s="2">
        <v>15960</v>
      </c>
      <c r="H538" s="3">
        <v>0.1</v>
      </c>
      <c r="I538" t="s">
        <v>66</v>
      </c>
      <c r="J538" t="s">
        <v>71</v>
      </c>
      <c r="K538" t="s">
        <v>41</v>
      </c>
      <c r="L538" s="2">
        <v>14364</v>
      </c>
      <c r="M538" t="s">
        <v>48</v>
      </c>
    </row>
    <row r="539" spans="1:13" x14ac:dyDescent="0.3">
      <c r="A539" t="s">
        <v>852</v>
      </c>
      <c r="B539" s="1">
        <v>46191</v>
      </c>
      <c r="C539" t="s">
        <v>446</v>
      </c>
      <c r="D539" t="s">
        <v>62</v>
      </c>
      <c r="E539" t="s">
        <v>46</v>
      </c>
      <c r="F539">
        <v>2</v>
      </c>
      <c r="G539" s="2">
        <v>7410</v>
      </c>
      <c r="H539" s="3">
        <v>0</v>
      </c>
      <c r="I539" t="s">
        <v>17</v>
      </c>
      <c r="J539" t="s">
        <v>47</v>
      </c>
      <c r="K539" t="s">
        <v>25</v>
      </c>
      <c r="L539" s="2">
        <v>14820</v>
      </c>
      <c r="M539" t="s">
        <v>82</v>
      </c>
    </row>
    <row r="540" spans="1:13" x14ac:dyDescent="0.3">
      <c r="A540" t="s">
        <v>853</v>
      </c>
      <c r="B540" s="1">
        <v>46076</v>
      </c>
      <c r="C540" t="s">
        <v>444</v>
      </c>
      <c r="D540" t="s">
        <v>168</v>
      </c>
      <c r="E540" t="s">
        <v>30</v>
      </c>
      <c r="F540">
        <v>1</v>
      </c>
      <c r="G540" s="2">
        <v>1800</v>
      </c>
      <c r="H540" s="3">
        <v>0.2</v>
      </c>
      <c r="I540" t="s">
        <v>17</v>
      </c>
      <c r="J540" t="s">
        <v>47</v>
      </c>
      <c r="K540" t="s">
        <v>67</v>
      </c>
      <c r="L540" s="2">
        <v>1440</v>
      </c>
      <c r="M540" t="s">
        <v>42</v>
      </c>
    </row>
    <row r="541" spans="1:13" x14ac:dyDescent="0.3">
      <c r="A541" t="s">
        <v>854</v>
      </c>
      <c r="B541" s="1">
        <v>46035</v>
      </c>
      <c r="C541" t="s">
        <v>148</v>
      </c>
      <c r="D541" t="s">
        <v>15</v>
      </c>
      <c r="E541" t="s">
        <v>161</v>
      </c>
      <c r="F541">
        <v>10</v>
      </c>
      <c r="G541" s="2">
        <v>2600</v>
      </c>
      <c r="H541" s="3">
        <v>0</v>
      </c>
      <c r="I541" t="s">
        <v>17</v>
      </c>
      <c r="J541" t="s">
        <v>47</v>
      </c>
      <c r="K541" t="s">
        <v>19</v>
      </c>
      <c r="L541" s="2">
        <v>26000</v>
      </c>
      <c r="M541" t="s">
        <v>42</v>
      </c>
    </row>
    <row r="542" spans="1:13" x14ac:dyDescent="0.3">
      <c r="A542" t="s">
        <v>855</v>
      </c>
      <c r="B542" s="1">
        <v>46099</v>
      </c>
      <c r="C542" t="s">
        <v>601</v>
      </c>
      <c r="D542" t="s">
        <v>35</v>
      </c>
      <c r="E542" t="s">
        <v>36</v>
      </c>
      <c r="F542">
        <v>5</v>
      </c>
      <c r="G542" s="2">
        <v>1330</v>
      </c>
      <c r="H542" s="3">
        <v>0</v>
      </c>
      <c r="I542" t="s">
        <v>17</v>
      </c>
      <c r="J542" t="s">
        <v>18</v>
      </c>
      <c r="K542" t="s">
        <v>41</v>
      </c>
      <c r="L542" s="2">
        <v>6650</v>
      </c>
      <c r="M542" t="s">
        <v>42</v>
      </c>
    </row>
    <row r="543" spans="1:13" x14ac:dyDescent="0.3">
      <c r="A543" t="s">
        <v>856</v>
      </c>
      <c r="B543" s="1">
        <v>46200</v>
      </c>
      <c r="C543" t="s">
        <v>857</v>
      </c>
      <c r="D543" t="s">
        <v>90</v>
      </c>
      <c r="E543" t="s">
        <v>135</v>
      </c>
      <c r="F543">
        <v>2</v>
      </c>
      <c r="G543" s="2">
        <v>16800</v>
      </c>
      <c r="H543" s="3">
        <v>0.1</v>
      </c>
      <c r="I543" t="s">
        <v>17</v>
      </c>
      <c r="J543" t="s">
        <v>31</v>
      </c>
      <c r="K543" t="s">
        <v>25</v>
      </c>
      <c r="L543" s="2">
        <v>30240</v>
      </c>
      <c r="M543" t="s">
        <v>82</v>
      </c>
    </row>
    <row r="544" spans="1:13" x14ac:dyDescent="0.3">
      <c r="A544" t="s">
        <v>858</v>
      </c>
      <c r="B544" s="1">
        <v>46045</v>
      </c>
      <c r="C544" t="s">
        <v>693</v>
      </c>
      <c r="D544" t="s">
        <v>62</v>
      </c>
      <c r="E544" t="s">
        <v>85</v>
      </c>
      <c r="F544">
        <v>3</v>
      </c>
      <c r="G544" s="2">
        <v>48500</v>
      </c>
      <c r="H544" s="3">
        <v>0.2</v>
      </c>
      <c r="I544" t="s">
        <v>17</v>
      </c>
      <c r="J544" t="s">
        <v>47</v>
      </c>
      <c r="K544" t="s">
        <v>41</v>
      </c>
      <c r="L544" s="2">
        <v>116400</v>
      </c>
      <c r="M544" t="s">
        <v>48</v>
      </c>
    </row>
    <row r="545" spans="1:13" x14ac:dyDescent="0.3">
      <c r="A545" t="s">
        <v>859</v>
      </c>
      <c r="B545" s="1">
        <v>46167</v>
      </c>
      <c r="C545" t="s">
        <v>448</v>
      </c>
      <c r="D545" t="s">
        <v>62</v>
      </c>
      <c r="E545" t="s">
        <v>51</v>
      </c>
      <c r="F545">
        <v>3</v>
      </c>
      <c r="G545" s="2">
        <v>18500</v>
      </c>
      <c r="H545" s="3">
        <v>0.1</v>
      </c>
      <c r="I545" t="s">
        <v>17</v>
      </c>
      <c r="J545" t="s">
        <v>47</v>
      </c>
      <c r="K545" t="s">
        <v>41</v>
      </c>
      <c r="L545" s="2">
        <v>49950</v>
      </c>
      <c r="M545" t="s">
        <v>20</v>
      </c>
    </row>
    <row r="546" spans="1:13" x14ac:dyDescent="0.3">
      <c r="A546" t="s">
        <v>860</v>
      </c>
      <c r="B546" s="1">
        <v>46053</v>
      </c>
      <c r="C546" t="s">
        <v>252</v>
      </c>
      <c r="D546" t="s">
        <v>168</v>
      </c>
      <c r="E546" t="s">
        <v>46</v>
      </c>
      <c r="F546">
        <v>3</v>
      </c>
      <c r="G546" s="2">
        <v>7800</v>
      </c>
      <c r="H546" s="3">
        <v>0</v>
      </c>
      <c r="I546" t="s">
        <v>17</v>
      </c>
      <c r="J546" t="s">
        <v>18</v>
      </c>
      <c r="K546" t="s">
        <v>19</v>
      </c>
      <c r="L546" s="2">
        <v>23400</v>
      </c>
      <c r="M546" t="s">
        <v>138</v>
      </c>
    </row>
    <row r="547" spans="1:13" x14ac:dyDescent="0.3">
      <c r="A547" t="s">
        <v>861</v>
      </c>
      <c r="B547" s="1">
        <v>46112</v>
      </c>
      <c r="C547" t="s">
        <v>243</v>
      </c>
      <c r="D547" t="s">
        <v>152</v>
      </c>
      <c r="E547" t="s">
        <v>74</v>
      </c>
      <c r="F547">
        <v>1</v>
      </c>
      <c r="G547" s="2">
        <v>2400</v>
      </c>
      <c r="H547" s="3">
        <v>0.2</v>
      </c>
      <c r="I547" t="s">
        <v>17</v>
      </c>
      <c r="J547" t="s">
        <v>31</v>
      </c>
      <c r="K547" t="s">
        <v>67</v>
      </c>
      <c r="L547" s="2">
        <v>1920</v>
      </c>
      <c r="M547" t="s">
        <v>26</v>
      </c>
    </row>
    <row r="548" spans="1:13" x14ac:dyDescent="0.3">
      <c r="A548" t="s">
        <v>862</v>
      </c>
      <c r="B548" s="1">
        <v>46152</v>
      </c>
      <c r="C548" t="s">
        <v>411</v>
      </c>
      <c r="D548" t="s">
        <v>152</v>
      </c>
      <c r="E548" t="s">
        <v>36</v>
      </c>
      <c r="F548">
        <v>4</v>
      </c>
      <c r="G548" s="2">
        <v>1400</v>
      </c>
      <c r="H548" s="3">
        <v>0</v>
      </c>
      <c r="I548" t="s">
        <v>17</v>
      </c>
      <c r="J548" t="s">
        <v>31</v>
      </c>
      <c r="K548" t="s">
        <v>41</v>
      </c>
      <c r="L548" s="2">
        <v>5600</v>
      </c>
      <c r="M548" t="s">
        <v>52</v>
      </c>
    </row>
    <row r="549" spans="1:13" x14ac:dyDescent="0.3">
      <c r="A549" t="s">
        <v>863</v>
      </c>
      <c r="B549" s="1">
        <v>46107</v>
      </c>
      <c r="C549" t="s">
        <v>167</v>
      </c>
      <c r="D549" t="s">
        <v>90</v>
      </c>
      <c r="E549" t="s">
        <v>36</v>
      </c>
      <c r="F549">
        <v>8</v>
      </c>
      <c r="G549" s="2">
        <v>1330</v>
      </c>
      <c r="H549" s="3">
        <v>0.1</v>
      </c>
      <c r="I549" t="s">
        <v>80</v>
      </c>
      <c r="J549" t="s">
        <v>18</v>
      </c>
      <c r="K549" t="s">
        <v>41</v>
      </c>
      <c r="L549" s="2">
        <v>9576</v>
      </c>
      <c r="M549" t="s">
        <v>56</v>
      </c>
    </row>
    <row r="550" spans="1:13" x14ac:dyDescent="0.3">
      <c r="A550" t="s">
        <v>864</v>
      </c>
      <c r="B550" s="1">
        <v>46160</v>
      </c>
      <c r="C550" t="s">
        <v>115</v>
      </c>
      <c r="D550" t="s">
        <v>77</v>
      </c>
      <c r="E550" t="s">
        <v>36</v>
      </c>
      <c r="F550">
        <v>2</v>
      </c>
      <c r="G550" s="2">
        <v>1330</v>
      </c>
      <c r="H550" s="3">
        <v>0.1</v>
      </c>
      <c r="I550" t="s">
        <v>80</v>
      </c>
      <c r="J550" t="s">
        <v>47</v>
      </c>
      <c r="K550" t="s">
        <v>25</v>
      </c>
      <c r="L550" s="2">
        <v>2394</v>
      </c>
      <c r="M550" t="s">
        <v>82</v>
      </c>
    </row>
    <row r="551" spans="1:13" x14ac:dyDescent="0.3">
      <c r="A551" t="s">
        <v>865</v>
      </c>
      <c r="B551" s="1">
        <v>46027</v>
      </c>
      <c r="C551" t="s">
        <v>559</v>
      </c>
      <c r="D551" t="s">
        <v>23</v>
      </c>
      <c r="E551" t="s">
        <v>183</v>
      </c>
      <c r="F551">
        <v>3</v>
      </c>
      <c r="G551" s="2">
        <v>3200</v>
      </c>
      <c r="H551" s="3">
        <v>0.05</v>
      </c>
      <c r="I551" t="s">
        <v>17</v>
      </c>
      <c r="J551" t="s">
        <v>31</v>
      </c>
      <c r="K551" t="s">
        <v>67</v>
      </c>
      <c r="L551" s="2">
        <v>9120</v>
      </c>
      <c r="M551" t="s">
        <v>32</v>
      </c>
    </row>
    <row r="552" spans="1:13" x14ac:dyDescent="0.3">
      <c r="A552" t="s">
        <v>866</v>
      </c>
      <c r="B552" s="1">
        <v>46183</v>
      </c>
      <c r="C552" t="s">
        <v>867</v>
      </c>
      <c r="D552" t="s">
        <v>152</v>
      </c>
      <c r="E552" t="s">
        <v>30</v>
      </c>
      <c r="F552">
        <v>3</v>
      </c>
      <c r="G552" s="2">
        <v>1710</v>
      </c>
      <c r="H552" s="3">
        <v>0.1</v>
      </c>
      <c r="I552" t="s">
        <v>17</v>
      </c>
      <c r="J552" t="s">
        <v>47</v>
      </c>
      <c r="K552" t="s">
        <v>19</v>
      </c>
      <c r="L552" s="2">
        <v>4617</v>
      </c>
      <c r="M552" t="s">
        <v>26</v>
      </c>
    </row>
    <row r="553" spans="1:13" x14ac:dyDescent="0.3">
      <c r="A553" t="s">
        <v>868</v>
      </c>
      <c r="B553" s="1">
        <v>46128</v>
      </c>
      <c r="C553" t="s">
        <v>566</v>
      </c>
      <c r="D553" t="s">
        <v>15</v>
      </c>
      <c r="E553" t="s">
        <v>46</v>
      </c>
      <c r="F553">
        <v>5</v>
      </c>
      <c r="G553" s="2">
        <v>7800</v>
      </c>
      <c r="H553" s="3">
        <v>0.05</v>
      </c>
      <c r="I553" t="s">
        <v>17</v>
      </c>
      <c r="J553" t="s">
        <v>47</v>
      </c>
      <c r="K553" t="s">
        <v>41</v>
      </c>
      <c r="L553" s="2">
        <v>37050</v>
      </c>
      <c r="M553" t="s">
        <v>42</v>
      </c>
    </row>
    <row r="554" spans="1:13" x14ac:dyDescent="0.3">
      <c r="A554" t="s">
        <v>869</v>
      </c>
      <c r="B554" s="1">
        <v>46118</v>
      </c>
      <c r="C554" t="s">
        <v>407</v>
      </c>
      <c r="D554" t="s">
        <v>29</v>
      </c>
      <c r="E554" t="s">
        <v>16</v>
      </c>
      <c r="F554">
        <v>4</v>
      </c>
      <c r="G554" s="2">
        <v>617.5</v>
      </c>
      <c r="H554" s="3">
        <v>0</v>
      </c>
      <c r="I554" t="s">
        <v>17</v>
      </c>
      <c r="J554" t="s">
        <v>71</v>
      </c>
      <c r="K554" t="s">
        <v>41</v>
      </c>
      <c r="L554" s="2">
        <v>2470</v>
      </c>
      <c r="M554" t="s">
        <v>138</v>
      </c>
    </row>
    <row r="555" spans="1:13" x14ac:dyDescent="0.3">
      <c r="A555" t="s">
        <v>870</v>
      </c>
      <c r="B555" s="1">
        <v>46146</v>
      </c>
      <c r="C555" t="s">
        <v>326</v>
      </c>
      <c r="D555" t="s">
        <v>123</v>
      </c>
      <c r="E555" t="s">
        <v>51</v>
      </c>
      <c r="F555">
        <v>2</v>
      </c>
      <c r="G555" s="2">
        <v>17575</v>
      </c>
      <c r="H555" s="3">
        <v>0.05</v>
      </c>
      <c r="I555" t="s">
        <v>17</v>
      </c>
      <c r="J555" t="s">
        <v>71</v>
      </c>
      <c r="K555" t="s">
        <v>19</v>
      </c>
      <c r="L555" s="2">
        <v>33392.5</v>
      </c>
      <c r="M555" t="s">
        <v>56</v>
      </c>
    </row>
    <row r="556" spans="1:13" x14ac:dyDescent="0.3">
      <c r="A556" t="s">
        <v>871</v>
      </c>
      <c r="B556" s="1">
        <v>46122</v>
      </c>
      <c r="C556" t="s">
        <v>346</v>
      </c>
      <c r="D556" t="s">
        <v>123</v>
      </c>
      <c r="E556" t="s">
        <v>51</v>
      </c>
      <c r="F556">
        <v>1</v>
      </c>
      <c r="G556" s="2">
        <v>17575</v>
      </c>
      <c r="H556" s="3">
        <v>0.05</v>
      </c>
      <c r="I556" t="s">
        <v>80</v>
      </c>
      <c r="J556" t="s">
        <v>18</v>
      </c>
      <c r="K556" t="s">
        <v>19</v>
      </c>
      <c r="L556" s="2">
        <v>16696.25</v>
      </c>
      <c r="M556" t="s">
        <v>42</v>
      </c>
    </row>
    <row r="557" spans="1:13" x14ac:dyDescent="0.3">
      <c r="A557" t="s">
        <v>872</v>
      </c>
      <c r="B557" s="1">
        <v>46156</v>
      </c>
      <c r="C557" t="s">
        <v>44</v>
      </c>
      <c r="D557" t="s">
        <v>29</v>
      </c>
      <c r="E557" t="s">
        <v>74</v>
      </c>
      <c r="F557">
        <v>4</v>
      </c>
      <c r="G557" s="2">
        <v>2400</v>
      </c>
      <c r="H557" s="3">
        <v>0</v>
      </c>
      <c r="I557" t="s">
        <v>17</v>
      </c>
      <c r="J557" t="s">
        <v>47</v>
      </c>
      <c r="K557" t="s">
        <v>41</v>
      </c>
      <c r="L557" s="2">
        <v>9600</v>
      </c>
      <c r="M557" t="s">
        <v>52</v>
      </c>
    </row>
    <row r="558" spans="1:13" x14ac:dyDescent="0.3">
      <c r="A558" t="s">
        <v>873</v>
      </c>
      <c r="B558" s="1">
        <v>46096</v>
      </c>
      <c r="C558" t="s">
        <v>709</v>
      </c>
      <c r="D558" t="s">
        <v>45</v>
      </c>
      <c r="E558" t="s">
        <v>51</v>
      </c>
      <c r="F558">
        <v>2</v>
      </c>
      <c r="G558" s="2">
        <v>18500</v>
      </c>
      <c r="H558" s="3">
        <v>0.1</v>
      </c>
      <c r="I558" t="s">
        <v>17</v>
      </c>
      <c r="J558" t="s">
        <v>71</v>
      </c>
      <c r="K558" t="s">
        <v>67</v>
      </c>
      <c r="L558" s="2">
        <v>33300</v>
      </c>
      <c r="M558" t="s">
        <v>42</v>
      </c>
    </row>
    <row r="559" spans="1:13" x14ac:dyDescent="0.3">
      <c r="A559" t="s">
        <v>874</v>
      </c>
      <c r="B559" s="1">
        <v>46026</v>
      </c>
      <c r="C559" t="s">
        <v>473</v>
      </c>
      <c r="D559" t="s">
        <v>40</v>
      </c>
      <c r="E559" t="s">
        <v>51</v>
      </c>
      <c r="F559">
        <v>2</v>
      </c>
      <c r="G559" s="2">
        <v>18500</v>
      </c>
      <c r="H559" s="3">
        <v>0</v>
      </c>
      <c r="I559" t="s">
        <v>17</v>
      </c>
      <c r="J559" t="s">
        <v>71</v>
      </c>
      <c r="K559" t="s">
        <v>67</v>
      </c>
      <c r="L559" s="2">
        <v>37000</v>
      </c>
      <c r="M559" t="s">
        <v>48</v>
      </c>
    </row>
    <row r="560" spans="1:13" x14ac:dyDescent="0.3">
      <c r="A560" t="s">
        <v>875</v>
      </c>
      <c r="B560" s="1">
        <v>46085</v>
      </c>
      <c r="C560" t="s">
        <v>269</v>
      </c>
      <c r="D560" t="s">
        <v>50</v>
      </c>
      <c r="E560" t="s">
        <v>63</v>
      </c>
      <c r="F560">
        <v>2</v>
      </c>
      <c r="G560" s="2">
        <v>2090</v>
      </c>
      <c r="H560" s="3">
        <v>0.05</v>
      </c>
      <c r="I560" t="s">
        <v>17</v>
      </c>
      <c r="J560" t="s">
        <v>31</v>
      </c>
      <c r="K560" t="s">
        <v>55</v>
      </c>
      <c r="L560" s="2">
        <v>3971</v>
      </c>
      <c r="M560" t="s">
        <v>20</v>
      </c>
    </row>
    <row r="561" spans="1:13" x14ac:dyDescent="0.3">
      <c r="A561" t="s">
        <v>876</v>
      </c>
      <c r="B561" s="1">
        <v>46050</v>
      </c>
      <c r="C561" t="s">
        <v>877</v>
      </c>
      <c r="D561" t="s">
        <v>70</v>
      </c>
      <c r="E561" t="s">
        <v>16</v>
      </c>
      <c r="F561">
        <v>1</v>
      </c>
      <c r="G561" s="2">
        <v>682.5</v>
      </c>
      <c r="H561" s="3">
        <v>0.1</v>
      </c>
      <c r="I561" t="s">
        <v>17</v>
      </c>
      <c r="J561" t="s">
        <v>47</v>
      </c>
      <c r="K561" t="s">
        <v>67</v>
      </c>
      <c r="L561" s="2">
        <v>614.25</v>
      </c>
      <c r="M561" t="s">
        <v>52</v>
      </c>
    </row>
    <row r="562" spans="1:13" x14ac:dyDescent="0.3">
      <c r="A562" t="s">
        <v>878</v>
      </c>
      <c r="B562" s="1">
        <v>46194</v>
      </c>
      <c r="C562" t="s">
        <v>798</v>
      </c>
      <c r="D562" t="s">
        <v>29</v>
      </c>
      <c r="E562" t="s">
        <v>51</v>
      </c>
      <c r="F562">
        <v>1</v>
      </c>
      <c r="G562" s="2">
        <v>17575</v>
      </c>
      <c r="H562" s="3">
        <v>0.1</v>
      </c>
      <c r="I562" t="s">
        <v>17</v>
      </c>
      <c r="J562" t="s">
        <v>31</v>
      </c>
      <c r="K562" t="s">
        <v>55</v>
      </c>
      <c r="L562" s="2">
        <v>15817.5</v>
      </c>
      <c r="M562" t="s">
        <v>26</v>
      </c>
    </row>
    <row r="563" spans="1:13" x14ac:dyDescent="0.3">
      <c r="A563" t="s">
        <v>879</v>
      </c>
      <c r="B563" s="1">
        <v>46198</v>
      </c>
      <c r="C563" t="s">
        <v>475</v>
      </c>
      <c r="D563" t="s">
        <v>95</v>
      </c>
      <c r="E563" t="s">
        <v>85</v>
      </c>
      <c r="F563">
        <v>4</v>
      </c>
      <c r="G563" s="2">
        <v>48500</v>
      </c>
      <c r="H563" s="3">
        <v>0.1</v>
      </c>
      <c r="I563" t="s">
        <v>17</v>
      </c>
      <c r="J563" t="s">
        <v>47</v>
      </c>
      <c r="K563" t="s">
        <v>67</v>
      </c>
      <c r="L563" s="2">
        <v>174600</v>
      </c>
      <c r="M563" t="s">
        <v>32</v>
      </c>
    </row>
    <row r="564" spans="1:13" x14ac:dyDescent="0.3">
      <c r="A564" t="s">
        <v>880</v>
      </c>
      <c r="B564" s="1">
        <v>46069</v>
      </c>
      <c r="C564" t="s">
        <v>690</v>
      </c>
      <c r="D564" t="s">
        <v>123</v>
      </c>
      <c r="E564" t="s">
        <v>74</v>
      </c>
      <c r="G564" s="2">
        <v>2280</v>
      </c>
      <c r="H564" s="3">
        <v>0.05</v>
      </c>
      <c r="I564" t="s">
        <v>17</v>
      </c>
      <c r="J564" t="s">
        <v>18</v>
      </c>
      <c r="K564" t="s">
        <v>19</v>
      </c>
      <c r="L564" s="2">
        <v>4332</v>
      </c>
      <c r="M564" t="s">
        <v>138</v>
      </c>
    </row>
    <row r="565" spans="1:13" x14ac:dyDescent="0.3">
      <c r="A565" t="s">
        <v>881</v>
      </c>
      <c r="B565" s="1">
        <v>46145</v>
      </c>
      <c r="C565" t="s">
        <v>177</v>
      </c>
      <c r="D565" t="s">
        <v>62</v>
      </c>
      <c r="E565" t="s">
        <v>30</v>
      </c>
      <c r="F565">
        <v>1</v>
      </c>
      <c r="G565" s="2">
        <v>1800</v>
      </c>
      <c r="H565" s="3">
        <v>0.05</v>
      </c>
      <c r="I565" t="s">
        <v>17</v>
      </c>
      <c r="J565" t="s">
        <v>18</v>
      </c>
      <c r="K565" t="s">
        <v>19</v>
      </c>
      <c r="L565" s="2">
        <v>1710</v>
      </c>
      <c r="M565" t="s">
        <v>138</v>
      </c>
    </row>
    <row r="566" spans="1:13" x14ac:dyDescent="0.3">
      <c r="A566" t="s">
        <v>882</v>
      </c>
      <c r="B566" s="1">
        <v>46165</v>
      </c>
      <c r="C566" t="s">
        <v>156</v>
      </c>
      <c r="D566" t="s">
        <v>95</v>
      </c>
      <c r="E566" t="s">
        <v>63</v>
      </c>
      <c r="F566">
        <v>4</v>
      </c>
      <c r="G566" s="2">
        <v>2310</v>
      </c>
      <c r="H566" s="3">
        <v>0.15</v>
      </c>
      <c r="I566" t="s">
        <v>17</v>
      </c>
      <c r="J566" t="s">
        <v>71</v>
      </c>
      <c r="K566" t="s">
        <v>25</v>
      </c>
      <c r="L566" s="2">
        <v>7854</v>
      </c>
      <c r="M566" t="s">
        <v>59</v>
      </c>
    </row>
    <row r="567" spans="1:13" x14ac:dyDescent="0.3">
      <c r="A567" t="s">
        <v>883</v>
      </c>
      <c r="B567" s="1">
        <v>46146</v>
      </c>
      <c r="C567" t="s">
        <v>118</v>
      </c>
      <c r="D567" t="s">
        <v>70</v>
      </c>
      <c r="E567" t="s">
        <v>63</v>
      </c>
      <c r="F567">
        <v>2</v>
      </c>
      <c r="G567" s="2">
        <v>2310</v>
      </c>
      <c r="H567" s="3">
        <v>0.2</v>
      </c>
      <c r="I567" t="s">
        <v>17</v>
      </c>
      <c r="J567" t="s">
        <v>71</v>
      </c>
      <c r="K567" t="s">
        <v>41</v>
      </c>
      <c r="L567" s="2">
        <v>3696</v>
      </c>
      <c r="M567" t="s">
        <v>42</v>
      </c>
    </row>
    <row r="568" spans="1:13" x14ac:dyDescent="0.3">
      <c r="A568" t="s">
        <v>884</v>
      </c>
      <c r="B568" s="1">
        <v>46169</v>
      </c>
      <c r="C568" t="s">
        <v>357</v>
      </c>
      <c r="D568" t="s">
        <v>90</v>
      </c>
      <c r="E568" t="s">
        <v>46</v>
      </c>
      <c r="F568">
        <v>1</v>
      </c>
      <c r="G568" s="2">
        <v>7410</v>
      </c>
      <c r="H568" s="3">
        <v>0.15</v>
      </c>
      <c r="I568" t="s">
        <v>17</v>
      </c>
      <c r="J568" t="s">
        <v>71</v>
      </c>
      <c r="K568" t="s">
        <v>67</v>
      </c>
      <c r="L568" s="2">
        <v>6298.5</v>
      </c>
      <c r="M568" t="s">
        <v>32</v>
      </c>
    </row>
    <row r="569" spans="1:13" x14ac:dyDescent="0.3">
      <c r="A569" t="s">
        <v>885</v>
      </c>
      <c r="B569" s="1">
        <v>46040</v>
      </c>
      <c r="C569" t="s">
        <v>396</v>
      </c>
      <c r="D569" t="s">
        <v>40</v>
      </c>
      <c r="E569" t="s">
        <v>63</v>
      </c>
      <c r="F569">
        <v>3</v>
      </c>
      <c r="G569" s="2">
        <v>2310</v>
      </c>
      <c r="H569" s="3">
        <v>0.15</v>
      </c>
      <c r="I569" t="s">
        <v>17</v>
      </c>
      <c r="J569" t="s">
        <v>18</v>
      </c>
      <c r="K569" t="s">
        <v>19</v>
      </c>
      <c r="L569" s="2">
        <v>5890.5</v>
      </c>
      <c r="M569" t="s">
        <v>42</v>
      </c>
    </row>
    <row r="570" spans="1:13" x14ac:dyDescent="0.3">
      <c r="A570" t="s">
        <v>886</v>
      </c>
      <c r="B570" s="1">
        <v>46078</v>
      </c>
      <c r="C570" t="s">
        <v>709</v>
      </c>
      <c r="D570" t="s">
        <v>90</v>
      </c>
      <c r="E570" t="s">
        <v>30</v>
      </c>
      <c r="F570">
        <v>5</v>
      </c>
      <c r="G570" s="2">
        <v>1800</v>
      </c>
      <c r="H570" s="3">
        <v>0.2</v>
      </c>
      <c r="I570" t="s">
        <v>17</v>
      </c>
      <c r="J570" t="s">
        <v>18</v>
      </c>
      <c r="K570" t="s">
        <v>25</v>
      </c>
      <c r="L570" s="2">
        <v>7200</v>
      </c>
      <c r="M570" t="s">
        <v>26</v>
      </c>
    </row>
    <row r="571" spans="1:13" x14ac:dyDescent="0.3">
      <c r="A571" t="s">
        <v>887</v>
      </c>
      <c r="B571" s="1">
        <v>46122</v>
      </c>
      <c r="C571" t="s">
        <v>115</v>
      </c>
      <c r="D571" t="s">
        <v>40</v>
      </c>
      <c r="E571" t="s">
        <v>183</v>
      </c>
      <c r="F571">
        <v>2</v>
      </c>
      <c r="G571" s="2">
        <v>3200</v>
      </c>
      <c r="H571" s="3">
        <v>0</v>
      </c>
      <c r="I571" t="s">
        <v>17</v>
      </c>
      <c r="J571" t="s">
        <v>47</v>
      </c>
      <c r="K571" t="s">
        <v>55</v>
      </c>
      <c r="L571" s="2">
        <v>6400</v>
      </c>
      <c r="M571" t="s">
        <v>138</v>
      </c>
    </row>
    <row r="572" spans="1:13" x14ac:dyDescent="0.3">
      <c r="A572" t="s">
        <v>888</v>
      </c>
      <c r="B572" s="1">
        <v>46045</v>
      </c>
      <c r="C572" t="s">
        <v>355</v>
      </c>
      <c r="D572" t="s">
        <v>40</v>
      </c>
      <c r="E572" t="s">
        <v>16</v>
      </c>
      <c r="F572">
        <v>3</v>
      </c>
      <c r="G572" s="2">
        <v>650</v>
      </c>
      <c r="H572" s="3">
        <v>0.15</v>
      </c>
      <c r="I572" t="s">
        <v>17</v>
      </c>
      <c r="J572" t="s">
        <v>31</v>
      </c>
      <c r="K572" t="s">
        <v>67</v>
      </c>
      <c r="L572" s="2">
        <v>1657.5</v>
      </c>
      <c r="M572" t="s">
        <v>82</v>
      </c>
    </row>
    <row r="573" spans="1:13" x14ac:dyDescent="0.3">
      <c r="A573" t="s">
        <v>889</v>
      </c>
      <c r="B573" s="1">
        <v>46036</v>
      </c>
      <c r="C573" t="s">
        <v>568</v>
      </c>
      <c r="D573" t="s">
        <v>168</v>
      </c>
      <c r="E573" t="s">
        <v>85</v>
      </c>
      <c r="F573">
        <v>3</v>
      </c>
      <c r="G573" s="2">
        <v>48500</v>
      </c>
      <c r="H573" s="3">
        <v>0.05</v>
      </c>
      <c r="I573" t="s">
        <v>17</v>
      </c>
      <c r="J573" t="s">
        <v>71</v>
      </c>
      <c r="K573" t="s">
        <v>55</v>
      </c>
      <c r="L573" s="2">
        <v>138225</v>
      </c>
      <c r="M573" t="s">
        <v>48</v>
      </c>
    </row>
    <row r="574" spans="1:13" x14ac:dyDescent="0.3">
      <c r="A574" t="s">
        <v>890</v>
      </c>
      <c r="B574" s="1">
        <v>46123</v>
      </c>
      <c r="C574" t="s">
        <v>809</v>
      </c>
      <c r="D574" t="s">
        <v>95</v>
      </c>
      <c r="E574" t="s">
        <v>36</v>
      </c>
      <c r="F574">
        <v>3</v>
      </c>
      <c r="G574" s="2">
        <v>1400</v>
      </c>
      <c r="H574" s="3">
        <v>0.1</v>
      </c>
      <c r="I574" t="s">
        <v>17</v>
      </c>
      <c r="J574" t="s">
        <v>18</v>
      </c>
      <c r="K574" t="s">
        <v>41</v>
      </c>
      <c r="L574" s="2">
        <v>3780</v>
      </c>
      <c r="M574" t="s">
        <v>52</v>
      </c>
    </row>
    <row r="575" spans="1:13" x14ac:dyDescent="0.3">
      <c r="A575" t="s">
        <v>891</v>
      </c>
      <c r="B575" s="1">
        <v>46165</v>
      </c>
      <c r="C575" t="s">
        <v>421</v>
      </c>
      <c r="D575" t="s">
        <v>70</v>
      </c>
      <c r="E575" t="s">
        <v>36</v>
      </c>
      <c r="F575">
        <v>4</v>
      </c>
      <c r="G575" s="2">
        <v>1400</v>
      </c>
      <c r="H575" s="3">
        <v>0</v>
      </c>
      <c r="I575" t="s">
        <v>17</v>
      </c>
      <c r="J575" t="s">
        <v>31</v>
      </c>
      <c r="K575" t="s">
        <v>19</v>
      </c>
      <c r="L575" s="2">
        <v>5600</v>
      </c>
      <c r="M575" t="s">
        <v>20</v>
      </c>
    </row>
    <row r="576" spans="1:13" x14ac:dyDescent="0.3">
      <c r="A576" t="s">
        <v>892</v>
      </c>
      <c r="B576" s="1">
        <v>46059</v>
      </c>
      <c r="C576" t="s">
        <v>148</v>
      </c>
      <c r="D576" t="s">
        <v>123</v>
      </c>
      <c r="E576" t="s">
        <v>46</v>
      </c>
      <c r="F576">
        <v>3</v>
      </c>
      <c r="G576" s="2">
        <v>8190</v>
      </c>
      <c r="H576" s="3">
        <v>0</v>
      </c>
      <c r="I576" t="s">
        <v>17</v>
      </c>
      <c r="J576" t="s">
        <v>18</v>
      </c>
      <c r="K576" t="s">
        <v>25</v>
      </c>
      <c r="L576" s="2">
        <v>24570</v>
      </c>
      <c r="M576" t="s">
        <v>59</v>
      </c>
    </row>
    <row r="577" spans="1:13" x14ac:dyDescent="0.3">
      <c r="A577" t="s">
        <v>893</v>
      </c>
      <c r="B577" s="1">
        <v>46139</v>
      </c>
      <c r="C577" t="s">
        <v>484</v>
      </c>
      <c r="D577" t="s">
        <v>152</v>
      </c>
      <c r="E577" t="s">
        <v>161</v>
      </c>
      <c r="F577">
        <v>3</v>
      </c>
      <c r="G577" s="2">
        <v>2600</v>
      </c>
      <c r="H577" s="3">
        <v>0.1</v>
      </c>
      <c r="I577" t="s">
        <v>17</v>
      </c>
      <c r="J577" t="s">
        <v>18</v>
      </c>
      <c r="K577" t="s">
        <v>25</v>
      </c>
      <c r="L577" s="2">
        <v>7020</v>
      </c>
      <c r="M577" t="s">
        <v>20</v>
      </c>
    </row>
    <row r="578" spans="1:13" x14ac:dyDescent="0.3">
      <c r="A578" t="s">
        <v>894</v>
      </c>
      <c r="B578" s="1">
        <v>46170</v>
      </c>
      <c r="C578" t="s">
        <v>895</v>
      </c>
      <c r="D578" t="s">
        <v>62</v>
      </c>
      <c r="E578" t="s">
        <v>85</v>
      </c>
      <c r="F578">
        <v>1</v>
      </c>
      <c r="G578" s="2">
        <v>48500</v>
      </c>
      <c r="H578" s="3">
        <v>0.15</v>
      </c>
      <c r="I578" t="s">
        <v>17</v>
      </c>
      <c r="J578" t="s">
        <v>31</v>
      </c>
      <c r="K578" t="s">
        <v>81</v>
      </c>
      <c r="L578" s="2">
        <v>41225</v>
      </c>
      <c r="M578" t="s">
        <v>56</v>
      </c>
    </row>
    <row r="579" spans="1:13" x14ac:dyDescent="0.3">
      <c r="A579" t="s">
        <v>896</v>
      </c>
      <c r="B579" s="1">
        <v>46203</v>
      </c>
      <c r="C579" t="s">
        <v>144</v>
      </c>
      <c r="D579" t="s">
        <v>35</v>
      </c>
      <c r="E579" t="s">
        <v>63</v>
      </c>
      <c r="F579">
        <v>3</v>
      </c>
      <c r="G579" s="2">
        <v>2200</v>
      </c>
      <c r="H579" s="3">
        <v>0.2</v>
      </c>
      <c r="I579" t="s">
        <v>17</v>
      </c>
      <c r="J579" t="s">
        <v>31</v>
      </c>
      <c r="K579" t="s">
        <v>25</v>
      </c>
      <c r="L579" s="2">
        <v>5280</v>
      </c>
      <c r="M579" t="s">
        <v>48</v>
      </c>
    </row>
    <row r="580" spans="1:13" x14ac:dyDescent="0.3">
      <c r="A580" t="s">
        <v>897</v>
      </c>
      <c r="B580" s="1">
        <v>46045</v>
      </c>
      <c r="C580" t="s">
        <v>781</v>
      </c>
      <c r="D580" t="s">
        <v>23</v>
      </c>
      <c r="E580" t="s">
        <v>46</v>
      </c>
      <c r="F580">
        <v>3</v>
      </c>
      <c r="G580" s="2">
        <v>7410</v>
      </c>
      <c r="H580" s="3">
        <v>0.2</v>
      </c>
      <c r="I580" t="s">
        <v>116</v>
      </c>
      <c r="J580" t="s">
        <v>31</v>
      </c>
      <c r="K580" t="s">
        <v>67</v>
      </c>
      <c r="L580" s="2">
        <v>17784</v>
      </c>
      <c r="M580" t="s">
        <v>82</v>
      </c>
    </row>
    <row r="581" spans="1:13" x14ac:dyDescent="0.3">
      <c r="A581" t="s">
        <v>898</v>
      </c>
      <c r="B581" s="1">
        <v>46025</v>
      </c>
      <c r="C581" t="s">
        <v>160</v>
      </c>
      <c r="D581" t="s">
        <v>62</v>
      </c>
      <c r="E581" t="s">
        <v>46</v>
      </c>
      <c r="F581">
        <v>2</v>
      </c>
      <c r="G581" s="2">
        <v>7800</v>
      </c>
      <c r="H581" s="3">
        <v>0.1</v>
      </c>
      <c r="I581" t="s">
        <v>334</v>
      </c>
      <c r="J581" t="s">
        <v>47</v>
      </c>
      <c r="K581" t="s">
        <v>67</v>
      </c>
      <c r="L581" s="2">
        <v>14040</v>
      </c>
      <c r="M581" t="s">
        <v>26</v>
      </c>
    </row>
    <row r="582" spans="1:13" x14ac:dyDescent="0.3">
      <c r="A582" t="s">
        <v>899</v>
      </c>
      <c r="B582" s="1">
        <v>46065</v>
      </c>
      <c r="C582" t="s">
        <v>426</v>
      </c>
      <c r="D582" t="s">
        <v>168</v>
      </c>
      <c r="E582" t="s">
        <v>85</v>
      </c>
      <c r="F582">
        <v>8</v>
      </c>
      <c r="G582" s="2">
        <v>48500</v>
      </c>
      <c r="H582" s="3">
        <v>0.2</v>
      </c>
      <c r="I582" t="s">
        <v>17</v>
      </c>
      <c r="J582" t="s">
        <v>18</v>
      </c>
      <c r="K582" t="s">
        <v>25</v>
      </c>
      <c r="L582" s="2">
        <v>310400</v>
      </c>
      <c r="M582" t="s">
        <v>59</v>
      </c>
    </row>
    <row r="583" spans="1:13" x14ac:dyDescent="0.3">
      <c r="A583" t="s">
        <v>900</v>
      </c>
      <c r="B583" s="1">
        <v>46169</v>
      </c>
      <c r="C583" t="s">
        <v>901</v>
      </c>
      <c r="D583" t="s">
        <v>168</v>
      </c>
      <c r="E583" t="s">
        <v>74</v>
      </c>
      <c r="F583">
        <v>10</v>
      </c>
      <c r="G583" s="2">
        <v>2400</v>
      </c>
      <c r="H583" s="3">
        <v>0.2</v>
      </c>
      <c r="I583" t="s">
        <v>17</v>
      </c>
      <c r="J583" t="s">
        <v>31</v>
      </c>
      <c r="K583" t="s">
        <v>41</v>
      </c>
      <c r="L583" s="2">
        <v>19200</v>
      </c>
      <c r="M583" t="s">
        <v>82</v>
      </c>
    </row>
    <row r="584" spans="1:13" x14ac:dyDescent="0.3">
      <c r="A584" t="s">
        <v>902</v>
      </c>
      <c r="B584" s="1">
        <v>46042</v>
      </c>
      <c r="C584" t="s">
        <v>234</v>
      </c>
      <c r="D584" t="s">
        <v>90</v>
      </c>
      <c r="E584" t="s">
        <v>135</v>
      </c>
      <c r="F584">
        <v>1</v>
      </c>
      <c r="G584" s="2">
        <v>16800</v>
      </c>
      <c r="H584" s="3">
        <v>0.15</v>
      </c>
      <c r="I584" t="s">
        <v>17</v>
      </c>
      <c r="J584" t="s">
        <v>31</v>
      </c>
      <c r="K584" t="s">
        <v>25</v>
      </c>
      <c r="L584" s="2">
        <v>14280</v>
      </c>
      <c r="M584" t="s">
        <v>59</v>
      </c>
    </row>
    <row r="585" spans="1:13" x14ac:dyDescent="0.3">
      <c r="A585" t="s">
        <v>903</v>
      </c>
      <c r="B585" s="1">
        <v>46174</v>
      </c>
      <c r="C585" t="s">
        <v>264</v>
      </c>
      <c r="D585" t="s">
        <v>123</v>
      </c>
      <c r="E585" t="s">
        <v>30</v>
      </c>
      <c r="F585">
        <v>3</v>
      </c>
      <c r="G585" s="2">
        <v>1800</v>
      </c>
      <c r="H585" s="3">
        <v>0.05</v>
      </c>
      <c r="I585" t="s">
        <v>17</v>
      </c>
      <c r="J585" t="s">
        <v>18</v>
      </c>
      <c r="K585" t="s">
        <v>41</v>
      </c>
      <c r="L585" s="2">
        <v>5130</v>
      </c>
      <c r="M585" t="s">
        <v>82</v>
      </c>
    </row>
    <row r="586" spans="1:13" x14ac:dyDescent="0.3">
      <c r="A586" t="s">
        <v>904</v>
      </c>
      <c r="B586" s="1">
        <v>46031</v>
      </c>
      <c r="C586" t="s">
        <v>232</v>
      </c>
      <c r="D586" t="s">
        <v>35</v>
      </c>
      <c r="E586" t="s">
        <v>63</v>
      </c>
      <c r="F586">
        <v>8</v>
      </c>
      <c r="G586" s="2">
        <v>2200</v>
      </c>
      <c r="H586" s="3">
        <v>0.15</v>
      </c>
      <c r="I586" t="s">
        <v>80</v>
      </c>
      <c r="J586" t="s">
        <v>18</v>
      </c>
      <c r="K586" t="s">
        <v>55</v>
      </c>
      <c r="L586" s="2">
        <v>14960</v>
      </c>
      <c r="M586" t="s">
        <v>52</v>
      </c>
    </row>
    <row r="587" spans="1:13" x14ac:dyDescent="0.3">
      <c r="A587" t="s">
        <v>905</v>
      </c>
      <c r="B587" s="1">
        <v>46192</v>
      </c>
      <c r="C587" t="s">
        <v>196</v>
      </c>
      <c r="D587" t="s">
        <v>62</v>
      </c>
      <c r="E587" t="s">
        <v>85</v>
      </c>
      <c r="F587">
        <v>3</v>
      </c>
      <c r="G587" s="2">
        <v>48500</v>
      </c>
      <c r="H587" s="3">
        <v>0</v>
      </c>
      <c r="I587" t="s">
        <v>17</v>
      </c>
      <c r="J587" t="s">
        <v>47</v>
      </c>
      <c r="K587" t="s">
        <v>19</v>
      </c>
      <c r="L587" s="2">
        <v>145500</v>
      </c>
      <c r="M587" t="s">
        <v>20</v>
      </c>
    </row>
    <row r="588" spans="1:13" x14ac:dyDescent="0.3">
      <c r="A588" t="s">
        <v>906</v>
      </c>
      <c r="B588" s="1">
        <v>46065</v>
      </c>
      <c r="C588" t="s">
        <v>202</v>
      </c>
      <c r="D588" t="s">
        <v>62</v>
      </c>
      <c r="E588" t="s">
        <v>161</v>
      </c>
      <c r="F588">
        <v>2</v>
      </c>
      <c r="G588" s="2">
        <v>2600</v>
      </c>
      <c r="H588" s="3">
        <v>0.1</v>
      </c>
      <c r="I588" t="s">
        <v>17</v>
      </c>
      <c r="J588" t="s">
        <v>18</v>
      </c>
      <c r="K588" t="s">
        <v>55</v>
      </c>
      <c r="L588" s="2">
        <v>4680</v>
      </c>
      <c r="M588" t="s">
        <v>26</v>
      </c>
    </row>
    <row r="589" spans="1:13" x14ac:dyDescent="0.3">
      <c r="A589" t="s">
        <v>907</v>
      </c>
      <c r="B589" s="1">
        <v>46060</v>
      </c>
      <c r="C589" t="s">
        <v>519</v>
      </c>
      <c r="D589" t="s">
        <v>152</v>
      </c>
      <c r="E589" t="s">
        <v>161</v>
      </c>
      <c r="F589">
        <v>1</v>
      </c>
      <c r="G589" s="2">
        <v>2600</v>
      </c>
      <c r="H589" s="3">
        <v>0.1</v>
      </c>
      <c r="I589" t="s">
        <v>17</v>
      </c>
      <c r="J589" t="s">
        <v>31</v>
      </c>
      <c r="K589" t="s">
        <v>25</v>
      </c>
      <c r="L589" s="2">
        <v>2340</v>
      </c>
      <c r="M589" t="s">
        <v>138</v>
      </c>
    </row>
    <row r="590" spans="1:13" x14ac:dyDescent="0.3">
      <c r="A590" t="s">
        <v>908</v>
      </c>
      <c r="B590" s="1">
        <v>46133</v>
      </c>
      <c r="C590" t="s">
        <v>243</v>
      </c>
      <c r="D590" t="s">
        <v>40</v>
      </c>
      <c r="E590" t="s">
        <v>74</v>
      </c>
      <c r="F590">
        <v>5</v>
      </c>
      <c r="G590" s="2">
        <v>2280</v>
      </c>
      <c r="H590" s="3">
        <v>0.05</v>
      </c>
      <c r="I590" t="s">
        <v>17</v>
      </c>
      <c r="J590" t="s">
        <v>18</v>
      </c>
      <c r="K590" t="s">
        <v>55</v>
      </c>
      <c r="L590" s="2">
        <v>10830</v>
      </c>
      <c r="M590" t="s">
        <v>52</v>
      </c>
    </row>
    <row r="591" spans="1:13" x14ac:dyDescent="0.3">
      <c r="A591" t="s">
        <v>909</v>
      </c>
      <c r="B591" s="1">
        <v>46195</v>
      </c>
      <c r="C591" t="s">
        <v>281</v>
      </c>
      <c r="D591" t="s">
        <v>40</v>
      </c>
      <c r="E591" t="s">
        <v>24</v>
      </c>
      <c r="F591">
        <v>2</v>
      </c>
      <c r="G591" s="2">
        <v>11200</v>
      </c>
      <c r="H591" s="3">
        <v>0.2</v>
      </c>
      <c r="I591" t="s">
        <v>17</v>
      </c>
      <c r="J591" t="s">
        <v>31</v>
      </c>
      <c r="K591" t="s">
        <v>19</v>
      </c>
      <c r="L591" s="2">
        <v>17920</v>
      </c>
      <c r="M591" t="s">
        <v>42</v>
      </c>
    </row>
    <row r="592" spans="1:13" x14ac:dyDescent="0.3">
      <c r="A592" t="s">
        <v>910</v>
      </c>
      <c r="B592" s="1">
        <v>46026</v>
      </c>
      <c r="C592" t="s">
        <v>321</v>
      </c>
      <c r="D592" t="s">
        <v>70</v>
      </c>
      <c r="E592" t="s">
        <v>63</v>
      </c>
      <c r="F592">
        <v>2</v>
      </c>
      <c r="G592" s="2">
        <v>2200</v>
      </c>
      <c r="H592" s="3">
        <v>0.2</v>
      </c>
      <c r="I592" t="s">
        <v>17</v>
      </c>
      <c r="J592" t="s">
        <v>47</v>
      </c>
      <c r="K592" t="s">
        <v>41</v>
      </c>
      <c r="L592" s="2">
        <v>3520</v>
      </c>
      <c r="M592" t="s">
        <v>20</v>
      </c>
    </row>
    <row r="593" spans="1:13" x14ac:dyDescent="0.3">
      <c r="A593" t="s">
        <v>911</v>
      </c>
      <c r="B593" s="1">
        <v>46029</v>
      </c>
      <c r="C593" t="s">
        <v>221</v>
      </c>
      <c r="D593" t="s">
        <v>40</v>
      </c>
      <c r="E593" t="s">
        <v>63</v>
      </c>
      <c r="F593">
        <v>1</v>
      </c>
      <c r="G593" s="2">
        <v>2200</v>
      </c>
      <c r="H593" s="3">
        <v>0.15</v>
      </c>
      <c r="I593" t="s">
        <v>17</v>
      </c>
      <c r="J593" t="s">
        <v>31</v>
      </c>
      <c r="K593" t="s">
        <v>19</v>
      </c>
      <c r="L593" s="2">
        <v>1870</v>
      </c>
      <c r="M593" t="s">
        <v>48</v>
      </c>
    </row>
    <row r="594" spans="1:13" x14ac:dyDescent="0.3">
      <c r="A594" t="s">
        <v>912</v>
      </c>
      <c r="B594" s="1">
        <v>46056</v>
      </c>
      <c r="C594" t="s">
        <v>294</v>
      </c>
      <c r="D594" t="s">
        <v>70</v>
      </c>
      <c r="E594" t="s">
        <v>74</v>
      </c>
      <c r="F594">
        <v>4</v>
      </c>
      <c r="G594" s="2">
        <v>2400</v>
      </c>
      <c r="H594" s="3">
        <v>0.2</v>
      </c>
      <c r="I594" t="s">
        <v>17</v>
      </c>
      <c r="J594" t="s">
        <v>71</v>
      </c>
      <c r="K594" t="s">
        <v>67</v>
      </c>
      <c r="L594" s="2">
        <v>7680</v>
      </c>
      <c r="M594" t="s">
        <v>26</v>
      </c>
    </row>
    <row r="595" spans="1:13" x14ac:dyDescent="0.3">
      <c r="A595" t="s">
        <v>913</v>
      </c>
      <c r="B595" s="1">
        <v>46142</v>
      </c>
      <c r="C595" t="s">
        <v>463</v>
      </c>
      <c r="D595" t="s">
        <v>95</v>
      </c>
      <c r="E595" t="s">
        <v>63</v>
      </c>
      <c r="F595">
        <v>3</v>
      </c>
      <c r="G595" s="2">
        <v>2200</v>
      </c>
      <c r="H595" s="3">
        <v>0.05</v>
      </c>
      <c r="I595" t="s">
        <v>17</v>
      </c>
      <c r="J595" t="s">
        <v>71</v>
      </c>
      <c r="K595" t="s">
        <v>19</v>
      </c>
      <c r="L595" s="2">
        <v>6270</v>
      </c>
      <c r="M595" t="s">
        <v>26</v>
      </c>
    </row>
    <row r="596" spans="1:13" x14ac:dyDescent="0.3">
      <c r="A596" t="s">
        <v>914</v>
      </c>
      <c r="B596" s="1">
        <v>46038</v>
      </c>
      <c r="C596" t="s">
        <v>551</v>
      </c>
      <c r="D596" t="s">
        <v>70</v>
      </c>
      <c r="E596" t="s">
        <v>161</v>
      </c>
      <c r="F596">
        <v>2</v>
      </c>
      <c r="G596" s="2">
        <v>2600</v>
      </c>
      <c r="H596" s="3">
        <v>0</v>
      </c>
      <c r="I596" t="s">
        <v>17</v>
      </c>
      <c r="J596" t="s">
        <v>18</v>
      </c>
      <c r="K596" t="s">
        <v>19</v>
      </c>
      <c r="L596" s="2">
        <v>5200</v>
      </c>
      <c r="M596" t="s">
        <v>56</v>
      </c>
    </row>
    <row r="597" spans="1:13" x14ac:dyDescent="0.3">
      <c r="A597" t="s">
        <v>915</v>
      </c>
      <c r="B597" s="1">
        <v>46074</v>
      </c>
      <c r="C597" t="s">
        <v>434</v>
      </c>
      <c r="D597" t="s">
        <v>40</v>
      </c>
      <c r="E597" t="s">
        <v>161</v>
      </c>
      <c r="F597">
        <v>1</v>
      </c>
      <c r="G597" s="2">
        <v>2730</v>
      </c>
      <c r="H597" s="3">
        <v>0.1</v>
      </c>
      <c r="I597" t="s">
        <v>17</v>
      </c>
      <c r="J597" t="s">
        <v>31</v>
      </c>
      <c r="K597" t="s">
        <v>55</v>
      </c>
      <c r="L597" s="2">
        <v>2457</v>
      </c>
      <c r="M597" t="s">
        <v>26</v>
      </c>
    </row>
    <row r="598" spans="1:13" x14ac:dyDescent="0.3">
      <c r="A598" t="s">
        <v>916</v>
      </c>
      <c r="B598" s="1">
        <v>46049</v>
      </c>
      <c r="C598" t="s">
        <v>576</v>
      </c>
      <c r="D598" t="s">
        <v>168</v>
      </c>
      <c r="E598" t="s">
        <v>63</v>
      </c>
      <c r="F598">
        <v>1</v>
      </c>
      <c r="G598" s="2">
        <v>2310</v>
      </c>
      <c r="H598" s="3">
        <v>0.2</v>
      </c>
      <c r="I598" t="s">
        <v>17</v>
      </c>
      <c r="J598" t="s">
        <v>18</v>
      </c>
      <c r="K598" t="s">
        <v>41</v>
      </c>
      <c r="L598" s="2">
        <v>1848</v>
      </c>
      <c r="M598" t="s">
        <v>20</v>
      </c>
    </row>
    <row r="599" spans="1:13" x14ac:dyDescent="0.3">
      <c r="A599" t="s">
        <v>917</v>
      </c>
      <c r="B599" s="1">
        <v>46032</v>
      </c>
      <c r="C599" t="s">
        <v>120</v>
      </c>
      <c r="D599" t="s">
        <v>95</v>
      </c>
      <c r="E599" t="s">
        <v>161</v>
      </c>
      <c r="F599">
        <v>1</v>
      </c>
      <c r="G599" s="2">
        <v>2730</v>
      </c>
      <c r="H599" s="3">
        <v>0.2</v>
      </c>
      <c r="I599" t="s">
        <v>17</v>
      </c>
      <c r="J599" t="s">
        <v>18</v>
      </c>
      <c r="K599" t="s">
        <v>55</v>
      </c>
      <c r="L599" s="2">
        <v>2184</v>
      </c>
      <c r="M599" t="s">
        <v>32</v>
      </c>
    </row>
    <row r="600" spans="1:13" x14ac:dyDescent="0.3">
      <c r="A600" t="s">
        <v>918</v>
      </c>
      <c r="B600" s="1">
        <v>46126</v>
      </c>
      <c r="C600" t="s">
        <v>230</v>
      </c>
      <c r="D600" t="s">
        <v>90</v>
      </c>
      <c r="E600" t="s">
        <v>85</v>
      </c>
      <c r="F600">
        <v>4</v>
      </c>
      <c r="G600" s="2">
        <v>46075</v>
      </c>
      <c r="H600" s="3">
        <v>0</v>
      </c>
      <c r="I600" t="s">
        <v>17</v>
      </c>
      <c r="J600" t="s">
        <v>18</v>
      </c>
      <c r="K600" t="s">
        <v>19</v>
      </c>
      <c r="L600" s="2">
        <v>184300</v>
      </c>
      <c r="M600" t="s">
        <v>48</v>
      </c>
    </row>
    <row r="601" spans="1:13" x14ac:dyDescent="0.3">
      <c r="A601" t="s">
        <v>919</v>
      </c>
      <c r="B601" s="1">
        <v>46160</v>
      </c>
      <c r="C601" t="s">
        <v>256</v>
      </c>
      <c r="D601" t="s">
        <v>77</v>
      </c>
      <c r="E601" t="s">
        <v>36</v>
      </c>
      <c r="F601">
        <v>2</v>
      </c>
      <c r="G601" s="2">
        <v>1330</v>
      </c>
      <c r="H601" s="3">
        <v>0.05</v>
      </c>
      <c r="I601" t="s">
        <v>17</v>
      </c>
      <c r="J601" t="s">
        <v>47</v>
      </c>
      <c r="K601" t="s">
        <v>19</v>
      </c>
      <c r="L601" s="2">
        <v>2527</v>
      </c>
      <c r="M601" t="s">
        <v>56</v>
      </c>
    </row>
    <row r="602" spans="1:13" x14ac:dyDescent="0.3">
      <c r="A602" t="s">
        <v>920</v>
      </c>
      <c r="B602" s="1">
        <v>46097</v>
      </c>
      <c r="D602" t="s">
        <v>95</v>
      </c>
      <c r="E602" t="s">
        <v>24</v>
      </c>
      <c r="F602">
        <v>1</v>
      </c>
      <c r="G602" s="2">
        <v>11200</v>
      </c>
      <c r="H602" s="3">
        <v>0</v>
      </c>
      <c r="I602" t="s">
        <v>116</v>
      </c>
      <c r="J602" t="s">
        <v>18</v>
      </c>
      <c r="K602" t="s">
        <v>19</v>
      </c>
      <c r="L602" s="2">
        <v>11200</v>
      </c>
      <c r="M602" t="s">
        <v>138</v>
      </c>
    </row>
    <row r="603" spans="1:13" x14ac:dyDescent="0.3">
      <c r="A603" t="s">
        <v>921</v>
      </c>
      <c r="B603" s="1">
        <v>46147</v>
      </c>
      <c r="C603" t="s">
        <v>922</v>
      </c>
      <c r="D603" t="s">
        <v>15</v>
      </c>
      <c r="E603" t="s">
        <v>74</v>
      </c>
      <c r="F603">
        <v>2</v>
      </c>
      <c r="G603" s="2">
        <v>2400</v>
      </c>
      <c r="H603" s="3">
        <v>0</v>
      </c>
      <c r="I603" t="s">
        <v>17</v>
      </c>
      <c r="J603" t="s">
        <v>71</v>
      </c>
      <c r="K603" t="s">
        <v>55</v>
      </c>
      <c r="L603" s="2">
        <v>4800</v>
      </c>
      <c r="M603" t="s">
        <v>32</v>
      </c>
    </row>
    <row r="604" spans="1:13" x14ac:dyDescent="0.3">
      <c r="A604" t="s">
        <v>923</v>
      </c>
      <c r="B604" s="1">
        <v>46039</v>
      </c>
      <c r="C604" t="s">
        <v>467</v>
      </c>
      <c r="D604" t="s">
        <v>29</v>
      </c>
      <c r="E604" t="s">
        <v>51</v>
      </c>
      <c r="F604">
        <v>3</v>
      </c>
      <c r="G604" s="2">
        <v>19425</v>
      </c>
      <c r="H604" s="3">
        <v>0.1</v>
      </c>
      <c r="I604" t="s">
        <v>17</v>
      </c>
      <c r="J604" t="s">
        <v>31</v>
      </c>
      <c r="K604" t="s">
        <v>67</v>
      </c>
      <c r="L604" s="2">
        <v>52447.5</v>
      </c>
      <c r="M604" t="s">
        <v>20</v>
      </c>
    </row>
    <row r="605" spans="1:13" x14ac:dyDescent="0.3">
      <c r="A605" t="s">
        <v>924</v>
      </c>
      <c r="B605" s="1">
        <v>46109</v>
      </c>
      <c r="C605" t="s">
        <v>709</v>
      </c>
      <c r="D605" t="s">
        <v>29</v>
      </c>
      <c r="E605" t="s">
        <v>85</v>
      </c>
      <c r="F605">
        <v>1</v>
      </c>
      <c r="G605" s="2">
        <v>50925</v>
      </c>
      <c r="H605" s="3">
        <v>0</v>
      </c>
      <c r="I605" t="s">
        <v>17</v>
      </c>
      <c r="J605" t="s">
        <v>71</v>
      </c>
      <c r="K605" t="s">
        <v>19</v>
      </c>
      <c r="L605" s="2">
        <v>50925</v>
      </c>
      <c r="M605" t="s">
        <v>20</v>
      </c>
    </row>
    <row r="606" spans="1:13" x14ac:dyDescent="0.3">
      <c r="A606" t="s">
        <v>925</v>
      </c>
      <c r="B606" s="1">
        <v>46059</v>
      </c>
      <c r="C606" t="s">
        <v>234</v>
      </c>
      <c r="D606" t="s">
        <v>62</v>
      </c>
      <c r="E606" t="s">
        <v>74</v>
      </c>
      <c r="F606">
        <v>1</v>
      </c>
      <c r="G606" s="2">
        <v>2400</v>
      </c>
      <c r="H606" s="3">
        <v>0.15</v>
      </c>
      <c r="I606" t="s">
        <v>17</v>
      </c>
      <c r="J606" t="s">
        <v>71</v>
      </c>
      <c r="K606" t="s">
        <v>19</v>
      </c>
      <c r="L606" s="2">
        <v>2040</v>
      </c>
      <c r="M606" t="s">
        <v>26</v>
      </c>
    </row>
    <row r="607" spans="1:13" x14ac:dyDescent="0.3">
      <c r="A607" t="s">
        <v>926</v>
      </c>
      <c r="B607" s="1">
        <v>46047</v>
      </c>
      <c r="C607" t="s">
        <v>65</v>
      </c>
      <c r="D607" t="s">
        <v>62</v>
      </c>
      <c r="E607" t="s">
        <v>183</v>
      </c>
      <c r="F607">
        <v>1</v>
      </c>
      <c r="G607" s="2">
        <v>3040</v>
      </c>
      <c r="H607" s="3">
        <v>0.15</v>
      </c>
      <c r="I607" t="s">
        <v>17</v>
      </c>
      <c r="J607" t="s">
        <v>18</v>
      </c>
      <c r="K607" t="s">
        <v>25</v>
      </c>
      <c r="L607" s="2">
        <v>2584</v>
      </c>
      <c r="M607" t="s">
        <v>48</v>
      </c>
    </row>
    <row r="608" spans="1:13" x14ac:dyDescent="0.3">
      <c r="A608" t="s">
        <v>927</v>
      </c>
      <c r="B608" s="1">
        <v>46079</v>
      </c>
      <c r="C608" t="s">
        <v>546</v>
      </c>
      <c r="D608" t="s">
        <v>15</v>
      </c>
      <c r="E608" t="s">
        <v>24</v>
      </c>
      <c r="F608">
        <v>2</v>
      </c>
      <c r="G608" s="2">
        <v>11200</v>
      </c>
      <c r="H608" s="3">
        <v>0.2</v>
      </c>
      <c r="I608" t="s">
        <v>17</v>
      </c>
      <c r="J608" t="s">
        <v>71</v>
      </c>
      <c r="K608" t="s">
        <v>67</v>
      </c>
      <c r="L608" s="2">
        <v>17920</v>
      </c>
      <c r="M608" t="s">
        <v>52</v>
      </c>
    </row>
    <row r="609" spans="1:13" x14ac:dyDescent="0.3">
      <c r="A609" t="s">
        <v>928</v>
      </c>
      <c r="B609" s="1">
        <v>46034</v>
      </c>
      <c r="C609" t="s">
        <v>487</v>
      </c>
      <c r="D609" t="s">
        <v>40</v>
      </c>
      <c r="E609" t="s">
        <v>30</v>
      </c>
      <c r="F609">
        <v>2</v>
      </c>
      <c r="G609" s="2">
        <v>1890</v>
      </c>
      <c r="H609" s="3">
        <v>0</v>
      </c>
      <c r="I609" t="s">
        <v>17</v>
      </c>
      <c r="J609" t="s">
        <v>47</v>
      </c>
      <c r="K609" t="s">
        <v>25</v>
      </c>
      <c r="L609" s="2">
        <v>3780</v>
      </c>
      <c r="M609" t="s">
        <v>59</v>
      </c>
    </row>
    <row r="610" spans="1:13" x14ac:dyDescent="0.3">
      <c r="A610" t="s">
        <v>929</v>
      </c>
      <c r="B610" s="1">
        <v>46135</v>
      </c>
      <c r="C610" t="s">
        <v>381</v>
      </c>
      <c r="D610" t="s">
        <v>23</v>
      </c>
      <c r="E610" t="s">
        <v>183</v>
      </c>
      <c r="F610">
        <v>1</v>
      </c>
      <c r="G610" s="2">
        <v>3360</v>
      </c>
      <c r="H610" s="3">
        <v>0</v>
      </c>
      <c r="I610" t="s">
        <v>17</v>
      </c>
      <c r="J610" t="s">
        <v>31</v>
      </c>
      <c r="K610" t="s">
        <v>55</v>
      </c>
      <c r="L610" s="2">
        <v>3360</v>
      </c>
      <c r="M610" t="s">
        <v>42</v>
      </c>
    </row>
    <row r="611" spans="1:13" x14ac:dyDescent="0.3">
      <c r="A611" t="s">
        <v>930</v>
      </c>
      <c r="B611" s="1">
        <v>46024</v>
      </c>
      <c r="D611" t="s">
        <v>168</v>
      </c>
      <c r="E611" t="s">
        <v>30</v>
      </c>
      <c r="F611">
        <v>8</v>
      </c>
      <c r="G611" s="2">
        <v>1800</v>
      </c>
      <c r="H611" s="3">
        <v>0.2</v>
      </c>
      <c r="I611" t="s">
        <v>17</v>
      </c>
      <c r="J611" t="s">
        <v>18</v>
      </c>
      <c r="K611" t="s">
        <v>41</v>
      </c>
      <c r="L611" s="2">
        <v>11520</v>
      </c>
      <c r="M611" t="s">
        <v>52</v>
      </c>
    </row>
    <row r="612" spans="1:13" x14ac:dyDescent="0.3">
      <c r="A612" t="s">
        <v>931</v>
      </c>
      <c r="B612" s="1">
        <v>46059</v>
      </c>
      <c r="C612" t="s">
        <v>419</v>
      </c>
      <c r="D612" t="s">
        <v>95</v>
      </c>
      <c r="E612" t="s">
        <v>135</v>
      </c>
      <c r="F612">
        <v>2</v>
      </c>
      <c r="G612" s="2">
        <v>16800</v>
      </c>
      <c r="H612" s="3">
        <v>0.1</v>
      </c>
      <c r="I612" t="s">
        <v>17</v>
      </c>
      <c r="J612" t="s">
        <v>71</v>
      </c>
      <c r="K612" t="s">
        <v>55</v>
      </c>
      <c r="L612" s="2">
        <v>30240</v>
      </c>
      <c r="M612" t="s">
        <v>48</v>
      </c>
    </row>
    <row r="613" spans="1:13" x14ac:dyDescent="0.3">
      <c r="A613" t="s">
        <v>932</v>
      </c>
      <c r="B613" s="1">
        <v>46045</v>
      </c>
      <c r="C613" t="s">
        <v>440</v>
      </c>
      <c r="D613" t="s">
        <v>95</v>
      </c>
      <c r="E613" t="s">
        <v>135</v>
      </c>
      <c r="F613">
        <v>2</v>
      </c>
      <c r="G613" s="2">
        <v>16800</v>
      </c>
      <c r="H613" s="3">
        <v>0</v>
      </c>
      <c r="I613" t="s">
        <v>17</v>
      </c>
      <c r="J613" t="s">
        <v>31</v>
      </c>
      <c r="K613" t="s">
        <v>25</v>
      </c>
      <c r="L613" s="2">
        <v>33600</v>
      </c>
      <c r="M613" t="s">
        <v>138</v>
      </c>
    </row>
    <row r="614" spans="1:13" x14ac:dyDescent="0.3">
      <c r="A614" t="s">
        <v>933</v>
      </c>
      <c r="B614" s="1">
        <v>46161</v>
      </c>
      <c r="C614" t="s">
        <v>196</v>
      </c>
      <c r="D614" t="s">
        <v>152</v>
      </c>
      <c r="E614" t="s">
        <v>24</v>
      </c>
      <c r="F614">
        <v>2</v>
      </c>
      <c r="G614" s="2">
        <v>11200</v>
      </c>
      <c r="H614" s="3">
        <v>0.2</v>
      </c>
      <c r="I614" t="s">
        <v>17</v>
      </c>
      <c r="J614" t="s">
        <v>71</v>
      </c>
      <c r="K614" t="s">
        <v>19</v>
      </c>
      <c r="L614" s="2">
        <v>17920</v>
      </c>
      <c r="M614" t="s">
        <v>59</v>
      </c>
    </row>
    <row r="615" spans="1:13" x14ac:dyDescent="0.3">
      <c r="A615" t="s">
        <v>934</v>
      </c>
      <c r="B615" s="1">
        <v>46198</v>
      </c>
      <c r="C615" t="s">
        <v>196</v>
      </c>
      <c r="D615" t="s">
        <v>90</v>
      </c>
      <c r="E615" t="s">
        <v>46</v>
      </c>
      <c r="F615">
        <v>2</v>
      </c>
      <c r="G615" s="2">
        <v>7410</v>
      </c>
      <c r="H615" s="3">
        <v>0</v>
      </c>
      <c r="I615" t="s">
        <v>17</v>
      </c>
      <c r="J615" t="s">
        <v>47</v>
      </c>
      <c r="K615" t="s">
        <v>67</v>
      </c>
      <c r="L615" s="2">
        <v>14820</v>
      </c>
      <c r="M615" t="s">
        <v>52</v>
      </c>
    </row>
    <row r="616" spans="1:13" x14ac:dyDescent="0.3">
      <c r="A616" t="s">
        <v>935</v>
      </c>
      <c r="B616" s="1">
        <v>46134</v>
      </c>
      <c r="C616" t="s">
        <v>310</v>
      </c>
      <c r="D616" t="s">
        <v>45</v>
      </c>
      <c r="E616" t="s">
        <v>36</v>
      </c>
      <c r="F616">
        <v>3</v>
      </c>
      <c r="G616" s="2">
        <v>1330</v>
      </c>
      <c r="H616" s="3">
        <v>0.1</v>
      </c>
      <c r="I616" t="s">
        <v>17</v>
      </c>
      <c r="J616" t="s">
        <v>71</v>
      </c>
      <c r="K616" t="s">
        <v>19</v>
      </c>
      <c r="L616" s="2">
        <v>3591</v>
      </c>
      <c r="M616" t="s">
        <v>56</v>
      </c>
    </row>
    <row r="617" spans="1:13" x14ac:dyDescent="0.3">
      <c r="A617" t="s">
        <v>936</v>
      </c>
      <c r="B617" s="1">
        <v>46154</v>
      </c>
      <c r="C617" t="s">
        <v>163</v>
      </c>
      <c r="D617" t="s">
        <v>15</v>
      </c>
      <c r="E617" t="s">
        <v>63</v>
      </c>
      <c r="F617">
        <v>5</v>
      </c>
      <c r="G617" s="2">
        <v>2200</v>
      </c>
      <c r="H617" s="3">
        <v>0.2</v>
      </c>
      <c r="I617" t="s">
        <v>17</v>
      </c>
      <c r="J617" t="s">
        <v>71</v>
      </c>
      <c r="K617" t="s">
        <v>67</v>
      </c>
      <c r="L617" s="2">
        <v>8800</v>
      </c>
      <c r="M617" t="s">
        <v>52</v>
      </c>
    </row>
    <row r="618" spans="1:13" x14ac:dyDescent="0.3">
      <c r="A618" t="s">
        <v>937</v>
      </c>
      <c r="B618" s="1">
        <v>46051</v>
      </c>
      <c r="C618" t="s">
        <v>596</v>
      </c>
      <c r="D618" t="s">
        <v>35</v>
      </c>
      <c r="E618" t="s">
        <v>24</v>
      </c>
      <c r="F618">
        <v>1</v>
      </c>
      <c r="G618" s="2">
        <v>11200</v>
      </c>
      <c r="H618" s="3">
        <v>0.2</v>
      </c>
      <c r="I618" t="s">
        <v>17</v>
      </c>
      <c r="J618" t="s">
        <v>71</v>
      </c>
      <c r="K618" t="s">
        <v>19</v>
      </c>
      <c r="L618" s="2">
        <v>8960</v>
      </c>
      <c r="M618" t="s">
        <v>56</v>
      </c>
    </row>
    <row r="619" spans="1:13" x14ac:dyDescent="0.3">
      <c r="A619" t="s">
        <v>938</v>
      </c>
      <c r="B619" s="1">
        <v>46172</v>
      </c>
      <c r="C619" t="s">
        <v>551</v>
      </c>
      <c r="D619" t="s">
        <v>62</v>
      </c>
      <c r="E619" t="s">
        <v>16</v>
      </c>
      <c r="F619">
        <v>5</v>
      </c>
      <c r="G619" s="2">
        <v>682.5</v>
      </c>
      <c r="H619" s="3">
        <v>0</v>
      </c>
      <c r="I619" t="s">
        <v>17</v>
      </c>
      <c r="J619" t="s">
        <v>18</v>
      </c>
      <c r="K619" t="s">
        <v>67</v>
      </c>
      <c r="L619" s="2">
        <v>3412.5</v>
      </c>
      <c r="M619" t="s">
        <v>59</v>
      </c>
    </row>
    <row r="620" spans="1:13" x14ac:dyDescent="0.3">
      <c r="A620" t="s">
        <v>939</v>
      </c>
      <c r="B620" s="1">
        <v>46140</v>
      </c>
      <c r="C620" t="s">
        <v>444</v>
      </c>
      <c r="D620" t="s">
        <v>123</v>
      </c>
      <c r="E620" t="s">
        <v>24</v>
      </c>
      <c r="F620">
        <v>3</v>
      </c>
      <c r="G620" s="2">
        <v>11200</v>
      </c>
      <c r="H620" s="3"/>
      <c r="I620" t="s">
        <v>17</v>
      </c>
      <c r="J620" t="s">
        <v>31</v>
      </c>
      <c r="K620" t="s">
        <v>67</v>
      </c>
      <c r="L620" s="2">
        <v>31920</v>
      </c>
      <c r="M620" t="s">
        <v>59</v>
      </c>
    </row>
    <row r="621" spans="1:13" x14ac:dyDescent="0.3">
      <c r="A621" t="s">
        <v>940</v>
      </c>
      <c r="B621" s="1">
        <v>46051</v>
      </c>
      <c r="C621" t="s">
        <v>246</v>
      </c>
      <c r="D621" t="s">
        <v>90</v>
      </c>
      <c r="E621" t="s">
        <v>46</v>
      </c>
      <c r="F621">
        <v>2</v>
      </c>
      <c r="G621" s="2">
        <v>7800</v>
      </c>
      <c r="H621" s="3">
        <v>0</v>
      </c>
      <c r="I621" t="s">
        <v>17</v>
      </c>
      <c r="J621" t="s">
        <v>71</v>
      </c>
      <c r="K621" t="s">
        <v>25</v>
      </c>
      <c r="L621" s="2">
        <v>15600</v>
      </c>
      <c r="M621" t="s">
        <v>59</v>
      </c>
    </row>
    <row r="622" spans="1:13" x14ac:dyDescent="0.3">
      <c r="A622" t="s">
        <v>941</v>
      </c>
      <c r="B622" t="s">
        <v>942</v>
      </c>
      <c r="C622" t="s">
        <v>399</v>
      </c>
      <c r="D622" t="s">
        <v>152</v>
      </c>
      <c r="E622" t="s">
        <v>24</v>
      </c>
      <c r="F622">
        <v>1</v>
      </c>
      <c r="G622" s="2">
        <v>11200</v>
      </c>
      <c r="H622" s="3">
        <v>0.15</v>
      </c>
      <c r="I622" t="s">
        <v>17</v>
      </c>
      <c r="J622" t="s">
        <v>18</v>
      </c>
      <c r="K622" t="s">
        <v>67</v>
      </c>
      <c r="L622" s="2">
        <v>9520</v>
      </c>
      <c r="M622" t="s">
        <v>20</v>
      </c>
    </row>
    <row r="623" spans="1:13" x14ac:dyDescent="0.3">
      <c r="A623" t="s">
        <v>943</v>
      </c>
      <c r="B623" s="1">
        <v>46132</v>
      </c>
      <c r="C623" t="s">
        <v>682</v>
      </c>
      <c r="D623" t="s">
        <v>123</v>
      </c>
      <c r="E623" t="s">
        <v>24</v>
      </c>
      <c r="F623">
        <v>1</v>
      </c>
      <c r="G623" s="2">
        <v>11200</v>
      </c>
      <c r="H623" s="3">
        <v>0.1</v>
      </c>
      <c r="I623" t="s">
        <v>17</v>
      </c>
      <c r="J623" t="s">
        <v>18</v>
      </c>
      <c r="K623" t="s">
        <v>19</v>
      </c>
      <c r="L623" s="2">
        <v>10080</v>
      </c>
      <c r="M623" t="s">
        <v>20</v>
      </c>
    </row>
    <row r="624" spans="1:13" x14ac:dyDescent="0.3">
      <c r="A624" t="s">
        <v>944</v>
      </c>
      <c r="B624" s="1">
        <v>46143</v>
      </c>
      <c r="C624" t="s">
        <v>84</v>
      </c>
      <c r="D624" t="s">
        <v>123</v>
      </c>
      <c r="E624" t="s">
        <v>51</v>
      </c>
      <c r="F624">
        <v>1</v>
      </c>
      <c r="G624" s="2">
        <v>17575</v>
      </c>
      <c r="H624" s="3">
        <v>0.15</v>
      </c>
      <c r="I624" t="s">
        <v>17</v>
      </c>
      <c r="J624" t="s">
        <v>18</v>
      </c>
      <c r="K624" t="s">
        <v>41</v>
      </c>
      <c r="L624" s="2">
        <v>14938.75</v>
      </c>
      <c r="M624" t="s">
        <v>42</v>
      </c>
    </row>
    <row r="625" spans="1:13" x14ac:dyDescent="0.3">
      <c r="A625" t="s">
        <v>945</v>
      </c>
      <c r="B625" s="1">
        <v>46165</v>
      </c>
      <c r="C625" t="s">
        <v>528</v>
      </c>
      <c r="D625" t="s">
        <v>29</v>
      </c>
      <c r="E625" t="s">
        <v>16</v>
      </c>
      <c r="F625">
        <v>3</v>
      </c>
      <c r="G625" s="2">
        <v>650</v>
      </c>
      <c r="H625" s="3">
        <v>0.1</v>
      </c>
      <c r="I625" t="s">
        <v>80</v>
      </c>
      <c r="J625" t="s">
        <v>47</v>
      </c>
      <c r="K625" t="s">
        <v>41</v>
      </c>
      <c r="L625" s="2">
        <v>1755</v>
      </c>
      <c r="M625" t="s">
        <v>42</v>
      </c>
    </row>
    <row r="626" spans="1:13" x14ac:dyDescent="0.3">
      <c r="A626" t="s">
        <v>946</v>
      </c>
      <c r="B626" s="1">
        <v>46027</v>
      </c>
      <c r="C626" t="s">
        <v>266</v>
      </c>
      <c r="D626" t="s">
        <v>62</v>
      </c>
      <c r="E626" t="s">
        <v>74</v>
      </c>
      <c r="F626">
        <v>2</v>
      </c>
      <c r="G626" s="2">
        <v>2280</v>
      </c>
      <c r="H626" s="3">
        <v>0.2</v>
      </c>
      <c r="I626" t="s">
        <v>17</v>
      </c>
      <c r="J626" t="s">
        <v>18</v>
      </c>
      <c r="K626" t="s">
        <v>41</v>
      </c>
      <c r="L626" s="2">
        <v>3648</v>
      </c>
      <c r="M626" t="s">
        <v>32</v>
      </c>
    </row>
    <row r="627" spans="1:13" x14ac:dyDescent="0.3">
      <c r="A627" t="s">
        <v>947</v>
      </c>
      <c r="B627" s="1">
        <v>46070</v>
      </c>
      <c r="C627" t="s">
        <v>592</v>
      </c>
      <c r="D627" t="s">
        <v>29</v>
      </c>
      <c r="E627" t="s">
        <v>36</v>
      </c>
      <c r="F627">
        <v>3</v>
      </c>
      <c r="G627" s="2">
        <v>1330</v>
      </c>
      <c r="H627" s="3">
        <v>0.2</v>
      </c>
      <c r="I627" t="s">
        <v>17</v>
      </c>
      <c r="J627" t="s">
        <v>47</v>
      </c>
      <c r="K627" t="s">
        <v>25</v>
      </c>
      <c r="L627" s="2">
        <v>3192</v>
      </c>
      <c r="M627" t="s">
        <v>20</v>
      </c>
    </row>
    <row r="628" spans="1:13" x14ac:dyDescent="0.3">
      <c r="A628" t="s">
        <v>948</v>
      </c>
      <c r="B628" s="1">
        <v>46098</v>
      </c>
      <c r="C628" t="s">
        <v>276</v>
      </c>
      <c r="D628" t="s">
        <v>70</v>
      </c>
      <c r="E628" t="s">
        <v>135</v>
      </c>
      <c r="F628">
        <v>3</v>
      </c>
      <c r="G628" s="2">
        <v>16800</v>
      </c>
      <c r="H628" s="3">
        <v>0.15</v>
      </c>
      <c r="I628" t="s">
        <v>17</v>
      </c>
      <c r="J628" t="s">
        <v>47</v>
      </c>
      <c r="K628" t="s">
        <v>19</v>
      </c>
      <c r="L628" s="2">
        <v>42840</v>
      </c>
      <c r="M628" t="s">
        <v>82</v>
      </c>
    </row>
    <row r="629" spans="1:13" x14ac:dyDescent="0.3">
      <c r="A629" t="s">
        <v>949</v>
      </c>
      <c r="B629" s="1">
        <v>46195</v>
      </c>
      <c r="C629" t="s">
        <v>256</v>
      </c>
      <c r="D629" t="s">
        <v>35</v>
      </c>
      <c r="E629" t="s">
        <v>16</v>
      </c>
      <c r="F629">
        <v>1</v>
      </c>
      <c r="G629" s="2">
        <v>617.5</v>
      </c>
      <c r="H629" s="3">
        <v>0.05</v>
      </c>
      <c r="I629" t="s">
        <v>17</v>
      </c>
      <c r="J629" t="s">
        <v>47</v>
      </c>
      <c r="K629" t="s">
        <v>41</v>
      </c>
      <c r="L629" s="2">
        <v>586.62</v>
      </c>
      <c r="M629" t="s">
        <v>82</v>
      </c>
    </row>
    <row r="630" spans="1:13" x14ac:dyDescent="0.3">
      <c r="A630" t="s">
        <v>950</v>
      </c>
      <c r="B630" s="1">
        <v>46203</v>
      </c>
      <c r="C630" t="s">
        <v>156</v>
      </c>
      <c r="D630" t="s">
        <v>15</v>
      </c>
      <c r="E630" t="s">
        <v>51</v>
      </c>
      <c r="F630">
        <v>3</v>
      </c>
      <c r="G630" s="2">
        <v>18500</v>
      </c>
      <c r="H630" s="3">
        <v>0</v>
      </c>
      <c r="I630" t="s">
        <v>17</v>
      </c>
      <c r="J630" t="s">
        <v>31</v>
      </c>
      <c r="K630" t="s">
        <v>55</v>
      </c>
      <c r="L630" s="2">
        <v>55500</v>
      </c>
      <c r="M630" t="s">
        <v>48</v>
      </c>
    </row>
    <row r="631" spans="1:13" x14ac:dyDescent="0.3">
      <c r="A631" t="s">
        <v>951</v>
      </c>
      <c r="B631" s="1">
        <v>46202</v>
      </c>
      <c r="C631" t="s">
        <v>376</v>
      </c>
      <c r="D631" t="s">
        <v>23</v>
      </c>
      <c r="E631" t="s">
        <v>85</v>
      </c>
      <c r="F631">
        <v>4</v>
      </c>
      <c r="G631" s="2">
        <v>48500</v>
      </c>
      <c r="H631" s="3">
        <v>0.05</v>
      </c>
      <c r="I631" t="s">
        <v>17</v>
      </c>
      <c r="J631" t="s">
        <v>18</v>
      </c>
      <c r="K631" t="s">
        <v>67</v>
      </c>
      <c r="L631" s="2">
        <v>184300</v>
      </c>
      <c r="M631" t="s">
        <v>20</v>
      </c>
    </row>
    <row r="632" spans="1:13" x14ac:dyDescent="0.3">
      <c r="A632" t="s">
        <v>952</v>
      </c>
      <c r="B632" s="1">
        <v>46039</v>
      </c>
      <c r="C632" t="s">
        <v>330</v>
      </c>
      <c r="D632" t="s">
        <v>35</v>
      </c>
      <c r="E632" t="s">
        <v>36</v>
      </c>
      <c r="F632">
        <v>2</v>
      </c>
      <c r="G632" s="2">
        <v>1330</v>
      </c>
      <c r="H632" s="3">
        <v>0.15</v>
      </c>
      <c r="I632" t="s">
        <v>17</v>
      </c>
      <c r="J632" t="s">
        <v>47</v>
      </c>
      <c r="K632" t="s">
        <v>55</v>
      </c>
      <c r="L632" s="2">
        <v>2261</v>
      </c>
      <c r="M632" t="s">
        <v>48</v>
      </c>
    </row>
    <row r="633" spans="1:13" x14ac:dyDescent="0.3">
      <c r="A633" t="s">
        <v>953</v>
      </c>
      <c r="B633" s="1">
        <v>46117</v>
      </c>
      <c r="C633" t="s">
        <v>14</v>
      </c>
      <c r="D633" t="s">
        <v>29</v>
      </c>
      <c r="E633" t="s">
        <v>74</v>
      </c>
      <c r="F633">
        <v>8</v>
      </c>
      <c r="G633" s="2">
        <v>2520</v>
      </c>
      <c r="H633" s="3">
        <v>0</v>
      </c>
      <c r="I633" t="s">
        <v>17</v>
      </c>
      <c r="J633" t="s">
        <v>31</v>
      </c>
      <c r="K633" t="s">
        <v>55</v>
      </c>
      <c r="L633" s="2">
        <v>20160</v>
      </c>
      <c r="M633" t="s">
        <v>59</v>
      </c>
    </row>
    <row r="634" spans="1:13" x14ac:dyDescent="0.3">
      <c r="A634" t="s">
        <v>954</v>
      </c>
      <c r="B634" s="1">
        <v>46096</v>
      </c>
      <c r="C634" t="s">
        <v>200</v>
      </c>
      <c r="D634" t="s">
        <v>15</v>
      </c>
      <c r="E634" t="s">
        <v>63</v>
      </c>
      <c r="F634">
        <v>1</v>
      </c>
      <c r="G634" s="2">
        <v>2310</v>
      </c>
      <c r="H634" s="3">
        <v>0</v>
      </c>
      <c r="I634" t="s">
        <v>17</v>
      </c>
      <c r="J634" t="s">
        <v>71</v>
      </c>
      <c r="K634" t="s">
        <v>25</v>
      </c>
      <c r="L634" s="2">
        <v>2310</v>
      </c>
      <c r="M634" t="s">
        <v>20</v>
      </c>
    </row>
    <row r="635" spans="1:13" x14ac:dyDescent="0.3">
      <c r="A635" t="s">
        <v>955</v>
      </c>
      <c r="B635" s="1">
        <v>46098</v>
      </c>
      <c r="C635" t="s">
        <v>357</v>
      </c>
      <c r="D635" t="s">
        <v>70</v>
      </c>
      <c r="E635" t="s">
        <v>74</v>
      </c>
      <c r="F635">
        <v>2</v>
      </c>
      <c r="G635" s="2">
        <v>2520</v>
      </c>
      <c r="H635" s="3">
        <v>0</v>
      </c>
      <c r="I635" t="s">
        <v>17</v>
      </c>
      <c r="J635" t="s">
        <v>31</v>
      </c>
      <c r="K635" t="s">
        <v>67</v>
      </c>
      <c r="L635" s="2">
        <v>5040</v>
      </c>
      <c r="M635" t="s">
        <v>52</v>
      </c>
    </row>
    <row r="636" spans="1:13" x14ac:dyDescent="0.3">
      <c r="A636" t="s">
        <v>956</v>
      </c>
      <c r="B636" s="1">
        <v>46039</v>
      </c>
      <c r="C636" t="s">
        <v>118</v>
      </c>
      <c r="D636" t="s">
        <v>168</v>
      </c>
      <c r="E636" t="s">
        <v>24</v>
      </c>
      <c r="F636">
        <v>4</v>
      </c>
      <c r="G636" s="2">
        <v>11760</v>
      </c>
      <c r="H636" s="3">
        <v>0.15</v>
      </c>
      <c r="I636" t="s">
        <v>17</v>
      </c>
      <c r="J636" t="s">
        <v>47</v>
      </c>
      <c r="K636" t="s">
        <v>55</v>
      </c>
      <c r="L636" s="2">
        <v>39984</v>
      </c>
      <c r="M636" t="s">
        <v>48</v>
      </c>
    </row>
    <row r="637" spans="1:13" x14ac:dyDescent="0.3">
      <c r="A637" t="s">
        <v>957</v>
      </c>
      <c r="B637" s="1">
        <v>46193</v>
      </c>
      <c r="C637" t="s">
        <v>958</v>
      </c>
      <c r="D637" t="s">
        <v>123</v>
      </c>
      <c r="E637" t="s">
        <v>51</v>
      </c>
      <c r="F637">
        <v>4</v>
      </c>
      <c r="G637" s="2">
        <v>18500</v>
      </c>
      <c r="H637" s="3">
        <v>0.1</v>
      </c>
      <c r="I637" t="s">
        <v>17</v>
      </c>
      <c r="J637" t="s">
        <v>71</v>
      </c>
      <c r="K637" t="s">
        <v>67</v>
      </c>
      <c r="L637" s="2">
        <v>66600</v>
      </c>
      <c r="M637" t="s">
        <v>52</v>
      </c>
    </row>
    <row r="638" spans="1:13" x14ac:dyDescent="0.3">
      <c r="A638" t="s">
        <v>959</v>
      </c>
      <c r="B638" s="1">
        <v>46146</v>
      </c>
      <c r="C638" t="s">
        <v>148</v>
      </c>
      <c r="D638" t="s">
        <v>35</v>
      </c>
      <c r="E638" t="s">
        <v>135</v>
      </c>
      <c r="F638">
        <v>4</v>
      </c>
      <c r="G638" s="2">
        <v>16800</v>
      </c>
      <c r="H638" s="3">
        <v>0</v>
      </c>
      <c r="I638" t="s">
        <v>17</v>
      </c>
      <c r="J638" t="s">
        <v>71</v>
      </c>
      <c r="K638" t="s">
        <v>25</v>
      </c>
      <c r="L638" s="2">
        <v>67200</v>
      </c>
      <c r="M638" t="s">
        <v>59</v>
      </c>
    </row>
    <row r="639" spans="1:13" x14ac:dyDescent="0.3">
      <c r="A639" t="s">
        <v>960</v>
      </c>
      <c r="B639" s="1">
        <v>46160</v>
      </c>
      <c r="C639" t="s">
        <v>735</v>
      </c>
      <c r="D639" t="s">
        <v>45</v>
      </c>
      <c r="E639" t="s">
        <v>30</v>
      </c>
      <c r="F639">
        <v>10</v>
      </c>
      <c r="G639" s="2">
        <v>1800</v>
      </c>
      <c r="H639" s="3">
        <v>0.2</v>
      </c>
      <c r="I639" t="s">
        <v>17</v>
      </c>
      <c r="J639" t="s">
        <v>71</v>
      </c>
      <c r="K639" t="s">
        <v>19</v>
      </c>
      <c r="L639" s="2">
        <v>14400</v>
      </c>
      <c r="M639" t="s">
        <v>20</v>
      </c>
    </row>
    <row r="640" spans="1:13" x14ac:dyDescent="0.3">
      <c r="A640" t="s">
        <v>961</v>
      </c>
      <c r="B640" s="1">
        <v>46104</v>
      </c>
      <c r="C640" t="s">
        <v>482</v>
      </c>
      <c r="D640" t="s">
        <v>40</v>
      </c>
      <c r="E640" t="s">
        <v>30</v>
      </c>
      <c r="F640">
        <v>2</v>
      </c>
      <c r="G640" s="2">
        <v>1710</v>
      </c>
      <c r="H640" s="3">
        <v>0.05</v>
      </c>
      <c r="I640" t="s">
        <v>17</v>
      </c>
      <c r="J640" t="s">
        <v>47</v>
      </c>
      <c r="K640" t="s">
        <v>41</v>
      </c>
      <c r="L640" s="2">
        <v>3249</v>
      </c>
      <c r="M640" t="s">
        <v>138</v>
      </c>
    </row>
    <row r="641" spans="1:13" x14ac:dyDescent="0.3">
      <c r="A641" t="s">
        <v>962</v>
      </c>
      <c r="B641" s="1">
        <v>46137</v>
      </c>
      <c r="C641" t="s">
        <v>219</v>
      </c>
      <c r="D641" t="s">
        <v>152</v>
      </c>
      <c r="E641" t="s">
        <v>30</v>
      </c>
      <c r="F641">
        <v>2</v>
      </c>
      <c r="G641" s="2">
        <v>1890</v>
      </c>
      <c r="H641" s="3">
        <v>0</v>
      </c>
      <c r="I641" t="s">
        <v>80</v>
      </c>
      <c r="J641" t="s">
        <v>71</v>
      </c>
      <c r="K641" t="s">
        <v>55</v>
      </c>
      <c r="L641" s="2">
        <v>3780</v>
      </c>
      <c r="M641" t="s">
        <v>138</v>
      </c>
    </row>
    <row r="642" spans="1:13" x14ac:dyDescent="0.3">
      <c r="A642" t="s">
        <v>963</v>
      </c>
      <c r="B642" s="1">
        <v>46062</v>
      </c>
      <c r="C642" t="s">
        <v>399</v>
      </c>
      <c r="D642" t="s">
        <v>168</v>
      </c>
      <c r="E642" t="s">
        <v>85</v>
      </c>
      <c r="F642">
        <v>2</v>
      </c>
      <c r="G642" s="2">
        <v>48500</v>
      </c>
      <c r="H642" s="3">
        <v>0.15</v>
      </c>
      <c r="I642" t="s">
        <v>17</v>
      </c>
      <c r="J642" t="s">
        <v>47</v>
      </c>
      <c r="K642" t="s">
        <v>25</v>
      </c>
      <c r="L642" s="2">
        <v>82450</v>
      </c>
      <c r="M642" t="s">
        <v>59</v>
      </c>
    </row>
    <row r="643" spans="1:13" x14ac:dyDescent="0.3">
      <c r="A643" t="s">
        <v>964</v>
      </c>
      <c r="B643" s="1">
        <v>46167</v>
      </c>
      <c r="C643" t="s">
        <v>340</v>
      </c>
      <c r="D643" t="s">
        <v>123</v>
      </c>
      <c r="E643" t="s">
        <v>46</v>
      </c>
      <c r="F643">
        <v>2</v>
      </c>
      <c r="G643" s="2">
        <v>7410</v>
      </c>
      <c r="H643" s="3">
        <v>0</v>
      </c>
      <c r="I643" t="s">
        <v>17</v>
      </c>
      <c r="J643" t="s">
        <v>31</v>
      </c>
      <c r="K643" t="s">
        <v>67</v>
      </c>
      <c r="L643" s="2">
        <v>14820</v>
      </c>
      <c r="M643" t="s">
        <v>20</v>
      </c>
    </row>
    <row r="644" spans="1:13" x14ac:dyDescent="0.3">
      <c r="A644" t="s">
        <v>965</v>
      </c>
      <c r="B644" s="1">
        <v>46125</v>
      </c>
      <c r="C644" t="s">
        <v>306</v>
      </c>
      <c r="D644" t="s">
        <v>40</v>
      </c>
      <c r="E644" t="s">
        <v>24</v>
      </c>
      <c r="F644">
        <v>2</v>
      </c>
      <c r="G644" s="2">
        <v>11200</v>
      </c>
      <c r="H644" s="3">
        <v>0</v>
      </c>
      <c r="I644" t="s">
        <v>17</v>
      </c>
      <c r="J644" t="s">
        <v>47</v>
      </c>
      <c r="K644" t="s">
        <v>41</v>
      </c>
      <c r="L644" s="2">
        <v>22400</v>
      </c>
      <c r="M644" t="s">
        <v>20</v>
      </c>
    </row>
    <row r="645" spans="1:13" x14ac:dyDescent="0.3">
      <c r="A645" t="s">
        <v>966</v>
      </c>
      <c r="B645" s="1">
        <v>46044</v>
      </c>
      <c r="C645" t="s">
        <v>391</v>
      </c>
      <c r="D645" t="s">
        <v>152</v>
      </c>
      <c r="E645" t="s">
        <v>46</v>
      </c>
      <c r="F645">
        <v>3</v>
      </c>
      <c r="G645" s="2">
        <v>8190</v>
      </c>
      <c r="H645" s="3">
        <v>0</v>
      </c>
      <c r="I645" t="s">
        <v>116</v>
      </c>
      <c r="J645" t="s">
        <v>18</v>
      </c>
      <c r="K645" t="s">
        <v>67</v>
      </c>
      <c r="L645" s="2">
        <v>24570</v>
      </c>
      <c r="M645" t="s">
        <v>48</v>
      </c>
    </row>
    <row r="646" spans="1:13" x14ac:dyDescent="0.3">
      <c r="A646" t="s">
        <v>967</v>
      </c>
      <c r="B646" s="1">
        <v>46177</v>
      </c>
      <c r="C646" t="s">
        <v>291</v>
      </c>
      <c r="D646" t="s">
        <v>152</v>
      </c>
      <c r="E646" t="s">
        <v>16</v>
      </c>
      <c r="F646">
        <v>5</v>
      </c>
      <c r="G646" s="2">
        <v>682.5</v>
      </c>
      <c r="H646" s="3">
        <v>0.05</v>
      </c>
      <c r="I646" t="s">
        <v>17</v>
      </c>
      <c r="J646" t="s">
        <v>18</v>
      </c>
      <c r="K646" t="s">
        <v>67</v>
      </c>
      <c r="L646" s="2">
        <v>3241.88</v>
      </c>
      <c r="M646" t="s">
        <v>20</v>
      </c>
    </row>
    <row r="647" spans="1:13" x14ac:dyDescent="0.3">
      <c r="A647" t="s">
        <v>968</v>
      </c>
      <c r="B647" s="1">
        <v>46095</v>
      </c>
      <c r="C647" t="s">
        <v>566</v>
      </c>
      <c r="D647" t="s">
        <v>35</v>
      </c>
      <c r="E647" t="s">
        <v>36</v>
      </c>
      <c r="F647">
        <v>2</v>
      </c>
      <c r="G647" s="2">
        <v>1330</v>
      </c>
      <c r="H647" s="3">
        <v>0.1</v>
      </c>
      <c r="I647" t="s">
        <v>66</v>
      </c>
      <c r="J647" t="s">
        <v>18</v>
      </c>
      <c r="K647" t="s">
        <v>55</v>
      </c>
      <c r="L647" s="2">
        <v>2394</v>
      </c>
      <c r="M647" t="s">
        <v>56</v>
      </c>
    </row>
    <row r="648" spans="1:13" x14ac:dyDescent="0.3">
      <c r="A648" t="s">
        <v>969</v>
      </c>
      <c r="B648" s="1">
        <v>46096</v>
      </c>
      <c r="C648" t="s">
        <v>340</v>
      </c>
      <c r="D648" t="s">
        <v>50</v>
      </c>
      <c r="E648" t="s">
        <v>85</v>
      </c>
      <c r="F648">
        <v>10</v>
      </c>
      <c r="G648" s="2">
        <v>50925</v>
      </c>
      <c r="H648" s="3">
        <v>0.1</v>
      </c>
      <c r="I648" t="s">
        <v>17</v>
      </c>
      <c r="J648" t="s">
        <v>31</v>
      </c>
      <c r="K648" t="s">
        <v>41</v>
      </c>
      <c r="L648" s="2">
        <v>458325</v>
      </c>
      <c r="M648" t="s">
        <v>52</v>
      </c>
    </row>
    <row r="649" spans="1:13" x14ac:dyDescent="0.3">
      <c r="A649" t="s">
        <v>970</v>
      </c>
      <c r="B649" s="1">
        <v>46100</v>
      </c>
      <c r="C649" t="s">
        <v>304</v>
      </c>
      <c r="D649" t="s">
        <v>62</v>
      </c>
      <c r="E649" t="s">
        <v>51</v>
      </c>
      <c r="F649">
        <v>10</v>
      </c>
      <c r="G649" s="2">
        <v>19425</v>
      </c>
      <c r="H649" s="3">
        <v>0</v>
      </c>
      <c r="I649" t="s">
        <v>80</v>
      </c>
      <c r="J649" t="s">
        <v>31</v>
      </c>
      <c r="K649" t="s">
        <v>55</v>
      </c>
      <c r="L649" s="2">
        <v>194250</v>
      </c>
      <c r="M649" t="s">
        <v>26</v>
      </c>
    </row>
    <row r="650" spans="1:13" x14ac:dyDescent="0.3">
      <c r="A650" t="s">
        <v>971</v>
      </c>
      <c r="B650" s="1">
        <v>46129</v>
      </c>
      <c r="C650" t="s">
        <v>332</v>
      </c>
      <c r="D650" t="s">
        <v>50</v>
      </c>
      <c r="E650" t="s">
        <v>51</v>
      </c>
      <c r="F650">
        <v>2</v>
      </c>
      <c r="G650" s="2">
        <v>18500</v>
      </c>
      <c r="H650" s="3">
        <v>0.15</v>
      </c>
      <c r="I650" t="s">
        <v>17</v>
      </c>
      <c r="J650" t="s">
        <v>71</v>
      </c>
      <c r="K650" t="s">
        <v>55</v>
      </c>
      <c r="L650" s="2">
        <v>31450</v>
      </c>
      <c r="M650" t="s">
        <v>26</v>
      </c>
    </row>
    <row r="651" spans="1:13" x14ac:dyDescent="0.3">
      <c r="A651" t="s">
        <v>972</v>
      </c>
      <c r="B651" s="1">
        <v>46164</v>
      </c>
      <c r="C651" t="s">
        <v>851</v>
      </c>
      <c r="D651" t="s">
        <v>62</v>
      </c>
      <c r="E651" t="s">
        <v>16</v>
      </c>
      <c r="F651">
        <v>4</v>
      </c>
      <c r="G651" s="2">
        <v>650</v>
      </c>
      <c r="H651" s="3">
        <v>0.05</v>
      </c>
      <c r="I651" t="s">
        <v>66</v>
      </c>
      <c r="J651" t="s">
        <v>18</v>
      </c>
      <c r="K651" t="s">
        <v>41</v>
      </c>
      <c r="L651" s="2">
        <v>2470</v>
      </c>
      <c r="M651" t="s">
        <v>20</v>
      </c>
    </row>
    <row r="652" spans="1:13" x14ac:dyDescent="0.3">
      <c r="A652" t="s">
        <v>973</v>
      </c>
      <c r="B652" s="1">
        <v>46023</v>
      </c>
      <c r="C652" t="s">
        <v>669</v>
      </c>
      <c r="D652" t="s">
        <v>50</v>
      </c>
      <c r="E652" t="s">
        <v>135</v>
      </c>
      <c r="F652">
        <v>2</v>
      </c>
      <c r="G652" s="2">
        <v>17640</v>
      </c>
      <c r="H652" s="3">
        <v>0.2</v>
      </c>
      <c r="I652" t="s">
        <v>66</v>
      </c>
      <c r="J652" t="s">
        <v>47</v>
      </c>
      <c r="K652" t="s">
        <v>55</v>
      </c>
      <c r="L652" s="2">
        <v>28224</v>
      </c>
      <c r="M652" t="s">
        <v>59</v>
      </c>
    </row>
    <row r="653" spans="1:13" x14ac:dyDescent="0.3">
      <c r="A653" t="s">
        <v>974</v>
      </c>
      <c r="B653" s="1">
        <v>46148</v>
      </c>
      <c r="C653" t="s">
        <v>851</v>
      </c>
      <c r="D653" t="s">
        <v>77</v>
      </c>
      <c r="E653" t="s">
        <v>85</v>
      </c>
      <c r="F653">
        <v>3</v>
      </c>
      <c r="G653" s="2">
        <v>48500</v>
      </c>
      <c r="H653" s="3">
        <v>0</v>
      </c>
      <c r="I653" t="s">
        <v>173</v>
      </c>
      <c r="J653" t="s">
        <v>31</v>
      </c>
      <c r="K653" t="s">
        <v>25</v>
      </c>
      <c r="L653" s="2">
        <v>145500</v>
      </c>
      <c r="M653" t="s">
        <v>138</v>
      </c>
    </row>
    <row r="654" spans="1:13" x14ac:dyDescent="0.3">
      <c r="A654" t="s">
        <v>975</v>
      </c>
      <c r="B654" s="1">
        <v>46171</v>
      </c>
      <c r="C654" t="s">
        <v>546</v>
      </c>
      <c r="D654" t="s">
        <v>62</v>
      </c>
      <c r="E654" t="s">
        <v>183</v>
      </c>
      <c r="F654">
        <v>2</v>
      </c>
      <c r="G654" s="2">
        <v>3360</v>
      </c>
      <c r="H654" s="3">
        <v>0.05</v>
      </c>
      <c r="I654" t="s">
        <v>17</v>
      </c>
      <c r="J654" t="s">
        <v>47</v>
      </c>
      <c r="K654" t="s">
        <v>25</v>
      </c>
      <c r="L654" s="2">
        <v>6384</v>
      </c>
      <c r="M654" t="s">
        <v>48</v>
      </c>
    </row>
    <row r="655" spans="1:13" x14ac:dyDescent="0.3">
      <c r="A655" t="s">
        <v>976</v>
      </c>
      <c r="B655" s="1">
        <v>46027</v>
      </c>
      <c r="C655" t="s">
        <v>167</v>
      </c>
      <c r="D655" t="s">
        <v>90</v>
      </c>
      <c r="E655" t="s">
        <v>135</v>
      </c>
      <c r="F655">
        <v>1</v>
      </c>
      <c r="G655" s="2">
        <v>17640</v>
      </c>
      <c r="H655" s="3">
        <v>0</v>
      </c>
      <c r="I655" t="s">
        <v>17</v>
      </c>
      <c r="J655" t="s">
        <v>109</v>
      </c>
      <c r="K655" t="s">
        <v>41</v>
      </c>
      <c r="L655" s="2">
        <v>17640</v>
      </c>
      <c r="M655" t="s">
        <v>20</v>
      </c>
    </row>
    <row r="656" spans="1:13" x14ac:dyDescent="0.3">
      <c r="A656" t="s">
        <v>977</v>
      </c>
      <c r="B656" s="1">
        <v>46092</v>
      </c>
      <c r="C656" t="s">
        <v>430</v>
      </c>
      <c r="D656" t="s">
        <v>35</v>
      </c>
      <c r="E656" t="s">
        <v>161</v>
      </c>
      <c r="F656">
        <v>3</v>
      </c>
      <c r="G656" s="2">
        <v>2600</v>
      </c>
      <c r="H656" s="3">
        <v>0.05</v>
      </c>
      <c r="I656" t="s">
        <v>17</v>
      </c>
      <c r="J656" t="s">
        <v>71</v>
      </c>
      <c r="K656" t="s">
        <v>41</v>
      </c>
      <c r="L656" s="2">
        <v>7410</v>
      </c>
      <c r="M656" t="s">
        <v>42</v>
      </c>
    </row>
    <row r="657" spans="1:13" x14ac:dyDescent="0.3">
      <c r="A657" t="s">
        <v>978</v>
      </c>
      <c r="B657" s="1">
        <v>46176</v>
      </c>
      <c r="C657" t="s">
        <v>473</v>
      </c>
      <c r="D657" t="s">
        <v>29</v>
      </c>
      <c r="E657" t="s">
        <v>30</v>
      </c>
      <c r="F657">
        <v>2</v>
      </c>
      <c r="G657" s="2">
        <v>1800</v>
      </c>
      <c r="H657" s="3">
        <v>0.05</v>
      </c>
      <c r="I657" t="s">
        <v>17</v>
      </c>
      <c r="J657" t="s">
        <v>47</v>
      </c>
      <c r="K657" t="s">
        <v>19</v>
      </c>
      <c r="L657" s="2">
        <v>3420</v>
      </c>
      <c r="M657" t="s">
        <v>82</v>
      </c>
    </row>
    <row r="658" spans="1:13" x14ac:dyDescent="0.3">
      <c r="A658" t="s">
        <v>979</v>
      </c>
      <c r="B658" s="1">
        <v>46171</v>
      </c>
      <c r="C658" t="s">
        <v>328</v>
      </c>
      <c r="D658" t="s">
        <v>35</v>
      </c>
      <c r="E658" t="s">
        <v>30</v>
      </c>
      <c r="F658">
        <v>1</v>
      </c>
      <c r="G658" s="2">
        <v>1890</v>
      </c>
      <c r="H658" s="3">
        <v>0.15</v>
      </c>
      <c r="I658" t="s">
        <v>17</v>
      </c>
      <c r="J658" t="s">
        <v>47</v>
      </c>
      <c r="K658" t="s">
        <v>41</v>
      </c>
      <c r="L658" s="2">
        <v>1606.5</v>
      </c>
      <c r="M658" t="s">
        <v>42</v>
      </c>
    </row>
    <row r="659" spans="1:13" x14ac:dyDescent="0.3">
      <c r="A659" t="s">
        <v>980</v>
      </c>
      <c r="B659" s="1">
        <v>46078</v>
      </c>
      <c r="C659" t="s">
        <v>302</v>
      </c>
      <c r="D659" t="s">
        <v>50</v>
      </c>
      <c r="E659" t="s">
        <v>51</v>
      </c>
      <c r="F659">
        <v>1</v>
      </c>
      <c r="G659" s="2">
        <v>17575</v>
      </c>
      <c r="H659" s="3">
        <v>0</v>
      </c>
      <c r="I659" t="s">
        <v>17</v>
      </c>
      <c r="J659" t="s">
        <v>18</v>
      </c>
      <c r="K659" t="s">
        <v>19</v>
      </c>
      <c r="L659" s="2">
        <v>17575</v>
      </c>
      <c r="M659" t="s">
        <v>42</v>
      </c>
    </row>
    <row r="660" spans="1:13" x14ac:dyDescent="0.3">
      <c r="A660" t="s">
        <v>981</v>
      </c>
      <c r="B660" s="1">
        <v>46056</v>
      </c>
      <c r="C660" t="s">
        <v>97</v>
      </c>
      <c r="D660" t="s">
        <v>77</v>
      </c>
      <c r="E660" t="s">
        <v>16</v>
      </c>
      <c r="F660">
        <v>2</v>
      </c>
      <c r="G660" s="2">
        <v>650</v>
      </c>
      <c r="H660" s="3">
        <v>0.05</v>
      </c>
      <c r="I660" t="s">
        <v>17</v>
      </c>
      <c r="J660" t="s">
        <v>47</v>
      </c>
      <c r="K660" t="s">
        <v>41</v>
      </c>
      <c r="L660" s="2">
        <v>1235</v>
      </c>
      <c r="M660" t="s">
        <v>26</v>
      </c>
    </row>
    <row r="661" spans="1:13" x14ac:dyDescent="0.3">
      <c r="A661" t="s">
        <v>982</v>
      </c>
      <c r="B661" s="1">
        <v>46030</v>
      </c>
      <c r="C661" t="s">
        <v>867</v>
      </c>
      <c r="D661" t="s">
        <v>123</v>
      </c>
      <c r="E661" t="s">
        <v>63</v>
      </c>
      <c r="F661">
        <v>1</v>
      </c>
      <c r="G661" s="2">
        <v>2200</v>
      </c>
      <c r="H661" s="3">
        <v>0.2</v>
      </c>
      <c r="I661" t="s">
        <v>17</v>
      </c>
      <c r="J661" t="s">
        <v>71</v>
      </c>
      <c r="K661" t="s">
        <v>41</v>
      </c>
      <c r="L661" s="2">
        <v>1760</v>
      </c>
      <c r="M661" t="s">
        <v>59</v>
      </c>
    </row>
    <row r="662" spans="1:13" x14ac:dyDescent="0.3">
      <c r="A662" t="s">
        <v>983</v>
      </c>
      <c r="B662" s="1">
        <v>46043</v>
      </c>
      <c r="C662" t="s">
        <v>279</v>
      </c>
      <c r="D662" t="s">
        <v>70</v>
      </c>
      <c r="E662" t="s">
        <v>85</v>
      </c>
      <c r="F662">
        <v>4</v>
      </c>
      <c r="G662" s="2">
        <v>50925</v>
      </c>
      <c r="H662" s="3">
        <v>0</v>
      </c>
      <c r="I662" t="s">
        <v>17</v>
      </c>
      <c r="J662" t="s">
        <v>31</v>
      </c>
      <c r="K662" t="s">
        <v>41</v>
      </c>
      <c r="L662" s="2">
        <v>203700</v>
      </c>
      <c r="M662" t="s">
        <v>42</v>
      </c>
    </row>
    <row r="663" spans="1:13" x14ac:dyDescent="0.3">
      <c r="A663" t="s">
        <v>984</v>
      </c>
      <c r="B663" s="1">
        <v>46031</v>
      </c>
      <c r="C663" t="s">
        <v>795</v>
      </c>
      <c r="D663" t="s">
        <v>29</v>
      </c>
      <c r="E663" t="s">
        <v>74</v>
      </c>
      <c r="F663">
        <v>2</v>
      </c>
      <c r="G663" s="2">
        <v>2400</v>
      </c>
      <c r="H663" s="3">
        <v>0</v>
      </c>
      <c r="I663" t="s">
        <v>17</v>
      </c>
      <c r="J663" t="s">
        <v>31</v>
      </c>
      <c r="K663" t="s">
        <v>67</v>
      </c>
      <c r="L663" s="2">
        <v>4800</v>
      </c>
      <c r="M663" t="s">
        <v>20</v>
      </c>
    </row>
    <row r="664" spans="1:13" x14ac:dyDescent="0.3">
      <c r="A664" t="s">
        <v>985</v>
      </c>
      <c r="B664" s="1">
        <v>46047</v>
      </c>
      <c r="C664" t="s">
        <v>198</v>
      </c>
      <c r="D664" t="s">
        <v>29</v>
      </c>
      <c r="E664" t="s">
        <v>63</v>
      </c>
      <c r="F664">
        <v>8</v>
      </c>
      <c r="G664" s="2">
        <v>2200</v>
      </c>
      <c r="H664" s="3">
        <v>0</v>
      </c>
      <c r="I664" t="s">
        <v>17</v>
      </c>
      <c r="J664" t="s">
        <v>47</v>
      </c>
      <c r="K664" t="s">
        <v>19</v>
      </c>
      <c r="L664" s="2">
        <v>17600</v>
      </c>
      <c r="M664" t="s">
        <v>42</v>
      </c>
    </row>
    <row r="665" spans="1:13" x14ac:dyDescent="0.3">
      <c r="A665" t="s">
        <v>986</v>
      </c>
      <c r="B665" s="1">
        <v>46060</v>
      </c>
      <c r="C665" t="s">
        <v>69</v>
      </c>
      <c r="D665" t="s">
        <v>90</v>
      </c>
      <c r="E665" t="s">
        <v>85</v>
      </c>
      <c r="F665">
        <v>8</v>
      </c>
      <c r="G665" s="2">
        <v>48500</v>
      </c>
      <c r="H665" s="3">
        <v>0.15</v>
      </c>
      <c r="I665" t="s">
        <v>17</v>
      </c>
      <c r="J665" t="s">
        <v>71</v>
      </c>
      <c r="K665" t="s">
        <v>25</v>
      </c>
      <c r="L665" s="2">
        <v>329800</v>
      </c>
      <c r="M665" t="s">
        <v>48</v>
      </c>
    </row>
    <row r="666" spans="1:13" x14ac:dyDescent="0.3">
      <c r="A666" t="s">
        <v>987</v>
      </c>
      <c r="B666" s="1">
        <v>46040</v>
      </c>
      <c r="D666" t="s">
        <v>15</v>
      </c>
      <c r="E666" t="s">
        <v>183</v>
      </c>
      <c r="F666">
        <v>4</v>
      </c>
      <c r="G666" s="2">
        <v>3200</v>
      </c>
      <c r="H666" s="3">
        <v>0.15</v>
      </c>
      <c r="I666" t="s">
        <v>17</v>
      </c>
      <c r="J666" t="s">
        <v>71</v>
      </c>
      <c r="K666" t="s">
        <v>25</v>
      </c>
      <c r="L666" s="2">
        <v>10880</v>
      </c>
      <c r="M666" t="s">
        <v>20</v>
      </c>
    </row>
    <row r="667" spans="1:13" x14ac:dyDescent="0.3">
      <c r="A667" t="s">
        <v>988</v>
      </c>
      <c r="B667" s="1">
        <v>46048</v>
      </c>
      <c r="C667" t="s">
        <v>491</v>
      </c>
      <c r="D667" t="s">
        <v>77</v>
      </c>
      <c r="E667" t="s">
        <v>24</v>
      </c>
      <c r="F667">
        <v>8</v>
      </c>
      <c r="G667" s="2">
        <v>11200</v>
      </c>
      <c r="H667" s="3">
        <v>0.2</v>
      </c>
      <c r="I667" t="s">
        <v>17</v>
      </c>
      <c r="J667" t="s">
        <v>31</v>
      </c>
      <c r="K667" t="s">
        <v>41</v>
      </c>
      <c r="L667" s="2">
        <v>71680</v>
      </c>
      <c r="M667" t="s">
        <v>138</v>
      </c>
    </row>
    <row r="668" spans="1:13" x14ac:dyDescent="0.3">
      <c r="A668" t="s">
        <v>989</v>
      </c>
      <c r="B668" s="1">
        <v>46120</v>
      </c>
      <c r="C668" t="s">
        <v>669</v>
      </c>
      <c r="D668" t="s">
        <v>70</v>
      </c>
      <c r="E668" t="s">
        <v>24</v>
      </c>
      <c r="F668">
        <v>2</v>
      </c>
      <c r="G668" s="2">
        <v>11200</v>
      </c>
      <c r="H668" s="3">
        <v>0.1</v>
      </c>
      <c r="I668" t="s">
        <v>17</v>
      </c>
      <c r="J668" t="s">
        <v>18</v>
      </c>
      <c r="K668" t="s">
        <v>19</v>
      </c>
      <c r="L668" s="2">
        <v>20160</v>
      </c>
      <c r="M668" t="s">
        <v>82</v>
      </c>
    </row>
    <row r="669" spans="1:13" x14ac:dyDescent="0.3">
      <c r="A669" t="s">
        <v>990</v>
      </c>
      <c r="B669" s="1">
        <v>46057</v>
      </c>
      <c r="C669" t="s">
        <v>396</v>
      </c>
      <c r="D669" t="s">
        <v>62</v>
      </c>
      <c r="E669" t="s">
        <v>36</v>
      </c>
      <c r="F669">
        <v>3</v>
      </c>
      <c r="G669" s="2">
        <v>1330</v>
      </c>
      <c r="H669" s="3">
        <v>0.15</v>
      </c>
      <c r="I669" t="s">
        <v>17</v>
      </c>
      <c r="J669" t="s">
        <v>18</v>
      </c>
      <c r="K669" t="s">
        <v>19</v>
      </c>
      <c r="L669" s="2">
        <v>3391.5</v>
      </c>
      <c r="M669" t="s">
        <v>32</v>
      </c>
    </row>
    <row r="670" spans="1:13" x14ac:dyDescent="0.3">
      <c r="A670" t="s">
        <v>991</v>
      </c>
      <c r="B670" s="1">
        <v>46095</v>
      </c>
      <c r="C670" t="s">
        <v>594</v>
      </c>
      <c r="D670" t="s">
        <v>62</v>
      </c>
      <c r="E670" t="s">
        <v>183</v>
      </c>
      <c r="F670">
        <v>4</v>
      </c>
      <c r="G670" s="2">
        <v>3360</v>
      </c>
      <c r="H670" s="3">
        <v>0.2</v>
      </c>
      <c r="I670" t="s">
        <v>116</v>
      </c>
      <c r="J670" t="s">
        <v>18</v>
      </c>
      <c r="K670" t="s">
        <v>67</v>
      </c>
      <c r="L670" s="2">
        <v>10752</v>
      </c>
    </row>
    <row r="671" spans="1:13" x14ac:dyDescent="0.3">
      <c r="A671" t="s">
        <v>992</v>
      </c>
      <c r="B671" s="1">
        <v>46071</v>
      </c>
      <c r="C671" t="s">
        <v>551</v>
      </c>
      <c r="D671" t="s">
        <v>90</v>
      </c>
      <c r="E671" t="s">
        <v>63</v>
      </c>
      <c r="F671">
        <v>5</v>
      </c>
      <c r="G671" s="2">
        <v>2200</v>
      </c>
      <c r="H671" s="3">
        <v>0.1</v>
      </c>
      <c r="I671" t="s">
        <v>173</v>
      </c>
      <c r="J671" t="s">
        <v>31</v>
      </c>
      <c r="K671" t="s">
        <v>55</v>
      </c>
      <c r="L671" s="2">
        <v>9900</v>
      </c>
      <c r="M671" t="s">
        <v>42</v>
      </c>
    </row>
    <row r="672" spans="1:13" x14ac:dyDescent="0.3">
      <c r="A672" t="s">
        <v>993</v>
      </c>
      <c r="B672" s="1">
        <v>46124</v>
      </c>
      <c r="C672" t="s">
        <v>289</v>
      </c>
      <c r="D672" t="s">
        <v>62</v>
      </c>
      <c r="E672" t="s">
        <v>51</v>
      </c>
      <c r="F672">
        <v>3</v>
      </c>
      <c r="G672" s="2">
        <v>19425</v>
      </c>
      <c r="H672" s="3">
        <v>0</v>
      </c>
      <c r="I672" t="s">
        <v>17</v>
      </c>
      <c r="J672" t="s">
        <v>31</v>
      </c>
      <c r="K672" t="s">
        <v>41</v>
      </c>
      <c r="L672" s="2">
        <v>58275</v>
      </c>
      <c r="M672" t="s">
        <v>42</v>
      </c>
    </row>
    <row r="673" spans="1:13" x14ac:dyDescent="0.3">
      <c r="A673" t="s">
        <v>994</v>
      </c>
      <c r="B673" s="1">
        <v>46116</v>
      </c>
      <c r="C673" t="s">
        <v>219</v>
      </c>
      <c r="D673" t="s">
        <v>23</v>
      </c>
      <c r="E673" t="s">
        <v>36</v>
      </c>
      <c r="F673">
        <v>1</v>
      </c>
      <c r="G673" s="2">
        <v>1470</v>
      </c>
      <c r="H673" s="3">
        <v>0.1</v>
      </c>
      <c r="I673" t="s">
        <v>17</v>
      </c>
      <c r="J673" t="s">
        <v>47</v>
      </c>
      <c r="K673" t="s">
        <v>25</v>
      </c>
      <c r="L673" s="2">
        <v>1323</v>
      </c>
      <c r="M673" t="s">
        <v>48</v>
      </c>
    </row>
    <row r="674" spans="1:13" x14ac:dyDescent="0.3">
      <c r="A674" t="s">
        <v>995</v>
      </c>
      <c r="B674" s="1">
        <v>46092</v>
      </c>
      <c r="C674" t="s">
        <v>901</v>
      </c>
      <c r="D674" t="s">
        <v>29</v>
      </c>
      <c r="E674" t="s">
        <v>74</v>
      </c>
      <c r="F674">
        <v>8</v>
      </c>
      <c r="G674" s="2">
        <v>2520</v>
      </c>
      <c r="H674" s="3">
        <v>0.05</v>
      </c>
      <c r="I674" t="s">
        <v>17</v>
      </c>
      <c r="J674" t="s">
        <v>47</v>
      </c>
      <c r="K674" t="s">
        <v>41</v>
      </c>
      <c r="L674" s="2">
        <v>19152</v>
      </c>
      <c r="M674" t="s">
        <v>56</v>
      </c>
    </row>
    <row r="675" spans="1:13" x14ac:dyDescent="0.3">
      <c r="A675" t="s">
        <v>996</v>
      </c>
      <c r="B675" s="1">
        <v>46050</v>
      </c>
      <c r="C675" t="s">
        <v>568</v>
      </c>
      <c r="D675" t="s">
        <v>15</v>
      </c>
      <c r="E675" t="s">
        <v>135</v>
      </c>
      <c r="F675">
        <v>2</v>
      </c>
      <c r="G675" s="2">
        <v>16800</v>
      </c>
      <c r="H675" s="3">
        <v>0</v>
      </c>
      <c r="I675" t="s">
        <v>17</v>
      </c>
      <c r="J675" t="s">
        <v>31</v>
      </c>
      <c r="K675" t="s">
        <v>19</v>
      </c>
      <c r="L675" s="2">
        <v>33600</v>
      </c>
      <c r="M675" t="s">
        <v>42</v>
      </c>
    </row>
    <row r="676" spans="1:13" x14ac:dyDescent="0.3">
      <c r="A676" t="s">
        <v>997</v>
      </c>
      <c r="B676" s="1">
        <v>46150</v>
      </c>
      <c r="C676" t="s">
        <v>181</v>
      </c>
      <c r="D676" t="s">
        <v>95</v>
      </c>
      <c r="E676" t="s">
        <v>16</v>
      </c>
      <c r="F676">
        <v>10</v>
      </c>
      <c r="G676" s="2">
        <v>650</v>
      </c>
      <c r="H676" s="3">
        <v>0.1</v>
      </c>
      <c r="I676" t="s">
        <v>17</v>
      </c>
      <c r="J676" t="s">
        <v>47</v>
      </c>
      <c r="K676" t="s">
        <v>25</v>
      </c>
      <c r="L676" s="2">
        <v>5850</v>
      </c>
      <c r="M676" t="s">
        <v>48</v>
      </c>
    </row>
    <row r="677" spans="1:13" x14ac:dyDescent="0.3">
      <c r="A677" t="s">
        <v>998</v>
      </c>
      <c r="B677" s="1">
        <v>46047</v>
      </c>
      <c r="C677" t="s">
        <v>724</v>
      </c>
      <c r="D677" t="s">
        <v>29</v>
      </c>
      <c r="E677" t="s">
        <v>63</v>
      </c>
      <c r="F677">
        <v>3</v>
      </c>
      <c r="G677" s="2">
        <v>2310</v>
      </c>
      <c r="H677" s="3">
        <v>0.15</v>
      </c>
      <c r="I677" t="s">
        <v>17</v>
      </c>
      <c r="J677" t="s">
        <v>47</v>
      </c>
      <c r="K677" t="s">
        <v>55</v>
      </c>
      <c r="L677" s="2">
        <v>5890.5</v>
      </c>
      <c r="M677" t="s">
        <v>56</v>
      </c>
    </row>
    <row r="678" spans="1:13" x14ac:dyDescent="0.3">
      <c r="A678" t="s">
        <v>999</v>
      </c>
      <c r="B678" s="1">
        <v>46152</v>
      </c>
      <c r="C678" t="s">
        <v>279</v>
      </c>
      <c r="D678" t="s">
        <v>45</v>
      </c>
      <c r="E678" t="s">
        <v>51</v>
      </c>
      <c r="F678">
        <v>2</v>
      </c>
      <c r="G678" s="2">
        <v>17575</v>
      </c>
      <c r="H678" s="3">
        <v>0.15</v>
      </c>
      <c r="I678" t="s">
        <v>17</v>
      </c>
      <c r="J678" t="s">
        <v>31</v>
      </c>
      <c r="K678" t="s">
        <v>55</v>
      </c>
      <c r="L678" s="2">
        <v>29877.5</v>
      </c>
      <c r="M678" t="s">
        <v>56</v>
      </c>
    </row>
    <row r="679" spans="1:13" x14ac:dyDescent="0.3">
      <c r="A679" t="s">
        <v>1000</v>
      </c>
      <c r="B679" s="1">
        <v>46103</v>
      </c>
      <c r="C679" t="s">
        <v>165</v>
      </c>
      <c r="D679" t="s">
        <v>90</v>
      </c>
      <c r="E679" t="s">
        <v>161</v>
      </c>
      <c r="F679">
        <v>2</v>
      </c>
      <c r="G679" s="2">
        <v>2600</v>
      </c>
      <c r="H679" s="3">
        <v>0</v>
      </c>
      <c r="I679" t="s">
        <v>17</v>
      </c>
      <c r="J679" t="s">
        <v>18</v>
      </c>
      <c r="K679" t="s">
        <v>55</v>
      </c>
      <c r="L679" s="2">
        <v>5200</v>
      </c>
      <c r="M679" t="s">
        <v>59</v>
      </c>
    </row>
    <row r="680" spans="1:13" x14ac:dyDescent="0.3">
      <c r="A680" t="s">
        <v>1001</v>
      </c>
      <c r="B680" s="1">
        <v>46102</v>
      </c>
      <c r="C680" t="s">
        <v>330</v>
      </c>
      <c r="D680" t="s">
        <v>123</v>
      </c>
      <c r="E680" t="s">
        <v>161</v>
      </c>
      <c r="F680">
        <v>2</v>
      </c>
      <c r="G680" s="2">
        <v>2730</v>
      </c>
      <c r="H680" s="3">
        <v>0</v>
      </c>
      <c r="I680" t="s">
        <v>17</v>
      </c>
      <c r="J680" t="s">
        <v>18</v>
      </c>
      <c r="K680" t="s">
        <v>25</v>
      </c>
      <c r="L680" s="2">
        <v>5460</v>
      </c>
      <c r="M680" t="s">
        <v>59</v>
      </c>
    </row>
    <row r="681" spans="1:13" x14ac:dyDescent="0.3">
      <c r="A681" t="s">
        <v>1002</v>
      </c>
      <c r="B681" s="1">
        <v>46152</v>
      </c>
      <c r="C681" t="s">
        <v>321</v>
      </c>
      <c r="D681" t="s">
        <v>168</v>
      </c>
      <c r="E681" t="s">
        <v>161</v>
      </c>
      <c r="F681">
        <v>1</v>
      </c>
      <c r="G681" s="2">
        <v>2600</v>
      </c>
      <c r="H681" s="3">
        <v>0.15</v>
      </c>
      <c r="I681" t="s">
        <v>116</v>
      </c>
      <c r="J681" t="s">
        <v>47</v>
      </c>
      <c r="K681" t="s">
        <v>19</v>
      </c>
      <c r="L681" s="2">
        <v>2210</v>
      </c>
      <c r="M681" t="s">
        <v>20</v>
      </c>
    </row>
    <row r="682" spans="1:13" x14ac:dyDescent="0.3">
      <c r="A682" t="s">
        <v>1003</v>
      </c>
      <c r="B682" s="1">
        <v>46174</v>
      </c>
      <c r="C682" t="s">
        <v>227</v>
      </c>
      <c r="D682" t="s">
        <v>168</v>
      </c>
      <c r="E682" t="s">
        <v>30</v>
      </c>
      <c r="F682">
        <v>4</v>
      </c>
      <c r="G682" s="2">
        <v>1710</v>
      </c>
      <c r="H682" s="3">
        <v>0.05</v>
      </c>
      <c r="I682" t="s">
        <v>17</v>
      </c>
      <c r="J682" t="s">
        <v>18</v>
      </c>
      <c r="K682" t="s">
        <v>19</v>
      </c>
      <c r="L682" s="2">
        <v>6498</v>
      </c>
      <c r="M682" t="s">
        <v>32</v>
      </c>
    </row>
    <row r="683" spans="1:13" x14ac:dyDescent="0.3">
      <c r="A683" t="s">
        <v>1004</v>
      </c>
      <c r="B683" s="1">
        <v>46111</v>
      </c>
      <c r="C683" t="s">
        <v>781</v>
      </c>
      <c r="D683" t="s">
        <v>35</v>
      </c>
      <c r="E683" t="s">
        <v>161</v>
      </c>
      <c r="F683">
        <v>2</v>
      </c>
      <c r="G683" s="2">
        <v>2600</v>
      </c>
      <c r="H683" s="3">
        <v>0.2</v>
      </c>
      <c r="I683" t="s">
        <v>17</v>
      </c>
      <c r="J683" t="s">
        <v>31</v>
      </c>
      <c r="K683" t="s">
        <v>19</v>
      </c>
      <c r="L683" s="2">
        <v>4160</v>
      </c>
      <c r="M683" t="s">
        <v>26</v>
      </c>
    </row>
    <row r="684" spans="1:13" x14ac:dyDescent="0.3">
      <c r="A684" t="s">
        <v>1005</v>
      </c>
      <c r="B684" s="1">
        <v>46052</v>
      </c>
      <c r="C684" t="s">
        <v>160</v>
      </c>
      <c r="D684" t="s">
        <v>35</v>
      </c>
      <c r="E684" t="s">
        <v>30</v>
      </c>
      <c r="F684">
        <v>1</v>
      </c>
      <c r="G684" s="2">
        <v>1890</v>
      </c>
      <c r="H684" s="3">
        <v>0.05</v>
      </c>
      <c r="I684" t="s">
        <v>17</v>
      </c>
      <c r="J684" t="s">
        <v>47</v>
      </c>
      <c r="K684" t="s">
        <v>19</v>
      </c>
      <c r="L684" s="2">
        <v>1795.5</v>
      </c>
      <c r="M684" t="s">
        <v>56</v>
      </c>
    </row>
    <row r="685" spans="1:13" x14ac:dyDescent="0.3">
      <c r="A685" t="s">
        <v>1006</v>
      </c>
      <c r="B685" s="1">
        <v>46173</v>
      </c>
      <c r="C685" t="s">
        <v>409</v>
      </c>
      <c r="D685" t="s">
        <v>168</v>
      </c>
      <c r="E685" t="s">
        <v>36</v>
      </c>
      <c r="F685">
        <v>2</v>
      </c>
      <c r="G685" s="2">
        <v>1330</v>
      </c>
      <c r="H685" s="3">
        <v>0.1</v>
      </c>
      <c r="I685" t="s">
        <v>17</v>
      </c>
      <c r="J685" t="s">
        <v>31</v>
      </c>
      <c r="K685" t="s">
        <v>41</v>
      </c>
      <c r="L685" s="2">
        <v>2394</v>
      </c>
      <c r="M685" t="s">
        <v>138</v>
      </c>
    </row>
    <row r="686" spans="1:13" x14ac:dyDescent="0.3">
      <c r="A686" t="s">
        <v>1007</v>
      </c>
      <c r="B686" s="1">
        <v>46150</v>
      </c>
      <c r="C686" t="s">
        <v>724</v>
      </c>
      <c r="D686" t="s">
        <v>152</v>
      </c>
      <c r="E686" t="s">
        <v>74</v>
      </c>
      <c r="F686">
        <v>2</v>
      </c>
      <c r="G686" s="2">
        <v>2520</v>
      </c>
      <c r="H686" s="3">
        <v>0.15</v>
      </c>
      <c r="I686" t="s">
        <v>17</v>
      </c>
      <c r="J686" t="s">
        <v>18</v>
      </c>
      <c r="K686" t="s">
        <v>19</v>
      </c>
      <c r="L686" s="2">
        <v>4284</v>
      </c>
      <c r="M686" t="s">
        <v>82</v>
      </c>
    </row>
    <row r="687" spans="1:13" x14ac:dyDescent="0.3">
      <c r="A687" t="s">
        <v>1008</v>
      </c>
      <c r="B687" s="1">
        <v>46077</v>
      </c>
      <c r="C687" t="s">
        <v>146</v>
      </c>
      <c r="D687" t="s">
        <v>45</v>
      </c>
      <c r="E687" t="s">
        <v>135</v>
      </c>
      <c r="F687">
        <v>1</v>
      </c>
      <c r="G687" s="2">
        <v>16800</v>
      </c>
      <c r="H687" s="3">
        <v>0.15</v>
      </c>
      <c r="I687" t="s">
        <v>17</v>
      </c>
      <c r="J687" t="s">
        <v>31</v>
      </c>
      <c r="K687" t="s">
        <v>25</v>
      </c>
      <c r="L687" s="2">
        <v>14280</v>
      </c>
      <c r="M687" t="s">
        <v>138</v>
      </c>
    </row>
    <row r="688" spans="1:13" x14ac:dyDescent="0.3">
      <c r="A688" t="s">
        <v>1009</v>
      </c>
      <c r="B688" s="1">
        <v>46092</v>
      </c>
      <c r="C688" t="s">
        <v>430</v>
      </c>
      <c r="D688" t="s">
        <v>15</v>
      </c>
      <c r="E688" t="s">
        <v>183</v>
      </c>
      <c r="F688">
        <v>4</v>
      </c>
      <c r="G688" s="2">
        <v>3200</v>
      </c>
      <c r="H688" s="3">
        <v>0.1</v>
      </c>
      <c r="I688" t="s">
        <v>17</v>
      </c>
      <c r="J688" t="s">
        <v>47</v>
      </c>
      <c r="K688" t="s">
        <v>25</v>
      </c>
      <c r="L688" s="2">
        <v>11520</v>
      </c>
      <c r="M688" t="s">
        <v>26</v>
      </c>
    </row>
    <row r="689" spans="1:13" x14ac:dyDescent="0.3">
      <c r="A689" t="s">
        <v>1010</v>
      </c>
      <c r="B689" s="1">
        <v>46133</v>
      </c>
      <c r="C689" t="s">
        <v>213</v>
      </c>
      <c r="D689" t="s">
        <v>95</v>
      </c>
      <c r="E689" t="s">
        <v>51</v>
      </c>
      <c r="F689">
        <v>2</v>
      </c>
      <c r="G689" s="2">
        <v>19425</v>
      </c>
      <c r="H689" s="3">
        <v>0.1</v>
      </c>
      <c r="I689" t="s">
        <v>17</v>
      </c>
      <c r="J689" t="s">
        <v>31</v>
      </c>
      <c r="K689" t="s">
        <v>25</v>
      </c>
      <c r="L689" s="2">
        <v>34965</v>
      </c>
      <c r="M689" t="s">
        <v>59</v>
      </c>
    </row>
    <row r="690" spans="1:13" x14ac:dyDescent="0.3">
      <c r="A690" t="s">
        <v>1011</v>
      </c>
      <c r="B690" s="1">
        <v>46170</v>
      </c>
      <c r="C690" t="s">
        <v>607</v>
      </c>
      <c r="D690" t="s">
        <v>62</v>
      </c>
      <c r="E690" t="s">
        <v>24</v>
      </c>
      <c r="F690">
        <v>3</v>
      </c>
      <c r="G690" s="2">
        <v>11200</v>
      </c>
      <c r="H690" s="3">
        <v>0.2</v>
      </c>
      <c r="I690" t="s">
        <v>80</v>
      </c>
      <c r="J690" t="s">
        <v>31</v>
      </c>
      <c r="K690" t="s">
        <v>25</v>
      </c>
      <c r="L690" s="2">
        <v>26880</v>
      </c>
      <c r="M690" t="s">
        <v>52</v>
      </c>
    </row>
    <row r="691" spans="1:13" x14ac:dyDescent="0.3">
      <c r="A691" t="s">
        <v>1012</v>
      </c>
      <c r="B691" s="1">
        <v>46116</v>
      </c>
      <c r="C691" t="s">
        <v>607</v>
      </c>
      <c r="D691" t="s">
        <v>62</v>
      </c>
      <c r="E691" t="s">
        <v>30</v>
      </c>
      <c r="F691">
        <v>1</v>
      </c>
      <c r="G691" s="2">
        <v>1800</v>
      </c>
      <c r="H691" s="3">
        <v>0.2</v>
      </c>
      <c r="I691" t="s">
        <v>17</v>
      </c>
      <c r="J691" t="s">
        <v>18</v>
      </c>
      <c r="K691" t="s">
        <v>67</v>
      </c>
      <c r="L691" s="2">
        <v>1440</v>
      </c>
      <c r="M691" t="s">
        <v>42</v>
      </c>
    </row>
    <row r="692" spans="1:13" x14ac:dyDescent="0.3">
      <c r="A692" t="s">
        <v>1013</v>
      </c>
      <c r="B692" s="1">
        <v>46185</v>
      </c>
      <c r="C692" t="s">
        <v>264</v>
      </c>
      <c r="D692" t="s">
        <v>23</v>
      </c>
      <c r="E692" t="s">
        <v>161</v>
      </c>
      <c r="F692">
        <v>1</v>
      </c>
      <c r="G692" s="2">
        <v>2600</v>
      </c>
      <c r="H692" s="3">
        <v>0.05</v>
      </c>
      <c r="I692" t="s">
        <v>17</v>
      </c>
      <c r="J692" t="s">
        <v>18</v>
      </c>
      <c r="K692" t="s">
        <v>222</v>
      </c>
      <c r="L692" s="2">
        <v>2470</v>
      </c>
      <c r="M692" t="s">
        <v>42</v>
      </c>
    </row>
    <row r="693" spans="1:13" x14ac:dyDescent="0.3">
      <c r="A693" t="s">
        <v>1014</v>
      </c>
      <c r="B693" s="1">
        <v>46061</v>
      </c>
      <c r="C693" t="s">
        <v>61</v>
      </c>
      <c r="D693" t="s">
        <v>23</v>
      </c>
      <c r="E693" t="s">
        <v>16</v>
      </c>
      <c r="F693">
        <v>1</v>
      </c>
      <c r="G693" s="2">
        <v>682.5</v>
      </c>
      <c r="H693" s="3">
        <v>0.05</v>
      </c>
      <c r="I693" t="s">
        <v>17</v>
      </c>
      <c r="J693" t="s">
        <v>31</v>
      </c>
      <c r="K693" t="s">
        <v>41</v>
      </c>
      <c r="L693" s="2">
        <v>648.38</v>
      </c>
    </row>
    <row r="694" spans="1:13" x14ac:dyDescent="0.3">
      <c r="A694" t="s">
        <v>1015</v>
      </c>
      <c r="B694" s="1">
        <v>46092</v>
      </c>
      <c r="C694" t="s">
        <v>519</v>
      </c>
      <c r="D694" t="s">
        <v>50</v>
      </c>
      <c r="E694" t="s">
        <v>16</v>
      </c>
      <c r="F694">
        <v>1</v>
      </c>
      <c r="G694" s="2">
        <v>650</v>
      </c>
      <c r="H694" s="3">
        <v>0.05</v>
      </c>
      <c r="I694" t="s">
        <v>17</v>
      </c>
      <c r="J694" t="s">
        <v>18</v>
      </c>
      <c r="K694" t="s">
        <v>19</v>
      </c>
      <c r="L694" s="2">
        <v>617.5</v>
      </c>
      <c r="M694" t="s">
        <v>20</v>
      </c>
    </row>
    <row r="695" spans="1:13" x14ac:dyDescent="0.3">
      <c r="A695" t="s">
        <v>1016</v>
      </c>
      <c r="B695" s="1">
        <v>46044</v>
      </c>
      <c r="C695" t="s">
        <v>137</v>
      </c>
      <c r="D695" t="s">
        <v>35</v>
      </c>
      <c r="E695" t="s">
        <v>183</v>
      </c>
      <c r="F695">
        <v>1</v>
      </c>
      <c r="G695" s="2">
        <v>3360</v>
      </c>
      <c r="H695" s="3">
        <v>0</v>
      </c>
      <c r="I695" t="s">
        <v>80</v>
      </c>
      <c r="J695" t="s">
        <v>31</v>
      </c>
      <c r="K695" t="s">
        <v>55</v>
      </c>
      <c r="L695" s="2">
        <v>3360</v>
      </c>
      <c r="M695" t="s">
        <v>59</v>
      </c>
    </row>
    <row r="696" spans="1:13" x14ac:dyDescent="0.3">
      <c r="A696" t="s">
        <v>1017</v>
      </c>
      <c r="B696" s="1">
        <v>46083</v>
      </c>
      <c r="C696" t="s">
        <v>353</v>
      </c>
      <c r="D696" t="s">
        <v>15</v>
      </c>
      <c r="E696" t="s">
        <v>183</v>
      </c>
      <c r="F696">
        <v>4</v>
      </c>
      <c r="G696" s="2">
        <v>3200</v>
      </c>
      <c r="H696" s="3">
        <v>0</v>
      </c>
      <c r="I696" t="s">
        <v>17</v>
      </c>
      <c r="J696" t="s">
        <v>31</v>
      </c>
      <c r="K696" t="s">
        <v>41</v>
      </c>
      <c r="L696" s="2">
        <v>12800</v>
      </c>
      <c r="M696" t="s">
        <v>48</v>
      </c>
    </row>
    <row r="697" spans="1:13" x14ac:dyDescent="0.3">
      <c r="A697" t="s">
        <v>1018</v>
      </c>
      <c r="B697" s="1">
        <v>46054</v>
      </c>
      <c r="C697" t="s">
        <v>61</v>
      </c>
      <c r="D697" t="s">
        <v>29</v>
      </c>
      <c r="E697" t="s">
        <v>36</v>
      </c>
      <c r="F697">
        <v>2</v>
      </c>
      <c r="G697" s="2">
        <v>1400</v>
      </c>
      <c r="H697" s="3">
        <v>0.15</v>
      </c>
      <c r="I697" t="s">
        <v>17</v>
      </c>
      <c r="J697" t="s">
        <v>71</v>
      </c>
      <c r="K697" t="s">
        <v>41</v>
      </c>
      <c r="L697" s="2">
        <v>2380</v>
      </c>
      <c r="M697" t="s">
        <v>42</v>
      </c>
    </row>
    <row r="698" spans="1:13" x14ac:dyDescent="0.3">
      <c r="A698" t="s">
        <v>1019</v>
      </c>
      <c r="B698" s="1">
        <v>46067</v>
      </c>
      <c r="C698" t="s">
        <v>684</v>
      </c>
      <c r="D698" t="s">
        <v>23</v>
      </c>
      <c r="E698" t="s">
        <v>135</v>
      </c>
      <c r="F698">
        <v>2</v>
      </c>
      <c r="G698" s="2">
        <v>15960</v>
      </c>
      <c r="H698" s="3">
        <v>0.05</v>
      </c>
      <c r="I698" t="s">
        <v>752</v>
      </c>
      <c r="J698" t="s">
        <v>47</v>
      </c>
      <c r="K698" t="s">
        <v>19</v>
      </c>
      <c r="L698" s="2">
        <v>30324</v>
      </c>
      <c r="M698" t="s">
        <v>138</v>
      </c>
    </row>
    <row r="699" spans="1:13" x14ac:dyDescent="0.3">
      <c r="A699" t="s">
        <v>1020</v>
      </c>
      <c r="B699" s="1">
        <v>46162</v>
      </c>
      <c r="C699" t="s">
        <v>361</v>
      </c>
      <c r="D699" t="s">
        <v>70</v>
      </c>
      <c r="E699" t="s">
        <v>46</v>
      </c>
      <c r="F699">
        <v>3</v>
      </c>
      <c r="G699" s="2">
        <v>7800</v>
      </c>
      <c r="H699" s="3">
        <v>0.05</v>
      </c>
      <c r="I699" t="s">
        <v>66</v>
      </c>
      <c r="J699" t="s">
        <v>18</v>
      </c>
      <c r="K699" t="s">
        <v>67</v>
      </c>
      <c r="L699" s="2">
        <v>22230</v>
      </c>
      <c r="M699" t="s">
        <v>26</v>
      </c>
    </row>
    <row r="700" spans="1:13" x14ac:dyDescent="0.3">
      <c r="A700" t="s">
        <v>1021</v>
      </c>
      <c r="B700" s="1">
        <v>46028</v>
      </c>
      <c r="C700" t="s">
        <v>156</v>
      </c>
      <c r="D700" t="s">
        <v>95</v>
      </c>
      <c r="E700" t="s">
        <v>183</v>
      </c>
      <c r="F700">
        <v>1</v>
      </c>
      <c r="G700" s="2">
        <v>3040</v>
      </c>
      <c r="H700" s="3">
        <v>0.2</v>
      </c>
      <c r="I700" t="s">
        <v>17</v>
      </c>
      <c r="J700" t="s">
        <v>47</v>
      </c>
      <c r="K700" t="s">
        <v>25</v>
      </c>
      <c r="L700" s="2">
        <v>2432</v>
      </c>
      <c r="M700" t="s">
        <v>32</v>
      </c>
    </row>
    <row r="701" spans="1:13" x14ac:dyDescent="0.3">
      <c r="A701" t="s">
        <v>1022</v>
      </c>
      <c r="B701" s="1">
        <v>46102</v>
      </c>
      <c r="C701" t="s">
        <v>97</v>
      </c>
      <c r="D701" t="s">
        <v>95</v>
      </c>
      <c r="E701" t="s">
        <v>85</v>
      </c>
      <c r="F701">
        <v>2</v>
      </c>
      <c r="G701" s="2">
        <v>48500</v>
      </c>
      <c r="H701" s="3">
        <v>0.2</v>
      </c>
      <c r="I701" t="s">
        <v>17</v>
      </c>
      <c r="J701" t="s">
        <v>18</v>
      </c>
      <c r="K701" t="s">
        <v>19</v>
      </c>
      <c r="L701" s="2">
        <v>77600</v>
      </c>
      <c r="M701" t="s">
        <v>32</v>
      </c>
    </row>
    <row r="702" spans="1:13" x14ac:dyDescent="0.3">
      <c r="A702" t="s">
        <v>1023</v>
      </c>
      <c r="B702" s="1">
        <v>46088</v>
      </c>
      <c r="C702" t="s">
        <v>696</v>
      </c>
      <c r="D702" t="s">
        <v>45</v>
      </c>
      <c r="E702" t="s">
        <v>63</v>
      </c>
      <c r="F702">
        <v>8</v>
      </c>
      <c r="G702" s="2">
        <v>2200</v>
      </c>
      <c r="H702" s="3">
        <v>0</v>
      </c>
      <c r="I702" t="s">
        <v>17</v>
      </c>
      <c r="J702" t="s">
        <v>47</v>
      </c>
      <c r="K702" t="s">
        <v>55</v>
      </c>
      <c r="L702" s="2">
        <v>17600</v>
      </c>
      <c r="M702" t="s">
        <v>20</v>
      </c>
    </row>
    <row r="703" spans="1:13" x14ac:dyDescent="0.3">
      <c r="A703" t="s">
        <v>1024</v>
      </c>
      <c r="B703" s="1">
        <v>46093</v>
      </c>
      <c r="C703" t="s">
        <v>346</v>
      </c>
      <c r="D703" t="s">
        <v>90</v>
      </c>
      <c r="E703" t="s">
        <v>63</v>
      </c>
      <c r="F703">
        <v>4</v>
      </c>
      <c r="G703" s="2">
        <v>2310</v>
      </c>
      <c r="H703" s="3">
        <v>0.1</v>
      </c>
      <c r="I703" t="s">
        <v>17</v>
      </c>
      <c r="J703" t="s">
        <v>18</v>
      </c>
      <c r="K703" t="s">
        <v>19</v>
      </c>
      <c r="L703" s="2">
        <v>8316</v>
      </c>
      <c r="M703" t="s">
        <v>59</v>
      </c>
    </row>
    <row r="704" spans="1:13" x14ac:dyDescent="0.3">
      <c r="A704" t="s">
        <v>1025</v>
      </c>
      <c r="B704" s="1">
        <v>46201</v>
      </c>
      <c r="C704" t="s">
        <v>266</v>
      </c>
      <c r="D704" t="s">
        <v>45</v>
      </c>
      <c r="E704" t="s">
        <v>51</v>
      </c>
      <c r="F704">
        <v>1</v>
      </c>
      <c r="G704" s="2">
        <v>18500</v>
      </c>
      <c r="H704" s="3">
        <v>0.1</v>
      </c>
      <c r="I704" t="s">
        <v>17</v>
      </c>
      <c r="J704" t="s">
        <v>31</v>
      </c>
      <c r="K704" t="s">
        <v>19</v>
      </c>
      <c r="L704" s="2">
        <v>16650</v>
      </c>
      <c r="M704" t="s">
        <v>59</v>
      </c>
    </row>
    <row r="705" spans="1:13" x14ac:dyDescent="0.3">
      <c r="A705" t="s">
        <v>1026</v>
      </c>
      <c r="B705" s="1">
        <v>46184</v>
      </c>
      <c r="C705" t="s">
        <v>281</v>
      </c>
      <c r="D705" t="s">
        <v>62</v>
      </c>
      <c r="E705" t="s">
        <v>74</v>
      </c>
      <c r="F705">
        <v>1</v>
      </c>
      <c r="G705" s="2">
        <v>2400</v>
      </c>
      <c r="H705" s="3">
        <v>0.1</v>
      </c>
      <c r="I705" t="s">
        <v>17</v>
      </c>
      <c r="J705" t="s">
        <v>31</v>
      </c>
      <c r="K705" t="s">
        <v>19</v>
      </c>
      <c r="L705" s="2">
        <v>2160</v>
      </c>
      <c r="M705" t="s">
        <v>59</v>
      </c>
    </row>
    <row r="706" spans="1:13" x14ac:dyDescent="0.3">
      <c r="A706" t="s">
        <v>1027</v>
      </c>
      <c r="B706" s="1">
        <v>46086</v>
      </c>
      <c r="C706" t="s">
        <v>1028</v>
      </c>
      <c r="D706" t="s">
        <v>152</v>
      </c>
      <c r="E706" t="s">
        <v>85</v>
      </c>
      <c r="F706">
        <v>8</v>
      </c>
      <c r="G706" s="2">
        <v>50925</v>
      </c>
      <c r="H706" s="3">
        <v>0.2</v>
      </c>
      <c r="I706" t="s">
        <v>17</v>
      </c>
      <c r="J706" t="s">
        <v>18</v>
      </c>
      <c r="K706" t="s">
        <v>55</v>
      </c>
      <c r="L706" s="2">
        <v>325920</v>
      </c>
      <c r="M706" t="s">
        <v>59</v>
      </c>
    </row>
    <row r="707" spans="1:13" x14ac:dyDescent="0.3">
      <c r="A707" t="s">
        <v>1029</v>
      </c>
      <c r="B707" s="1">
        <v>46089</v>
      </c>
      <c r="C707" t="s">
        <v>480</v>
      </c>
      <c r="D707" t="s">
        <v>50</v>
      </c>
      <c r="E707" t="s">
        <v>74</v>
      </c>
      <c r="F707">
        <v>3</v>
      </c>
      <c r="G707" s="2">
        <v>2400</v>
      </c>
      <c r="H707" s="3">
        <v>0.05</v>
      </c>
      <c r="I707" t="s">
        <v>17</v>
      </c>
      <c r="J707" t="s">
        <v>18</v>
      </c>
      <c r="K707" t="s">
        <v>67</v>
      </c>
      <c r="L707" s="2">
        <v>6840</v>
      </c>
      <c r="M707" t="s">
        <v>59</v>
      </c>
    </row>
    <row r="708" spans="1:13" x14ac:dyDescent="0.3">
      <c r="A708" t="s">
        <v>1030</v>
      </c>
      <c r="B708" s="1">
        <v>46123</v>
      </c>
      <c r="C708" t="s">
        <v>211</v>
      </c>
      <c r="D708" t="s">
        <v>77</v>
      </c>
      <c r="E708" t="s">
        <v>161</v>
      </c>
      <c r="F708">
        <v>8</v>
      </c>
      <c r="G708" s="2">
        <v>2470</v>
      </c>
      <c r="H708" s="3">
        <v>0.15</v>
      </c>
      <c r="I708" t="s">
        <v>17</v>
      </c>
      <c r="J708" t="s">
        <v>31</v>
      </c>
      <c r="K708" t="s">
        <v>55</v>
      </c>
      <c r="L708" s="2">
        <v>16796</v>
      </c>
      <c r="M708" t="s">
        <v>52</v>
      </c>
    </row>
    <row r="709" spans="1:13" x14ac:dyDescent="0.3">
      <c r="A709" t="s">
        <v>1031</v>
      </c>
      <c r="B709" s="1">
        <v>46090</v>
      </c>
      <c r="C709" t="s">
        <v>709</v>
      </c>
      <c r="D709" t="s">
        <v>123</v>
      </c>
      <c r="E709" t="s">
        <v>30</v>
      </c>
      <c r="G709" s="2">
        <v>1800</v>
      </c>
      <c r="H709" s="3">
        <v>0.15</v>
      </c>
      <c r="I709" t="s">
        <v>17</v>
      </c>
      <c r="J709" t="s">
        <v>31</v>
      </c>
      <c r="K709" t="s">
        <v>67</v>
      </c>
      <c r="L709" s="2">
        <v>1530</v>
      </c>
      <c r="M709" t="s">
        <v>59</v>
      </c>
    </row>
    <row r="710" spans="1:13" x14ac:dyDescent="0.3">
      <c r="A710" t="s">
        <v>1032</v>
      </c>
      <c r="B710" s="1">
        <v>46168</v>
      </c>
      <c r="C710" t="s">
        <v>232</v>
      </c>
      <c r="D710" t="s">
        <v>15</v>
      </c>
      <c r="E710" t="s">
        <v>16</v>
      </c>
      <c r="F710">
        <v>3</v>
      </c>
      <c r="G710" s="2">
        <v>682.5</v>
      </c>
      <c r="H710" s="3">
        <v>0.1</v>
      </c>
      <c r="I710" t="s">
        <v>17</v>
      </c>
      <c r="J710" t="s">
        <v>31</v>
      </c>
      <c r="K710" t="s">
        <v>41</v>
      </c>
      <c r="L710" s="2">
        <v>1842.75</v>
      </c>
      <c r="M710" t="s">
        <v>52</v>
      </c>
    </row>
    <row r="711" spans="1:13" x14ac:dyDescent="0.3">
      <c r="A711" t="s">
        <v>1033</v>
      </c>
      <c r="B711" s="1">
        <v>46071</v>
      </c>
      <c r="C711" t="s">
        <v>623</v>
      </c>
      <c r="D711" t="s">
        <v>90</v>
      </c>
      <c r="E711" t="s">
        <v>135</v>
      </c>
      <c r="F711">
        <v>1</v>
      </c>
      <c r="G711" s="2">
        <v>17640</v>
      </c>
      <c r="H711" s="3">
        <v>0.1</v>
      </c>
      <c r="I711" t="s">
        <v>17</v>
      </c>
      <c r="J711" t="s">
        <v>109</v>
      </c>
      <c r="K711" t="s">
        <v>67</v>
      </c>
      <c r="L711" s="2">
        <v>15876</v>
      </c>
      <c r="M711" t="s">
        <v>52</v>
      </c>
    </row>
    <row r="712" spans="1:13" x14ac:dyDescent="0.3">
      <c r="A712" t="s">
        <v>1034</v>
      </c>
      <c r="B712" s="1">
        <v>46130</v>
      </c>
      <c r="C712" t="s">
        <v>264</v>
      </c>
      <c r="D712" t="s">
        <v>50</v>
      </c>
      <c r="E712" t="s">
        <v>161</v>
      </c>
      <c r="F712">
        <v>4</v>
      </c>
      <c r="G712" s="2">
        <v>2600</v>
      </c>
      <c r="H712" s="3">
        <v>0</v>
      </c>
      <c r="I712" t="s">
        <v>37</v>
      </c>
      <c r="J712" t="s">
        <v>18</v>
      </c>
      <c r="K712" t="s">
        <v>41</v>
      </c>
      <c r="L712" s="2">
        <v>10400</v>
      </c>
      <c r="M712" t="s">
        <v>138</v>
      </c>
    </row>
    <row r="713" spans="1:13" x14ac:dyDescent="0.3">
      <c r="A713" t="s">
        <v>1035</v>
      </c>
      <c r="B713" s="1">
        <v>46172</v>
      </c>
      <c r="C713" t="s">
        <v>300</v>
      </c>
      <c r="D713" t="s">
        <v>95</v>
      </c>
      <c r="E713" t="s">
        <v>74</v>
      </c>
      <c r="F713">
        <v>2</v>
      </c>
      <c r="G713" s="2">
        <v>2400</v>
      </c>
      <c r="H713" s="3">
        <v>0</v>
      </c>
      <c r="I713" t="s">
        <v>17</v>
      </c>
      <c r="J713" t="s">
        <v>71</v>
      </c>
      <c r="K713" t="s">
        <v>55</v>
      </c>
      <c r="L713" s="2">
        <v>4800</v>
      </c>
      <c r="M713" t="s">
        <v>32</v>
      </c>
    </row>
    <row r="714" spans="1:13" x14ac:dyDescent="0.3">
      <c r="A714" t="s">
        <v>1036</v>
      </c>
      <c r="B714" s="1">
        <v>46175</v>
      </c>
      <c r="C714" t="s">
        <v>436</v>
      </c>
      <c r="D714" t="s">
        <v>45</v>
      </c>
      <c r="E714" t="s">
        <v>63</v>
      </c>
      <c r="F714">
        <v>1</v>
      </c>
      <c r="G714" s="2">
        <v>2200</v>
      </c>
      <c r="H714" s="3">
        <v>0</v>
      </c>
      <c r="I714" t="s">
        <v>17</v>
      </c>
      <c r="J714" t="s">
        <v>47</v>
      </c>
      <c r="K714" t="s">
        <v>25</v>
      </c>
      <c r="L714" s="2">
        <v>2200</v>
      </c>
      <c r="M714" t="s">
        <v>48</v>
      </c>
    </row>
    <row r="715" spans="1:13" x14ac:dyDescent="0.3">
      <c r="A715" t="s">
        <v>1037</v>
      </c>
      <c r="B715" s="1">
        <v>46034</v>
      </c>
      <c r="C715" t="s">
        <v>291</v>
      </c>
      <c r="D715" t="s">
        <v>168</v>
      </c>
      <c r="E715" t="s">
        <v>135</v>
      </c>
      <c r="F715">
        <v>2</v>
      </c>
      <c r="G715" s="2">
        <v>17640</v>
      </c>
      <c r="H715" s="3">
        <v>0.1</v>
      </c>
      <c r="I715" t="s">
        <v>17</v>
      </c>
      <c r="J715" t="s">
        <v>71</v>
      </c>
      <c r="K715" t="s">
        <v>25</v>
      </c>
      <c r="L715" s="2">
        <v>31752</v>
      </c>
      <c r="M715" t="s">
        <v>20</v>
      </c>
    </row>
    <row r="716" spans="1:13" x14ac:dyDescent="0.3">
      <c r="A716" t="s">
        <v>1038</v>
      </c>
      <c r="B716" s="1">
        <v>46171</v>
      </c>
      <c r="C716" t="s">
        <v>326</v>
      </c>
      <c r="D716" t="s">
        <v>50</v>
      </c>
      <c r="E716" t="s">
        <v>135</v>
      </c>
      <c r="F716">
        <v>1</v>
      </c>
      <c r="G716" s="2">
        <v>17640</v>
      </c>
      <c r="H716" s="3">
        <v>0.1</v>
      </c>
      <c r="I716" t="s">
        <v>80</v>
      </c>
      <c r="J716" t="s">
        <v>31</v>
      </c>
      <c r="K716" t="s">
        <v>67</v>
      </c>
      <c r="L716" s="2">
        <v>15876</v>
      </c>
      <c r="M716" t="s">
        <v>82</v>
      </c>
    </row>
    <row r="717" spans="1:13" x14ac:dyDescent="0.3">
      <c r="A717" t="s">
        <v>1039</v>
      </c>
      <c r="B717" s="1">
        <v>46133</v>
      </c>
      <c r="C717" t="s">
        <v>559</v>
      </c>
      <c r="D717" t="s">
        <v>50</v>
      </c>
      <c r="E717" t="s">
        <v>135</v>
      </c>
      <c r="F717">
        <v>1</v>
      </c>
      <c r="G717" s="2">
        <v>17640</v>
      </c>
      <c r="H717" s="3">
        <v>0</v>
      </c>
      <c r="I717" t="s">
        <v>116</v>
      </c>
      <c r="J717" t="s">
        <v>47</v>
      </c>
      <c r="K717" t="s">
        <v>55</v>
      </c>
      <c r="L717" s="2">
        <v>17640</v>
      </c>
      <c r="M717" t="s">
        <v>26</v>
      </c>
    </row>
    <row r="718" spans="1:13" x14ac:dyDescent="0.3">
      <c r="A718" t="s">
        <v>1040</v>
      </c>
      <c r="B718" s="1">
        <v>46090</v>
      </c>
      <c r="C718" t="s">
        <v>684</v>
      </c>
      <c r="D718" t="s">
        <v>40</v>
      </c>
      <c r="E718" t="s">
        <v>135</v>
      </c>
      <c r="F718">
        <v>2</v>
      </c>
      <c r="G718" s="2">
        <v>16800</v>
      </c>
      <c r="H718" s="3">
        <v>0.1</v>
      </c>
      <c r="I718" t="s">
        <v>66</v>
      </c>
      <c r="J718" t="s">
        <v>71</v>
      </c>
      <c r="K718" t="s">
        <v>25</v>
      </c>
      <c r="L718" s="2">
        <v>30240</v>
      </c>
      <c r="M718" t="s">
        <v>56</v>
      </c>
    </row>
    <row r="719" spans="1:13" x14ac:dyDescent="0.3">
      <c r="A719" t="s">
        <v>1041</v>
      </c>
      <c r="B719" s="1">
        <v>46036</v>
      </c>
      <c r="C719" t="s">
        <v>848</v>
      </c>
      <c r="D719" t="s">
        <v>23</v>
      </c>
      <c r="E719" t="s">
        <v>30</v>
      </c>
      <c r="F719">
        <v>1</v>
      </c>
      <c r="G719" s="2">
        <v>1800</v>
      </c>
      <c r="H719" s="3">
        <v>0</v>
      </c>
      <c r="I719" t="s">
        <v>17</v>
      </c>
      <c r="J719" t="s">
        <v>18</v>
      </c>
      <c r="K719" t="s">
        <v>55</v>
      </c>
      <c r="L719" s="2">
        <v>1800</v>
      </c>
      <c r="M719" t="s">
        <v>42</v>
      </c>
    </row>
    <row r="720" spans="1:13" x14ac:dyDescent="0.3">
      <c r="A720" t="s">
        <v>1042</v>
      </c>
      <c r="B720" s="1">
        <v>46149</v>
      </c>
      <c r="C720" t="s">
        <v>851</v>
      </c>
      <c r="D720" t="s">
        <v>168</v>
      </c>
      <c r="E720" t="s">
        <v>46</v>
      </c>
      <c r="F720">
        <v>2</v>
      </c>
      <c r="G720" s="2">
        <v>8190</v>
      </c>
      <c r="H720" s="3">
        <v>0.2</v>
      </c>
      <c r="I720" t="s">
        <v>17</v>
      </c>
      <c r="J720" t="s">
        <v>31</v>
      </c>
      <c r="K720" t="s">
        <v>41</v>
      </c>
      <c r="L720" s="2">
        <v>13104</v>
      </c>
      <c r="M720" t="s">
        <v>42</v>
      </c>
    </row>
    <row r="721" spans="1:13" x14ac:dyDescent="0.3">
      <c r="A721" t="s">
        <v>1043</v>
      </c>
      <c r="B721" s="1">
        <v>46112</v>
      </c>
      <c r="C721" t="s">
        <v>54</v>
      </c>
      <c r="D721" t="s">
        <v>15</v>
      </c>
      <c r="E721" t="s">
        <v>24</v>
      </c>
      <c r="F721">
        <v>5</v>
      </c>
      <c r="G721" s="2">
        <v>11200</v>
      </c>
      <c r="H721" s="3">
        <v>0</v>
      </c>
      <c r="I721" t="s">
        <v>66</v>
      </c>
      <c r="J721" t="s">
        <v>31</v>
      </c>
      <c r="K721" t="s">
        <v>25</v>
      </c>
      <c r="L721" s="2">
        <v>56000</v>
      </c>
      <c r="M721" t="s">
        <v>48</v>
      </c>
    </row>
    <row r="722" spans="1:13" x14ac:dyDescent="0.3">
      <c r="A722" t="s">
        <v>1044</v>
      </c>
      <c r="B722" s="1">
        <v>46069</v>
      </c>
      <c r="C722" t="s">
        <v>175</v>
      </c>
      <c r="D722" t="s">
        <v>70</v>
      </c>
      <c r="E722" t="s">
        <v>63</v>
      </c>
      <c r="F722">
        <v>1</v>
      </c>
      <c r="G722" s="2">
        <v>2200</v>
      </c>
      <c r="H722" s="3">
        <v>0.1</v>
      </c>
      <c r="I722" t="s">
        <v>17</v>
      </c>
      <c r="J722" t="s">
        <v>47</v>
      </c>
      <c r="K722" t="s">
        <v>19</v>
      </c>
      <c r="L722" s="2">
        <v>1980</v>
      </c>
      <c r="M722" t="s">
        <v>32</v>
      </c>
    </row>
    <row r="723" spans="1:13" x14ac:dyDescent="0.3">
      <c r="A723" t="s">
        <v>1045</v>
      </c>
      <c r="B723" s="1">
        <v>46118</v>
      </c>
      <c r="C723" t="s">
        <v>457</v>
      </c>
      <c r="D723" t="s">
        <v>40</v>
      </c>
      <c r="E723" t="s">
        <v>63</v>
      </c>
      <c r="F723">
        <v>4</v>
      </c>
      <c r="G723" s="2">
        <v>2310</v>
      </c>
      <c r="H723" s="3">
        <v>0</v>
      </c>
      <c r="I723" t="s">
        <v>17</v>
      </c>
      <c r="J723" t="s">
        <v>18</v>
      </c>
      <c r="K723" t="s">
        <v>67</v>
      </c>
      <c r="L723" s="2">
        <v>9240</v>
      </c>
      <c r="M723" t="s">
        <v>48</v>
      </c>
    </row>
    <row r="724" spans="1:13" x14ac:dyDescent="0.3">
      <c r="A724" t="s">
        <v>1046</v>
      </c>
      <c r="B724" s="1">
        <v>46191</v>
      </c>
      <c r="C724" t="s">
        <v>405</v>
      </c>
      <c r="D724" t="s">
        <v>168</v>
      </c>
      <c r="E724" t="s">
        <v>36</v>
      </c>
      <c r="F724">
        <v>8</v>
      </c>
      <c r="G724" s="2">
        <v>1470</v>
      </c>
      <c r="H724" s="3">
        <v>0.2</v>
      </c>
      <c r="I724" t="s">
        <v>17</v>
      </c>
      <c r="J724" t="s">
        <v>71</v>
      </c>
      <c r="K724" t="s">
        <v>41</v>
      </c>
      <c r="L724" s="2">
        <v>9408</v>
      </c>
      <c r="M724" t="s">
        <v>20</v>
      </c>
    </row>
    <row r="725" spans="1:13" x14ac:dyDescent="0.3">
      <c r="A725" t="s">
        <v>1047</v>
      </c>
      <c r="B725" s="1">
        <v>46187</v>
      </c>
      <c r="C725" t="s">
        <v>146</v>
      </c>
      <c r="D725" t="s">
        <v>45</v>
      </c>
      <c r="E725" t="s">
        <v>36</v>
      </c>
      <c r="F725">
        <v>4</v>
      </c>
      <c r="G725" s="2">
        <v>1470</v>
      </c>
      <c r="H725" s="3">
        <v>0.2</v>
      </c>
      <c r="I725" t="s">
        <v>17</v>
      </c>
      <c r="J725" t="s">
        <v>18</v>
      </c>
      <c r="K725" t="s">
        <v>67</v>
      </c>
      <c r="L725" s="2">
        <v>4704</v>
      </c>
      <c r="M725" t="s">
        <v>59</v>
      </c>
    </row>
    <row r="726" spans="1:13" x14ac:dyDescent="0.3">
      <c r="A726" t="s">
        <v>1048</v>
      </c>
      <c r="B726" s="1">
        <v>46084</v>
      </c>
      <c r="C726" t="s">
        <v>321</v>
      </c>
      <c r="D726" t="s">
        <v>29</v>
      </c>
      <c r="E726" t="s">
        <v>161</v>
      </c>
      <c r="F726">
        <v>1</v>
      </c>
      <c r="G726" s="2">
        <v>2730</v>
      </c>
      <c r="H726" s="3">
        <v>0</v>
      </c>
      <c r="I726" t="s">
        <v>17</v>
      </c>
      <c r="J726" t="s">
        <v>71</v>
      </c>
      <c r="K726" t="s">
        <v>19</v>
      </c>
      <c r="L726" s="2">
        <v>2730</v>
      </c>
      <c r="M726" t="s">
        <v>26</v>
      </c>
    </row>
    <row r="727" spans="1:13" x14ac:dyDescent="0.3">
      <c r="A727" t="s">
        <v>1049</v>
      </c>
      <c r="B727" s="1">
        <v>46148</v>
      </c>
      <c r="C727" t="s">
        <v>528</v>
      </c>
      <c r="D727" t="s">
        <v>29</v>
      </c>
      <c r="E727" t="s">
        <v>161</v>
      </c>
      <c r="F727">
        <v>4</v>
      </c>
      <c r="G727" s="2">
        <v>2600</v>
      </c>
      <c r="H727" s="3">
        <v>0.05</v>
      </c>
      <c r="I727" t="s">
        <v>80</v>
      </c>
      <c r="J727" t="s">
        <v>31</v>
      </c>
      <c r="K727" t="s">
        <v>67</v>
      </c>
      <c r="L727" s="2">
        <v>9880</v>
      </c>
      <c r="M727" t="s">
        <v>82</v>
      </c>
    </row>
    <row r="728" spans="1:13" x14ac:dyDescent="0.3">
      <c r="A728" t="s">
        <v>1050</v>
      </c>
      <c r="B728" s="1">
        <v>46074</v>
      </c>
      <c r="C728" t="s">
        <v>843</v>
      </c>
      <c r="D728" t="s">
        <v>62</v>
      </c>
      <c r="E728" t="s">
        <v>46</v>
      </c>
      <c r="F728">
        <v>5</v>
      </c>
      <c r="G728" s="2">
        <v>8190</v>
      </c>
      <c r="H728" s="3">
        <v>0.1</v>
      </c>
      <c r="I728" t="s">
        <v>17</v>
      </c>
      <c r="J728" t="s">
        <v>18</v>
      </c>
      <c r="K728" t="s">
        <v>67</v>
      </c>
      <c r="L728" s="2">
        <v>36855</v>
      </c>
      <c r="M728" t="s">
        <v>48</v>
      </c>
    </row>
    <row r="729" spans="1:13" x14ac:dyDescent="0.3">
      <c r="A729" t="s">
        <v>1051</v>
      </c>
      <c r="B729" s="1">
        <v>46070</v>
      </c>
      <c r="C729" t="s">
        <v>338</v>
      </c>
      <c r="D729" t="s">
        <v>70</v>
      </c>
      <c r="E729" t="s">
        <v>74</v>
      </c>
      <c r="F729">
        <v>2</v>
      </c>
      <c r="G729" s="2">
        <v>2520</v>
      </c>
      <c r="H729" s="3">
        <v>0</v>
      </c>
      <c r="I729" t="s">
        <v>17</v>
      </c>
      <c r="J729" t="s">
        <v>71</v>
      </c>
      <c r="K729" t="s">
        <v>55</v>
      </c>
      <c r="L729" s="2">
        <v>5040</v>
      </c>
      <c r="M729" t="s">
        <v>82</v>
      </c>
    </row>
    <row r="730" spans="1:13" x14ac:dyDescent="0.3">
      <c r="A730" t="s">
        <v>1052</v>
      </c>
      <c r="B730" s="1">
        <v>46184</v>
      </c>
      <c r="C730" t="s">
        <v>115</v>
      </c>
      <c r="D730" t="s">
        <v>95</v>
      </c>
      <c r="E730" t="s">
        <v>51</v>
      </c>
      <c r="F730">
        <v>1</v>
      </c>
      <c r="G730" s="2">
        <v>19425</v>
      </c>
      <c r="H730" s="3">
        <v>0.1</v>
      </c>
      <c r="I730" t="s">
        <v>17</v>
      </c>
      <c r="J730" t="s">
        <v>71</v>
      </c>
      <c r="K730" t="s">
        <v>41</v>
      </c>
      <c r="L730" s="2">
        <v>17482.5</v>
      </c>
      <c r="M730" t="s">
        <v>26</v>
      </c>
    </row>
    <row r="731" spans="1:13" x14ac:dyDescent="0.3">
      <c r="A731" t="s">
        <v>1053</v>
      </c>
      <c r="B731" s="1">
        <v>46086</v>
      </c>
      <c r="C731" t="s">
        <v>94</v>
      </c>
      <c r="D731" t="s">
        <v>152</v>
      </c>
      <c r="E731" t="s">
        <v>161</v>
      </c>
      <c r="F731">
        <v>1</v>
      </c>
      <c r="G731" s="2">
        <v>2470</v>
      </c>
      <c r="H731" s="3">
        <v>0</v>
      </c>
      <c r="I731" t="s">
        <v>17</v>
      </c>
      <c r="J731" t="s">
        <v>18</v>
      </c>
      <c r="K731" t="s">
        <v>55</v>
      </c>
      <c r="L731" s="2">
        <v>2470</v>
      </c>
      <c r="M731" t="s">
        <v>42</v>
      </c>
    </row>
    <row r="732" spans="1:13" x14ac:dyDescent="0.3">
      <c r="A732" t="s">
        <v>1054</v>
      </c>
      <c r="B732" s="1">
        <v>46141</v>
      </c>
      <c r="D732" t="s">
        <v>95</v>
      </c>
      <c r="E732" t="s">
        <v>85</v>
      </c>
      <c r="F732">
        <v>3</v>
      </c>
      <c r="G732" s="2">
        <v>46075</v>
      </c>
      <c r="H732" s="3">
        <v>0.05</v>
      </c>
      <c r="I732" t="s">
        <v>17</v>
      </c>
      <c r="J732" t="s">
        <v>31</v>
      </c>
      <c r="K732" t="s">
        <v>19</v>
      </c>
      <c r="L732" s="2">
        <v>131313.75</v>
      </c>
      <c r="M732" t="s">
        <v>56</v>
      </c>
    </row>
    <row r="733" spans="1:13" x14ac:dyDescent="0.3">
      <c r="A733" t="s">
        <v>1055</v>
      </c>
      <c r="B733" s="1">
        <v>46068</v>
      </c>
      <c r="C733" t="s">
        <v>281</v>
      </c>
      <c r="E733" t="s">
        <v>30</v>
      </c>
      <c r="F733">
        <v>4</v>
      </c>
      <c r="G733" s="2">
        <v>1800</v>
      </c>
      <c r="H733" s="3">
        <v>0</v>
      </c>
      <c r="I733" t="s">
        <v>17</v>
      </c>
      <c r="J733" t="s">
        <v>18</v>
      </c>
      <c r="K733" t="s">
        <v>55</v>
      </c>
      <c r="L733" s="2">
        <v>7200</v>
      </c>
      <c r="M733" t="s">
        <v>48</v>
      </c>
    </row>
    <row r="734" spans="1:13" x14ac:dyDescent="0.3">
      <c r="A734" t="s">
        <v>1056</v>
      </c>
      <c r="B734" s="1">
        <v>46090</v>
      </c>
      <c r="C734" t="s">
        <v>150</v>
      </c>
      <c r="D734" t="s">
        <v>35</v>
      </c>
      <c r="E734" t="s">
        <v>30</v>
      </c>
      <c r="F734">
        <v>1</v>
      </c>
      <c r="G734" s="2">
        <v>1800</v>
      </c>
      <c r="H734" s="3">
        <v>0</v>
      </c>
      <c r="I734" t="s">
        <v>17</v>
      </c>
      <c r="J734" t="s">
        <v>18</v>
      </c>
      <c r="K734" t="s">
        <v>25</v>
      </c>
      <c r="L734" s="2">
        <v>1800</v>
      </c>
      <c r="M734" t="s">
        <v>20</v>
      </c>
    </row>
    <row r="735" spans="1:13" x14ac:dyDescent="0.3">
      <c r="A735" t="s">
        <v>1057</v>
      </c>
      <c r="B735" s="1">
        <v>46024</v>
      </c>
      <c r="C735" t="s">
        <v>586</v>
      </c>
      <c r="D735" t="s">
        <v>70</v>
      </c>
      <c r="E735" t="s">
        <v>63</v>
      </c>
      <c r="F735">
        <v>1</v>
      </c>
      <c r="G735" s="2">
        <v>2310</v>
      </c>
      <c r="H735" s="3">
        <v>0.2</v>
      </c>
      <c r="I735" t="s">
        <v>17</v>
      </c>
      <c r="J735" t="s">
        <v>47</v>
      </c>
      <c r="K735" t="s">
        <v>25</v>
      </c>
      <c r="L735" s="2">
        <v>1848</v>
      </c>
      <c r="M735" t="s">
        <v>48</v>
      </c>
    </row>
    <row r="736" spans="1:13" x14ac:dyDescent="0.3">
      <c r="A736" t="s">
        <v>1058</v>
      </c>
      <c r="B736" s="1">
        <v>46115</v>
      </c>
      <c r="C736" t="s">
        <v>14</v>
      </c>
      <c r="D736" t="s">
        <v>123</v>
      </c>
      <c r="E736" t="s">
        <v>74</v>
      </c>
      <c r="F736">
        <v>8</v>
      </c>
      <c r="G736" s="2">
        <v>2400</v>
      </c>
      <c r="H736" s="3">
        <v>0.2</v>
      </c>
      <c r="I736" t="s">
        <v>17</v>
      </c>
      <c r="J736" t="s">
        <v>71</v>
      </c>
      <c r="K736" t="s">
        <v>41</v>
      </c>
      <c r="L736" s="2">
        <v>15360</v>
      </c>
      <c r="M736" t="s">
        <v>20</v>
      </c>
    </row>
    <row r="737" spans="1:13" x14ac:dyDescent="0.3">
      <c r="A737" t="s">
        <v>1059</v>
      </c>
      <c r="B737" s="1">
        <v>46071</v>
      </c>
      <c r="C737" t="s">
        <v>254</v>
      </c>
      <c r="D737" t="s">
        <v>15</v>
      </c>
      <c r="E737" t="s">
        <v>16</v>
      </c>
      <c r="F737">
        <v>3</v>
      </c>
      <c r="G737" s="2">
        <v>650</v>
      </c>
      <c r="H737" s="3">
        <v>0</v>
      </c>
      <c r="I737" t="s">
        <v>66</v>
      </c>
      <c r="J737" t="s">
        <v>71</v>
      </c>
      <c r="K737" t="s">
        <v>41</v>
      </c>
      <c r="L737" s="2">
        <v>1950</v>
      </c>
      <c r="M737" t="s">
        <v>32</v>
      </c>
    </row>
    <row r="738" spans="1:13" x14ac:dyDescent="0.3">
      <c r="A738" t="s">
        <v>1060</v>
      </c>
      <c r="B738" s="1">
        <v>46183</v>
      </c>
      <c r="C738" t="s">
        <v>399</v>
      </c>
      <c r="D738" t="s">
        <v>90</v>
      </c>
      <c r="E738" t="s">
        <v>51</v>
      </c>
      <c r="F738">
        <v>1</v>
      </c>
      <c r="G738" s="2">
        <v>18500</v>
      </c>
      <c r="H738" s="3">
        <v>0.05</v>
      </c>
      <c r="I738" t="s">
        <v>17</v>
      </c>
      <c r="J738" t="s">
        <v>18</v>
      </c>
      <c r="K738" t="s">
        <v>19</v>
      </c>
      <c r="L738" s="2">
        <v>17575</v>
      </c>
      <c r="M738" t="s">
        <v>42</v>
      </c>
    </row>
    <row r="739" spans="1:13" x14ac:dyDescent="0.3">
      <c r="A739" t="s">
        <v>1061</v>
      </c>
      <c r="B739" s="1">
        <v>46065</v>
      </c>
      <c r="C739" t="s">
        <v>613</v>
      </c>
      <c r="D739" t="s">
        <v>77</v>
      </c>
      <c r="E739" t="s">
        <v>30</v>
      </c>
      <c r="F739">
        <v>4</v>
      </c>
      <c r="G739" s="2">
        <v>1890</v>
      </c>
      <c r="H739" s="3">
        <v>0.1</v>
      </c>
      <c r="I739" t="s">
        <v>116</v>
      </c>
      <c r="J739" t="s">
        <v>18</v>
      </c>
      <c r="K739" t="s">
        <v>25</v>
      </c>
      <c r="L739" s="2">
        <v>6804</v>
      </c>
      <c r="M739" t="s">
        <v>52</v>
      </c>
    </row>
    <row r="740" spans="1:13" x14ac:dyDescent="0.3">
      <c r="A740" t="s">
        <v>1062</v>
      </c>
      <c r="B740" s="1">
        <v>46074</v>
      </c>
      <c r="C740" t="s">
        <v>177</v>
      </c>
      <c r="D740" t="s">
        <v>45</v>
      </c>
      <c r="E740" t="s">
        <v>183</v>
      </c>
      <c r="F740">
        <v>4</v>
      </c>
      <c r="G740" s="2">
        <v>3040</v>
      </c>
      <c r="H740" s="3">
        <v>0.1</v>
      </c>
      <c r="I740" t="s">
        <v>17</v>
      </c>
      <c r="J740" t="s">
        <v>18</v>
      </c>
      <c r="K740" t="s">
        <v>55</v>
      </c>
      <c r="L740" s="2">
        <v>10944</v>
      </c>
      <c r="M740" t="s">
        <v>56</v>
      </c>
    </row>
    <row r="741" spans="1:13" x14ac:dyDescent="0.3">
      <c r="A741" t="s">
        <v>1063</v>
      </c>
      <c r="B741" s="1">
        <v>46171</v>
      </c>
      <c r="C741" t="s">
        <v>901</v>
      </c>
      <c r="D741" t="s">
        <v>40</v>
      </c>
      <c r="E741" t="s">
        <v>85</v>
      </c>
      <c r="F741">
        <v>3</v>
      </c>
      <c r="G741" s="2">
        <v>50925</v>
      </c>
      <c r="H741" s="3">
        <v>0.05</v>
      </c>
      <c r="I741" t="s">
        <v>17</v>
      </c>
      <c r="J741" t="s">
        <v>18</v>
      </c>
      <c r="K741" t="s">
        <v>41</v>
      </c>
      <c r="L741" s="2">
        <v>145136.25</v>
      </c>
      <c r="M741" t="s">
        <v>20</v>
      </c>
    </row>
    <row r="742" spans="1:13" x14ac:dyDescent="0.3">
      <c r="A742" t="s">
        <v>1064</v>
      </c>
      <c r="B742" s="1">
        <v>46158</v>
      </c>
      <c r="C742" t="s">
        <v>399</v>
      </c>
      <c r="D742" t="s">
        <v>168</v>
      </c>
      <c r="E742" t="s">
        <v>161</v>
      </c>
      <c r="F742">
        <v>3</v>
      </c>
      <c r="G742" s="2">
        <v>2730</v>
      </c>
      <c r="H742" s="3">
        <v>0.15</v>
      </c>
      <c r="I742" t="s">
        <v>17</v>
      </c>
      <c r="J742" t="s">
        <v>31</v>
      </c>
      <c r="K742" t="s">
        <v>55</v>
      </c>
      <c r="L742" s="2">
        <v>6961.5</v>
      </c>
      <c r="M742" t="s">
        <v>48</v>
      </c>
    </row>
    <row r="743" spans="1:13" x14ac:dyDescent="0.3">
      <c r="A743" t="s">
        <v>1065</v>
      </c>
      <c r="B743" s="1">
        <v>46188</v>
      </c>
      <c r="C743" t="s">
        <v>330</v>
      </c>
      <c r="D743" t="s">
        <v>35</v>
      </c>
      <c r="E743" t="s">
        <v>46</v>
      </c>
      <c r="F743">
        <v>3</v>
      </c>
      <c r="G743" s="2">
        <v>7800</v>
      </c>
      <c r="H743" s="3">
        <v>0</v>
      </c>
      <c r="I743" t="s">
        <v>752</v>
      </c>
      <c r="J743" t="s">
        <v>47</v>
      </c>
      <c r="K743" t="s">
        <v>55</v>
      </c>
      <c r="L743" s="2">
        <v>23400</v>
      </c>
      <c r="M743" t="s">
        <v>52</v>
      </c>
    </row>
    <row r="744" spans="1:13" x14ac:dyDescent="0.3">
      <c r="A744" t="s">
        <v>1066</v>
      </c>
      <c r="B744" s="1">
        <v>46152</v>
      </c>
      <c r="C744" t="s">
        <v>326</v>
      </c>
      <c r="D744" t="s">
        <v>23</v>
      </c>
      <c r="E744" t="s">
        <v>183</v>
      </c>
      <c r="F744">
        <v>5</v>
      </c>
      <c r="G744" s="2">
        <v>3360</v>
      </c>
      <c r="H744" s="3">
        <v>0.05</v>
      </c>
      <c r="I744" t="s">
        <v>80</v>
      </c>
      <c r="J744" t="s">
        <v>47</v>
      </c>
      <c r="K744" t="s">
        <v>55</v>
      </c>
      <c r="L744" s="2">
        <v>15960</v>
      </c>
      <c r="M744" t="s">
        <v>32</v>
      </c>
    </row>
    <row r="745" spans="1:13" x14ac:dyDescent="0.3">
      <c r="A745" t="s">
        <v>1067</v>
      </c>
      <c r="B745" s="1">
        <v>46195</v>
      </c>
      <c r="C745" t="s">
        <v>204</v>
      </c>
      <c r="D745" t="s">
        <v>95</v>
      </c>
      <c r="E745" t="s">
        <v>85</v>
      </c>
      <c r="F745">
        <v>2</v>
      </c>
      <c r="G745" s="2">
        <v>48500</v>
      </c>
      <c r="H745" s="3">
        <v>0.1</v>
      </c>
      <c r="I745" t="s">
        <v>17</v>
      </c>
      <c r="J745" t="s">
        <v>47</v>
      </c>
      <c r="K745" t="s">
        <v>19</v>
      </c>
      <c r="L745" s="2">
        <v>87300</v>
      </c>
      <c r="M745" t="s">
        <v>56</v>
      </c>
    </row>
    <row r="746" spans="1:13" x14ac:dyDescent="0.3">
      <c r="A746" t="s">
        <v>1068</v>
      </c>
      <c r="B746" s="1">
        <v>46056</v>
      </c>
      <c r="C746" t="s">
        <v>851</v>
      </c>
      <c r="D746" t="s">
        <v>50</v>
      </c>
      <c r="E746" t="s">
        <v>24</v>
      </c>
      <c r="F746">
        <v>1</v>
      </c>
      <c r="G746" s="2">
        <v>11760</v>
      </c>
      <c r="H746" s="3">
        <v>0.1</v>
      </c>
      <c r="I746" t="s">
        <v>17</v>
      </c>
      <c r="J746" t="s">
        <v>47</v>
      </c>
      <c r="K746" t="s">
        <v>41</v>
      </c>
      <c r="L746" s="2">
        <v>10584</v>
      </c>
      <c r="M746" t="s">
        <v>52</v>
      </c>
    </row>
    <row r="747" spans="1:13" x14ac:dyDescent="0.3">
      <c r="A747" t="s">
        <v>1069</v>
      </c>
      <c r="B747" s="1">
        <v>46165</v>
      </c>
      <c r="C747" t="s">
        <v>298</v>
      </c>
      <c r="D747" t="s">
        <v>168</v>
      </c>
      <c r="E747" t="s">
        <v>16</v>
      </c>
      <c r="F747">
        <v>2</v>
      </c>
      <c r="G747" s="2">
        <v>650</v>
      </c>
      <c r="H747" s="3">
        <v>0.05</v>
      </c>
      <c r="I747" t="s">
        <v>17</v>
      </c>
      <c r="J747" t="s">
        <v>31</v>
      </c>
      <c r="K747" t="s">
        <v>19</v>
      </c>
      <c r="L747" s="2">
        <v>1235</v>
      </c>
      <c r="M747" t="s">
        <v>138</v>
      </c>
    </row>
    <row r="748" spans="1:13" x14ac:dyDescent="0.3">
      <c r="A748" t="s">
        <v>1070</v>
      </c>
      <c r="B748" s="1">
        <v>46133</v>
      </c>
      <c r="C748" t="s">
        <v>227</v>
      </c>
      <c r="D748" t="s">
        <v>15</v>
      </c>
      <c r="E748" t="s">
        <v>183</v>
      </c>
      <c r="F748">
        <v>1</v>
      </c>
      <c r="G748" s="2">
        <v>3200</v>
      </c>
      <c r="H748" s="3">
        <v>0.15</v>
      </c>
      <c r="I748" t="s">
        <v>17</v>
      </c>
      <c r="J748" t="s">
        <v>47</v>
      </c>
      <c r="K748" t="s">
        <v>19</v>
      </c>
      <c r="L748" s="2">
        <v>2720</v>
      </c>
      <c r="M748" t="s">
        <v>82</v>
      </c>
    </row>
    <row r="749" spans="1:13" x14ac:dyDescent="0.3">
      <c r="A749" t="s">
        <v>1071</v>
      </c>
      <c r="B749" s="1">
        <v>46091</v>
      </c>
      <c r="C749" t="s">
        <v>572</v>
      </c>
      <c r="D749" t="s">
        <v>77</v>
      </c>
      <c r="E749" t="s">
        <v>30</v>
      </c>
      <c r="F749">
        <v>5</v>
      </c>
      <c r="G749" s="2">
        <v>1710</v>
      </c>
      <c r="H749" s="3">
        <v>0.15</v>
      </c>
      <c r="I749" t="s">
        <v>17</v>
      </c>
      <c r="J749" t="s">
        <v>18</v>
      </c>
      <c r="K749" t="s">
        <v>55</v>
      </c>
      <c r="L749" s="2">
        <v>7267.5</v>
      </c>
      <c r="M749" t="s">
        <v>42</v>
      </c>
    </row>
    <row r="750" spans="1:13" x14ac:dyDescent="0.3">
      <c r="A750" t="s">
        <v>1072</v>
      </c>
      <c r="B750" s="1">
        <v>46050</v>
      </c>
      <c r="C750" t="s">
        <v>179</v>
      </c>
      <c r="D750" t="s">
        <v>29</v>
      </c>
      <c r="E750" t="s">
        <v>183</v>
      </c>
      <c r="F750">
        <v>3</v>
      </c>
      <c r="G750" s="2">
        <v>3040</v>
      </c>
      <c r="H750" s="3">
        <v>0</v>
      </c>
      <c r="I750" t="s">
        <v>17</v>
      </c>
      <c r="J750" t="s">
        <v>31</v>
      </c>
      <c r="K750" t="s">
        <v>41</v>
      </c>
      <c r="L750" s="2">
        <v>9120</v>
      </c>
      <c r="M750" t="s">
        <v>42</v>
      </c>
    </row>
    <row r="751" spans="1:13" x14ac:dyDescent="0.3">
      <c r="A751" t="s">
        <v>1073</v>
      </c>
      <c r="B751" s="1">
        <v>46075</v>
      </c>
      <c r="C751" t="s">
        <v>1074</v>
      </c>
      <c r="D751" t="s">
        <v>77</v>
      </c>
      <c r="E751" t="s">
        <v>36</v>
      </c>
      <c r="F751">
        <v>1</v>
      </c>
      <c r="G751" s="2">
        <v>1470</v>
      </c>
      <c r="H751" s="3">
        <v>0.05</v>
      </c>
      <c r="I751" t="s">
        <v>17</v>
      </c>
      <c r="J751" t="s">
        <v>71</v>
      </c>
      <c r="K751" t="s">
        <v>67</v>
      </c>
      <c r="L751" s="2">
        <v>1396.5</v>
      </c>
      <c r="M751" t="s">
        <v>138</v>
      </c>
    </row>
    <row r="752" spans="1:13" x14ac:dyDescent="0.3">
      <c r="A752" t="s">
        <v>1075</v>
      </c>
      <c r="B752" s="1">
        <v>46058</v>
      </c>
      <c r="C752" t="s">
        <v>446</v>
      </c>
      <c r="D752" t="s">
        <v>15</v>
      </c>
      <c r="E752" t="s">
        <v>24</v>
      </c>
      <c r="F752">
        <v>2</v>
      </c>
      <c r="G752" s="2">
        <v>10640</v>
      </c>
      <c r="H752" s="3">
        <v>0.1</v>
      </c>
      <c r="I752" t="s">
        <v>17</v>
      </c>
      <c r="J752" t="s">
        <v>18</v>
      </c>
      <c r="K752" t="s">
        <v>67</v>
      </c>
      <c r="L752" s="2">
        <v>19152</v>
      </c>
      <c r="M752" t="s">
        <v>26</v>
      </c>
    </row>
    <row r="753" spans="1:13" x14ac:dyDescent="0.3">
      <c r="A753" t="s">
        <v>1076</v>
      </c>
      <c r="B753" s="1">
        <v>46152</v>
      </c>
      <c r="C753" t="s">
        <v>446</v>
      </c>
      <c r="D753" t="s">
        <v>50</v>
      </c>
      <c r="E753" t="s">
        <v>63</v>
      </c>
      <c r="F753">
        <v>1</v>
      </c>
      <c r="G753" s="2">
        <v>2200</v>
      </c>
      <c r="H753" s="3">
        <v>0.2</v>
      </c>
      <c r="I753" t="s">
        <v>17</v>
      </c>
      <c r="J753" t="s">
        <v>71</v>
      </c>
      <c r="K753" t="s">
        <v>25</v>
      </c>
      <c r="L753" s="2">
        <v>1760</v>
      </c>
      <c r="M753" t="s">
        <v>32</v>
      </c>
    </row>
    <row r="754" spans="1:13" x14ac:dyDescent="0.3">
      <c r="A754" t="s">
        <v>1077</v>
      </c>
      <c r="B754" s="1">
        <v>46081</v>
      </c>
      <c r="C754" t="s">
        <v>568</v>
      </c>
      <c r="D754" t="s">
        <v>50</v>
      </c>
      <c r="E754" t="s">
        <v>161</v>
      </c>
      <c r="F754">
        <v>2</v>
      </c>
      <c r="G754" s="2">
        <v>2600</v>
      </c>
      <c r="H754" s="3">
        <v>0.1</v>
      </c>
      <c r="I754" t="s">
        <v>66</v>
      </c>
      <c r="J754" t="s">
        <v>18</v>
      </c>
      <c r="K754" t="s">
        <v>41</v>
      </c>
      <c r="L754" s="2">
        <v>4680</v>
      </c>
      <c r="M754" t="s">
        <v>20</v>
      </c>
    </row>
    <row r="755" spans="1:13" x14ac:dyDescent="0.3">
      <c r="A755" t="s">
        <v>1078</v>
      </c>
      <c r="B755" s="1">
        <v>46155</v>
      </c>
      <c r="C755" t="s">
        <v>607</v>
      </c>
      <c r="D755" t="s">
        <v>15</v>
      </c>
      <c r="E755" t="s">
        <v>63</v>
      </c>
      <c r="F755">
        <v>2</v>
      </c>
      <c r="G755" s="2">
        <v>2200</v>
      </c>
      <c r="H755" s="3">
        <v>0.1</v>
      </c>
      <c r="I755" t="s">
        <v>116</v>
      </c>
      <c r="J755" t="s">
        <v>31</v>
      </c>
      <c r="K755" t="s">
        <v>55</v>
      </c>
      <c r="L755" s="2">
        <v>3960</v>
      </c>
      <c r="M755" t="s">
        <v>20</v>
      </c>
    </row>
    <row r="756" spans="1:13" x14ac:dyDescent="0.3">
      <c r="A756" t="s">
        <v>1079</v>
      </c>
      <c r="B756" s="1">
        <v>46192</v>
      </c>
      <c r="C756" t="s">
        <v>163</v>
      </c>
      <c r="D756" t="s">
        <v>77</v>
      </c>
      <c r="E756" t="s">
        <v>74</v>
      </c>
      <c r="F756">
        <v>1</v>
      </c>
      <c r="G756" s="2">
        <v>2400</v>
      </c>
      <c r="H756" s="3">
        <v>0.15</v>
      </c>
      <c r="I756" t="s">
        <v>17</v>
      </c>
      <c r="J756" t="s">
        <v>18</v>
      </c>
      <c r="K756" t="s">
        <v>25</v>
      </c>
      <c r="L756" s="2">
        <v>2040</v>
      </c>
      <c r="M756" t="s">
        <v>26</v>
      </c>
    </row>
    <row r="757" spans="1:13" x14ac:dyDescent="0.3">
      <c r="A757" t="s">
        <v>1080</v>
      </c>
      <c r="B757" s="1">
        <v>46103</v>
      </c>
      <c r="C757" t="s">
        <v>106</v>
      </c>
      <c r="D757" t="s">
        <v>77</v>
      </c>
      <c r="E757" t="s">
        <v>36</v>
      </c>
      <c r="F757">
        <v>1</v>
      </c>
      <c r="G757" s="2">
        <v>1400</v>
      </c>
      <c r="H757" s="3">
        <v>0.05</v>
      </c>
      <c r="I757" t="s">
        <v>37</v>
      </c>
      <c r="J757" t="s">
        <v>18</v>
      </c>
      <c r="K757" t="s">
        <v>41</v>
      </c>
      <c r="L757" s="2">
        <v>1330</v>
      </c>
      <c r="M757" t="s">
        <v>82</v>
      </c>
    </row>
    <row r="758" spans="1:13" x14ac:dyDescent="0.3">
      <c r="A758" t="s">
        <v>1081</v>
      </c>
      <c r="B758" s="1">
        <v>46182</v>
      </c>
      <c r="C758" t="s">
        <v>1082</v>
      </c>
      <c r="D758" t="s">
        <v>29</v>
      </c>
      <c r="E758" t="s">
        <v>183</v>
      </c>
      <c r="F758">
        <v>3</v>
      </c>
      <c r="G758" s="2">
        <v>3360</v>
      </c>
      <c r="H758" s="3">
        <v>0.2</v>
      </c>
      <c r="I758" t="s">
        <v>17</v>
      </c>
      <c r="J758" t="s">
        <v>47</v>
      </c>
      <c r="K758" t="s">
        <v>19</v>
      </c>
      <c r="L758" s="2">
        <v>8064</v>
      </c>
      <c r="M758" t="s">
        <v>20</v>
      </c>
    </row>
    <row r="759" spans="1:13" x14ac:dyDescent="0.3">
      <c r="A759" t="s">
        <v>1083</v>
      </c>
      <c r="B759" s="1">
        <v>46160</v>
      </c>
      <c r="C759" t="s">
        <v>89</v>
      </c>
      <c r="D759" t="s">
        <v>35</v>
      </c>
      <c r="E759" t="s">
        <v>161</v>
      </c>
      <c r="F759">
        <v>3</v>
      </c>
      <c r="G759" s="2">
        <v>2600</v>
      </c>
      <c r="H759" s="3">
        <v>0.2</v>
      </c>
      <c r="I759" t="s">
        <v>66</v>
      </c>
      <c r="J759" t="s">
        <v>31</v>
      </c>
      <c r="K759" t="s">
        <v>25</v>
      </c>
      <c r="L759" s="2">
        <v>6240</v>
      </c>
      <c r="M759" t="s">
        <v>82</v>
      </c>
    </row>
    <row r="760" spans="1:13" x14ac:dyDescent="0.3">
      <c r="A760" t="s">
        <v>1084</v>
      </c>
      <c r="B760" s="1">
        <v>46102</v>
      </c>
      <c r="C760" t="s">
        <v>388</v>
      </c>
      <c r="D760" t="s">
        <v>152</v>
      </c>
      <c r="E760" t="s">
        <v>36</v>
      </c>
      <c r="F760">
        <v>4</v>
      </c>
      <c r="G760" s="2">
        <v>1400</v>
      </c>
      <c r="H760" s="3">
        <v>0</v>
      </c>
      <c r="I760" t="s">
        <v>17</v>
      </c>
      <c r="J760" t="s">
        <v>47</v>
      </c>
      <c r="K760" t="s">
        <v>55</v>
      </c>
      <c r="L760" s="2">
        <v>5600</v>
      </c>
      <c r="M760" t="s">
        <v>82</v>
      </c>
    </row>
    <row r="761" spans="1:13" x14ac:dyDescent="0.3">
      <c r="A761" t="s">
        <v>1085</v>
      </c>
      <c r="B761" s="1">
        <v>46051</v>
      </c>
      <c r="C761" t="s">
        <v>669</v>
      </c>
      <c r="D761" t="s">
        <v>123</v>
      </c>
      <c r="E761" t="s">
        <v>16</v>
      </c>
      <c r="F761">
        <v>4</v>
      </c>
      <c r="G761" s="2">
        <v>650</v>
      </c>
      <c r="H761" s="3">
        <v>0.05</v>
      </c>
      <c r="I761" t="s">
        <v>17</v>
      </c>
      <c r="J761" t="s">
        <v>31</v>
      </c>
      <c r="K761" t="s">
        <v>19</v>
      </c>
      <c r="L761" s="2">
        <v>2470</v>
      </c>
      <c r="M761" t="s">
        <v>56</v>
      </c>
    </row>
    <row r="762" spans="1:13" x14ac:dyDescent="0.3">
      <c r="A762" t="s">
        <v>1086</v>
      </c>
      <c r="B762" s="1">
        <v>46099</v>
      </c>
      <c r="C762" t="s">
        <v>308</v>
      </c>
      <c r="D762" t="s">
        <v>40</v>
      </c>
      <c r="E762" t="s">
        <v>85</v>
      </c>
      <c r="F762">
        <v>1</v>
      </c>
      <c r="G762" s="2">
        <v>48500</v>
      </c>
      <c r="H762" s="3">
        <v>0.05</v>
      </c>
      <c r="I762" t="s">
        <v>116</v>
      </c>
      <c r="J762" t="s">
        <v>47</v>
      </c>
      <c r="K762" t="s">
        <v>67</v>
      </c>
      <c r="L762" s="2">
        <v>46075</v>
      </c>
      <c r="M762" t="s">
        <v>48</v>
      </c>
    </row>
    <row r="763" spans="1:13" x14ac:dyDescent="0.3">
      <c r="A763" t="s">
        <v>1087</v>
      </c>
      <c r="B763" s="1">
        <v>46195</v>
      </c>
      <c r="C763" t="s">
        <v>801</v>
      </c>
      <c r="D763" t="s">
        <v>50</v>
      </c>
      <c r="E763" t="s">
        <v>85</v>
      </c>
      <c r="F763">
        <v>2</v>
      </c>
      <c r="G763" s="2">
        <v>48500</v>
      </c>
      <c r="H763" s="3">
        <v>0.2</v>
      </c>
      <c r="I763" t="s">
        <v>17</v>
      </c>
      <c r="J763" t="s">
        <v>47</v>
      </c>
      <c r="K763" t="s">
        <v>55</v>
      </c>
      <c r="L763" s="2">
        <v>77600</v>
      </c>
      <c r="M763" t="s">
        <v>42</v>
      </c>
    </row>
    <row r="764" spans="1:13" x14ac:dyDescent="0.3">
      <c r="A764" t="s">
        <v>1088</v>
      </c>
      <c r="B764" s="1">
        <v>46060</v>
      </c>
      <c r="C764" t="s">
        <v>269</v>
      </c>
      <c r="D764" t="s">
        <v>123</v>
      </c>
      <c r="E764" t="s">
        <v>161</v>
      </c>
      <c r="F764">
        <v>4</v>
      </c>
      <c r="G764" s="2">
        <v>2730</v>
      </c>
      <c r="H764" s="3">
        <v>0</v>
      </c>
      <c r="I764" t="s">
        <v>17</v>
      </c>
      <c r="J764" t="s">
        <v>18</v>
      </c>
      <c r="K764" t="s">
        <v>41</v>
      </c>
      <c r="L764" s="2">
        <v>10920</v>
      </c>
      <c r="M764" t="s">
        <v>56</v>
      </c>
    </row>
    <row r="765" spans="1:13" x14ac:dyDescent="0.3">
      <c r="A765" t="s">
        <v>1089</v>
      </c>
      <c r="B765" s="1">
        <v>46042</v>
      </c>
      <c r="C765" t="s">
        <v>79</v>
      </c>
      <c r="D765" t="s">
        <v>35</v>
      </c>
      <c r="E765" t="s">
        <v>74</v>
      </c>
      <c r="F765">
        <v>2</v>
      </c>
      <c r="G765" s="2">
        <v>2520</v>
      </c>
      <c r="H765" s="3">
        <v>0.15</v>
      </c>
      <c r="I765" t="s">
        <v>17</v>
      </c>
      <c r="J765" t="s">
        <v>18</v>
      </c>
      <c r="K765" t="s">
        <v>55</v>
      </c>
      <c r="L765" s="2">
        <v>4284</v>
      </c>
    </row>
    <row r="766" spans="1:13" x14ac:dyDescent="0.3">
      <c r="A766" t="s">
        <v>1090</v>
      </c>
      <c r="B766" s="1">
        <v>46199</v>
      </c>
      <c r="C766" t="s">
        <v>317</v>
      </c>
      <c r="D766" t="s">
        <v>77</v>
      </c>
      <c r="E766" t="s">
        <v>46</v>
      </c>
      <c r="F766">
        <v>4</v>
      </c>
      <c r="G766" s="2">
        <v>7800</v>
      </c>
      <c r="H766" s="3">
        <v>0.1</v>
      </c>
      <c r="I766" t="s">
        <v>17</v>
      </c>
      <c r="J766" t="s">
        <v>71</v>
      </c>
      <c r="K766" t="s">
        <v>55</v>
      </c>
      <c r="L766" s="2">
        <v>28080</v>
      </c>
      <c r="M766" t="s">
        <v>56</v>
      </c>
    </row>
    <row r="767" spans="1:13" x14ac:dyDescent="0.3">
      <c r="A767" t="s">
        <v>1091</v>
      </c>
      <c r="B767" s="1">
        <v>46056</v>
      </c>
      <c r="C767" t="s">
        <v>399</v>
      </c>
      <c r="D767" t="s">
        <v>123</v>
      </c>
      <c r="E767" t="s">
        <v>51</v>
      </c>
      <c r="F767">
        <v>5</v>
      </c>
      <c r="G767" s="2">
        <v>19425</v>
      </c>
      <c r="H767" s="3">
        <v>0</v>
      </c>
      <c r="I767" t="s">
        <v>17</v>
      </c>
      <c r="J767" t="s">
        <v>31</v>
      </c>
      <c r="K767" t="s">
        <v>41</v>
      </c>
      <c r="L767" s="2">
        <v>97125</v>
      </c>
      <c r="M767" t="s">
        <v>82</v>
      </c>
    </row>
    <row r="768" spans="1:13" x14ac:dyDescent="0.3">
      <c r="A768" t="s">
        <v>1092</v>
      </c>
      <c r="B768" s="1">
        <v>46117</v>
      </c>
      <c r="C768" t="s">
        <v>39</v>
      </c>
      <c r="D768" t="s">
        <v>77</v>
      </c>
      <c r="E768" t="s">
        <v>63</v>
      </c>
      <c r="F768">
        <v>3</v>
      </c>
      <c r="G768" s="2">
        <v>2200</v>
      </c>
      <c r="H768" s="3">
        <v>0.1</v>
      </c>
      <c r="I768" t="s">
        <v>17</v>
      </c>
      <c r="J768" t="s">
        <v>31</v>
      </c>
      <c r="K768" t="s">
        <v>25</v>
      </c>
      <c r="L768" s="2">
        <v>5940</v>
      </c>
      <c r="M768" t="s">
        <v>59</v>
      </c>
    </row>
    <row r="769" spans="1:13" x14ac:dyDescent="0.3">
      <c r="A769" t="s">
        <v>1093</v>
      </c>
      <c r="B769" s="1">
        <v>46053</v>
      </c>
      <c r="C769" t="s">
        <v>475</v>
      </c>
      <c r="D769" t="s">
        <v>35</v>
      </c>
      <c r="E769" t="s">
        <v>135</v>
      </c>
      <c r="F769">
        <v>10</v>
      </c>
      <c r="G769" s="2">
        <v>15960</v>
      </c>
      <c r="H769" s="3">
        <v>0.05</v>
      </c>
      <c r="I769" t="s">
        <v>17</v>
      </c>
      <c r="J769" t="s">
        <v>71</v>
      </c>
      <c r="K769" t="s">
        <v>25</v>
      </c>
      <c r="L769" s="2">
        <v>151620</v>
      </c>
      <c r="M769" t="s">
        <v>32</v>
      </c>
    </row>
    <row r="770" spans="1:13" x14ac:dyDescent="0.3">
      <c r="A770" t="s">
        <v>1094</v>
      </c>
      <c r="B770" s="1">
        <v>46035</v>
      </c>
      <c r="C770" t="s">
        <v>120</v>
      </c>
      <c r="D770" t="s">
        <v>77</v>
      </c>
      <c r="E770" t="s">
        <v>135</v>
      </c>
      <c r="F770">
        <v>5</v>
      </c>
      <c r="G770" s="2">
        <v>17640</v>
      </c>
      <c r="H770" s="3">
        <v>0</v>
      </c>
      <c r="I770" t="s">
        <v>17</v>
      </c>
      <c r="J770" t="s">
        <v>31</v>
      </c>
      <c r="K770" t="s">
        <v>25</v>
      </c>
      <c r="L770" s="2">
        <v>88200</v>
      </c>
      <c r="M770" t="s">
        <v>138</v>
      </c>
    </row>
    <row r="771" spans="1:13" x14ac:dyDescent="0.3">
      <c r="A771" t="s">
        <v>1095</v>
      </c>
      <c r="B771" s="1">
        <v>46040</v>
      </c>
      <c r="C771" t="s">
        <v>28</v>
      </c>
      <c r="D771" t="s">
        <v>90</v>
      </c>
      <c r="E771" t="s">
        <v>16</v>
      </c>
      <c r="F771">
        <v>2</v>
      </c>
      <c r="G771" s="2">
        <v>682.5</v>
      </c>
      <c r="H771" s="3">
        <v>0.15</v>
      </c>
      <c r="I771" t="s">
        <v>17</v>
      </c>
      <c r="J771" t="s">
        <v>18</v>
      </c>
      <c r="K771" t="s">
        <v>55</v>
      </c>
      <c r="L771" s="2">
        <v>1160.25</v>
      </c>
      <c r="M771" t="s">
        <v>48</v>
      </c>
    </row>
    <row r="772" spans="1:13" x14ac:dyDescent="0.3">
      <c r="A772" t="s">
        <v>1096</v>
      </c>
      <c r="B772" s="1">
        <v>46056</v>
      </c>
      <c r="C772" t="s">
        <v>709</v>
      </c>
      <c r="D772" t="s">
        <v>29</v>
      </c>
      <c r="E772" t="s">
        <v>30</v>
      </c>
      <c r="F772">
        <v>2</v>
      </c>
      <c r="G772" s="2">
        <v>1890</v>
      </c>
      <c r="H772" s="3">
        <v>0.1</v>
      </c>
      <c r="I772" t="s">
        <v>17</v>
      </c>
      <c r="J772" t="s">
        <v>47</v>
      </c>
      <c r="K772" t="s">
        <v>19</v>
      </c>
      <c r="L772" s="2">
        <v>3402</v>
      </c>
      <c r="M772" t="s">
        <v>48</v>
      </c>
    </row>
    <row r="773" spans="1:13" x14ac:dyDescent="0.3">
      <c r="A773" t="s">
        <v>1097</v>
      </c>
      <c r="B773" s="1">
        <v>46193</v>
      </c>
      <c r="C773" t="s">
        <v>97</v>
      </c>
      <c r="D773" t="s">
        <v>40</v>
      </c>
      <c r="E773" t="s">
        <v>161</v>
      </c>
      <c r="F773">
        <v>2</v>
      </c>
      <c r="G773" s="2">
        <v>2470</v>
      </c>
      <c r="H773" s="3">
        <v>0.1</v>
      </c>
      <c r="I773" t="s">
        <v>17</v>
      </c>
      <c r="J773" t="s">
        <v>47</v>
      </c>
      <c r="K773" t="s">
        <v>19</v>
      </c>
      <c r="L773" s="2">
        <v>4446</v>
      </c>
      <c r="M773" t="s">
        <v>59</v>
      </c>
    </row>
    <row r="774" spans="1:13" x14ac:dyDescent="0.3">
      <c r="A774" t="s">
        <v>1098</v>
      </c>
      <c r="B774" s="1">
        <v>46029</v>
      </c>
      <c r="C774" t="s">
        <v>480</v>
      </c>
      <c r="D774" t="s">
        <v>40</v>
      </c>
      <c r="E774" t="s">
        <v>74</v>
      </c>
      <c r="F774">
        <v>4</v>
      </c>
      <c r="G774" s="2">
        <v>2280</v>
      </c>
      <c r="H774" s="3">
        <v>0.2</v>
      </c>
      <c r="I774" t="s">
        <v>17</v>
      </c>
      <c r="J774" t="s">
        <v>71</v>
      </c>
      <c r="K774" t="s">
        <v>25</v>
      </c>
      <c r="L774" s="2">
        <v>7296</v>
      </c>
      <c r="M774" t="s">
        <v>82</v>
      </c>
    </row>
    <row r="775" spans="1:13" x14ac:dyDescent="0.3">
      <c r="A775" t="s">
        <v>1099</v>
      </c>
      <c r="B775" s="1">
        <v>46170</v>
      </c>
      <c r="C775" t="s">
        <v>376</v>
      </c>
      <c r="D775" t="s">
        <v>29</v>
      </c>
      <c r="E775" t="s">
        <v>16</v>
      </c>
      <c r="F775">
        <v>8</v>
      </c>
      <c r="G775" s="2">
        <v>682.5</v>
      </c>
      <c r="H775" s="3">
        <v>0.15</v>
      </c>
      <c r="I775" t="s">
        <v>17</v>
      </c>
      <c r="J775" t="s">
        <v>31</v>
      </c>
      <c r="K775" t="s">
        <v>19</v>
      </c>
      <c r="L775" s="2">
        <v>4641</v>
      </c>
      <c r="M775" t="s">
        <v>82</v>
      </c>
    </row>
    <row r="776" spans="1:13" x14ac:dyDescent="0.3">
      <c r="A776" t="s">
        <v>1100</v>
      </c>
      <c r="B776" s="1">
        <v>46069</v>
      </c>
      <c r="C776" t="s">
        <v>480</v>
      </c>
      <c r="D776" t="s">
        <v>168</v>
      </c>
      <c r="E776" t="s">
        <v>135</v>
      </c>
      <c r="F776">
        <v>4</v>
      </c>
      <c r="G776" s="2">
        <v>17640</v>
      </c>
      <c r="H776" s="3">
        <v>0</v>
      </c>
      <c r="I776" t="s">
        <v>17</v>
      </c>
      <c r="J776" t="s">
        <v>47</v>
      </c>
      <c r="K776" t="s">
        <v>55</v>
      </c>
      <c r="L776" s="2">
        <v>70560</v>
      </c>
      <c r="M776" t="s">
        <v>48</v>
      </c>
    </row>
    <row r="777" spans="1:13" x14ac:dyDescent="0.3">
      <c r="A777" t="s">
        <v>1101</v>
      </c>
      <c r="B777" s="1">
        <v>46034</v>
      </c>
      <c r="C777" t="s">
        <v>258</v>
      </c>
      <c r="D777" t="s">
        <v>62</v>
      </c>
      <c r="E777" t="s">
        <v>16</v>
      </c>
      <c r="F777">
        <v>2</v>
      </c>
      <c r="G777" s="2">
        <v>650</v>
      </c>
      <c r="H777" s="3">
        <v>0</v>
      </c>
      <c r="I777" t="s">
        <v>17</v>
      </c>
      <c r="J777" t="s">
        <v>47</v>
      </c>
      <c r="K777" t="s">
        <v>19</v>
      </c>
      <c r="L777" s="2">
        <v>1300</v>
      </c>
      <c r="M777" t="s">
        <v>42</v>
      </c>
    </row>
    <row r="778" spans="1:13" x14ac:dyDescent="0.3">
      <c r="A778" t="s">
        <v>1102</v>
      </c>
      <c r="B778" s="1">
        <v>46048</v>
      </c>
      <c r="C778" t="s">
        <v>181</v>
      </c>
      <c r="D778" t="s">
        <v>152</v>
      </c>
      <c r="E778" t="s">
        <v>30</v>
      </c>
      <c r="F778">
        <v>1</v>
      </c>
      <c r="G778" s="2">
        <v>1710</v>
      </c>
      <c r="H778" s="3">
        <v>0</v>
      </c>
      <c r="I778" t="s">
        <v>17</v>
      </c>
      <c r="J778" t="s">
        <v>47</v>
      </c>
      <c r="K778" t="s">
        <v>55</v>
      </c>
      <c r="L778" s="2">
        <v>1710</v>
      </c>
      <c r="M778" t="s">
        <v>59</v>
      </c>
    </row>
    <row r="779" spans="1:13" x14ac:dyDescent="0.3">
      <c r="A779" t="s">
        <v>1103</v>
      </c>
      <c r="B779" s="1">
        <v>46038</v>
      </c>
      <c r="C779" t="s">
        <v>1074</v>
      </c>
      <c r="D779" t="s">
        <v>40</v>
      </c>
      <c r="E779" t="s">
        <v>36</v>
      </c>
      <c r="F779">
        <v>1</v>
      </c>
      <c r="G779" s="2">
        <v>1470</v>
      </c>
      <c r="H779" s="3">
        <v>0.2</v>
      </c>
      <c r="I779" t="s">
        <v>17</v>
      </c>
      <c r="J779" t="s">
        <v>47</v>
      </c>
      <c r="K779" t="s">
        <v>41</v>
      </c>
      <c r="L779" s="2">
        <v>1176</v>
      </c>
      <c r="M779" t="s">
        <v>32</v>
      </c>
    </row>
    <row r="780" spans="1:13" x14ac:dyDescent="0.3">
      <c r="A780" t="s">
        <v>1104</v>
      </c>
      <c r="B780" s="1">
        <v>46105</v>
      </c>
      <c r="C780" t="s">
        <v>127</v>
      </c>
      <c r="D780" t="s">
        <v>45</v>
      </c>
      <c r="E780" t="s">
        <v>161</v>
      </c>
      <c r="F780">
        <v>8</v>
      </c>
      <c r="G780" s="2">
        <v>2600</v>
      </c>
      <c r="H780" s="3">
        <v>0</v>
      </c>
      <c r="I780" t="s">
        <v>17</v>
      </c>
      <c r="J780" t="s">
        <v>18</v>
      </c>
      <c r="K780" t="s">
        <v>25</v>
      </c>
      <c r="L780" s="2">
        <v>20800</v>
      </c>
      <c r="M780" t="s">
        <v>82</v>
      </c>
    </row>
    <row r="781" spans="1:13" x14ac:dyDescent="0.3">
      <c r="A781" t="s">
        <v>1105</v>
      </c>
      <c r="B781" s="1">
        <v>46121</v>
      </c>
      <c r="C781" t="s">
        <v>407</v>
      </c>
      <c r="D781" t="s">
        <v>15</v>
      </c>
      <c r="E781" t="s">
        <v>135</v>
      </c>
      <c r="F781">
        <v>1</v>
      </c>
      <c r="G781" s="2">
        <v>15960</v>
      </c>
      <c r="H781" s="3">
        <v>0.1</v>
      </c>
      <c r="I781" t="s">
        <v>17</v>
      </c>
      <c r="J781" t="s">
        <v>31</v>
      </c>
      <c r="K781" t="s">
        <v>55</v>
      </c>
      <c r="L781" s="2">
        <v>14364</v>
      </c>
      <c r="M781" t="s">
        <v>52</v>
      </c>
    </row>
    <row r="782" spans="1:13" x14ac:dyDescent="0.3">
      <c r="A782" t="s">
        <v>1106</v>
      </c>
      <c r="B782" s="1">
        <v>46027</v>
      </c>
      <c r="C782" t="s">
        <v>774</v>
      </c>
      <c r="D782" t="s">
        <v>45</v>
      </c>
      <c r="E782" t="s">
        <v>51</v>
      </c>
      <c r="F782">
        <v>8</v>
      </c>
      <c r="G782" s="2">
        <v>18500</v>
      </c>
      <c r="H782" s="3">
        <v>0.2</v>
      </c>
      <c r="I782" t="s">
        <v>17</v>
      </c>
      <c r="J782" t="s">
        <v>18</v>
      </c>
      <c r="K782" t="s">
        <v>55</v>
      </c>
      <c r="L782" s="2">
        <v>118400</v>
      </c>
      <c r="M782" t="s">
        <v>42</v>
      </c>
    </row>
    <row r="783" spans="1:13" x14ac:dyDescent="0.3">
      <c r="A783" t="s">
        <v>1107</v>
      </c>
      <c r="B783" s="1">
        <v>46185</v>
      </c>
      <c r="C783" t="s">
        <v>446</v>
      </c>
      <c r="D783" t="s">
        <v>152</v>
      </c>
      <c r="E783" t="s">
        <v>24</v>
      </c>
      <c r="F783">
        <v>4</v>
      </c>
      <c r="G783" s="2">
        <v>11200</v>
      </c>
      <c r="H783" s="3">
        <v>0</v>
      </c>
      <c r="I783" t="s">
        <v>17</v>
      </c>
      <c r="J783" t="s">
        <v>18</v>
      </c>
      <c r="K783" t="s">
        <v>25</v>
      </c>
      <c r="L783" s="2">
        <v>44800</v>
      </c>
      <c r="M783" t="s">
        <v>56</v>
      </c>
    </row>
    <row r="784" spans="1:13" x14ac:dyDescent="0.3">
      <c r="A784" t="s">
        <v>1108</v>
      </c>
      <c r="B784" s="1">
        <v>46033</v>
      </c>
      <c r="C784" t="s">
        <v>73</v>
      </c>
      <c r="D784" t="s">
        <v>168</v>
      </c>
      <c r="E784" t="s">
        <v>46</v>
      </c>
      <c r="F784">
        <v>8</v>
      </c>
      <c r="G784" s="2">
        <v>7800</v>
      </c>
      <c r="H784" s="3">
        <v>0.15</v>
      </c>
      <c r="I784" t="s">
        <v>17</v>
      </c>
      <c r="J784" t="s">
        <v>31</v>
      </c>
      <c r="K784" t="s">
        <v>55</v>
      </c>
      <c r="L784" s="2">
        <v>53040</v>
      </c>
    </row>
    <row r="785" spans="1:13" x14ac:dyDescent="0.3">
      <c r="A785" t="s">
        <v>1109</v>
      </c>
      <c r="B785" s="1">
        <v>46176</v>
      </c>
      <c r="C785" t="s">
        <v>554</v>
      </c>
      <c r="D785" t="s">
        <v>45</v>
      </c>
      <c r="E785" t="s">
        <v>74</v>
      </c>
      <c r="F785">
        <v>2</v>
      </c>
      <c r="G785" s="2">
        <v>2400</v>
      </c>
      <c r="H785" s="3">
        <v>0.05</v>
      </c>
      <c r="I785" t="s">
        <v>66</v>
      </c>
      <c r="J785" t="s">
        <v>31</v>
      </c>
      <c r="K785" t="s">
        <v>41</v>
      </c>
      <c r="L785" s="2">
        <v>4560</v>
      </c>
      <c r="M785" t="s">
        <v>82</v>
      </c>
    </row>
    <row r="786" spans="1:13" x14ac:dyDescent="0.3">
      <c r="A786" t="s">
        <v>1110</v>
      </c>
      <c r="B786" s="1">
        <v>46167</v>
      </c>
      <c r="C786" t="s">
        <v>559</v>
      </c>
      <c r="D786" t="s">
        <v>15</v>
      </c>
      <c r="E786" t="s">
        <v>135</v>
      </c>
      <c r="F786">
        <v>1</v>
      </c>
      <c r="G786" s="2">
        <v>16800</v>
      </c>
      <c r="H786" s="3">
        <v>0.2</v>
      </c>
      <c r="I786" t="s">
        <v>17</v>
      </c>
      <c r="J786" t="s">
        <v>18</v>
      </c>
      <c r="K786" t="s">
        <v>41</v>
      </c>
      <c r="L786" s="2">
        <v>13440</v>
      </c>
      <c r="M786" t="s">
        <v>48</v>
      </c>
    </row>
    <row r="787" spans="1:13" x14ac:dyDescent="0.3">
      <c r="A787" t="s">
        <v>1111</v>
      </c>
      <c r="B787" s="1">
        <v>46152</v>
      </c>
      <c r="C787" t="s">
        <v>209</v>
      </c>
      <c r="D787" t="s">
        <v>29</v>
      </c>
      <c r="E787" t="s">
        <v>36</v>
      </c>
      <c r="F787">
        <v>5</v>
      </c>
      <c r="G787" s="2">
        <v>1470</v>
      </c>
      <c r="H787" s="3">
        <v>0.05</v>
      </c>
      <c r="I787" t="s">
        <v>17</v>
      </c>
      <c r="J787" t="s">
        <v>71</v>
      </c>
      <c r="K787" t="s">
        <v>67</v>
      </c>
      <c r="L787" s="2">
        <v>6982.5</v>
      </c>
      <c r="M787" t="s">
        <v>138</v>
      </c>
    </row>
    <row r="788" spans="1:13" x14ac:dyDescent="0.3">
      <c r="A788" t="s">
        <v>1112</v>
      </c>
      <c r="B788" s="1">
        <v>46076</v>
      </c>
      <c r="C788" t="s">
        <v>771</v>
      </c>
      <c r="D788" t="s">
        <v>62</v>
      </c>
      <c r="E788" t="s">
        <v>183</v>
      </c>
      <c r="F788">
        <v>2</v>
      </c>
      <c r="G788" s="2">
        <v>3040</v>
      </c>
      <c r="H788" s="3">
        <v>0.2</v>
      </c>
      <c r="I788" t="s">
        <v>17</v>
      </c>
      <c r="J788" t="s">
        <v>372</v>
      </c>
      <c r="K788" t="s">
        <v>19</v>
      </c>
      <c r="L788" s="2">
        <v>4864</v>
      </c>
      <c r="M788" t="s">
        <v>59</v>
      </c>
    </row>
    <row r="789" spans="1:13" x14ac:dyDescent="0.3">
      <c r="A789" t="s">
        <v>1113</v>
      </c>
      <c r="B789" s="1">
        <v>46128</v>
      </c>
      <c r="C789" t="s">
        <v>568</v>
      </c>
      <c r="D789" t="s">
        <v>152</v>
      </c>
      <c r="E789" t="s">
        <v>85</v>
      </c>
      <c r="F789">
        <v>3</v>
      </c>
      <c r="G789" s="2">
        <v>46075</v>
      </c>
      <c r="H789" s="3">
        <v>0.1</v>
      </c>
      <c r="I789" t="s">
        <v>17</v>
      </c>
      <c r="J789" t="s">
        <v>18</v>
      </c>
      <c r="K789" t="s">
        <v>19</v>
      </c>
      <c r="L789" s="2">
        <v>124402.5</v>
      </c>
      <c r="M789" t="s">
        <v>138</v>
      </c>
    </row>
    <row r="790" spans="1:13" x14ac:dyDescent="0.3">
      <c r="A790" t="s">
        <v>1114</v>
      </c>
      <c r="B790" s="1">
        <v>46119</v>
      </c>
      <c r="C790" t="s">
        <v>669</v>
      </c>
      <c r="D790" t="s">
        <v>90</v>
      </c>
      <c r="E790" t="s">
        <v>183</v>
      </c>
      <c r="F790">
        <v>2</v>
      </c>
      <c r="G790" s="2">
        <v>3040</v>
      </c>
      <c r="H790" s="3">
        <v>0</v>
      </c>
      <c r="I790" t="s">
        <v>66</v>
      </c>
      <c r="J790" t="s">
        <v>18</v>
      </c>
      <c r="K790" t="s">
        <v>67</v>
      </c>
      <c r="L790" s="2">
        <v>6080</v>
      </c>
      <c r="M790" t="s">
        <v>52</v>
      </c>
    </row>
    <row r="791" spans="1:13" x14ac:dyDescent="0.3">
      <c r="A791" t="s">
        <v>1115</v>
      </c>
      <c r="B791" s="1">
        <v>46136</v>
      </c>
      <c r="C791" t="s">
        <v>801</v>
      </c>
      <c r="D791" t="s">
        <v>168</v>
      </c>
      <c r="E791" t="s">
        <v>24</v>
      </c>
      <c r="F791">
        <v>4</v>
      </c>
      <c r="G791" s="2">
        <v>11200</v>
      </c>
      <c r="H791" s="3">
        <v>0.05</v>
      </c>
      <c r="I791" t="s">
        <v>17</v>
      </c>
      <c r="J791" t="s">
        <v>31</v>
      </c>
      <c r="K791" t="s">
        <v>25</v>
      </c>
      <c r="L791" s="2">
        <v>42560</v>
      </c>
      <c r="M791" t="s">
        <v>26</v>
      </c>
    </row>
    <row r="792" spans="1:13" x14ac:dyDescent="0.3">
      <c r="A792" t="s">
        <v>1116</v>
      </c>
      <c r="B792" s="1">
        <v>46079</v>
      </c>
      <c r="C792" t="s">
        <v>296</v>
      </c>
      <c r="D792" t="s">
        <v>23</v>
      </c>
      <c r="E792" t="s">
        <v>46</v>
      </c>
      <c r="F792">
        <v>8</v>
      </c>
      <c r="G792" s="2">
        <v>7800</v>
      </c>
      <c r="H792" s="3">
        <v>0</v>
      </c>
      <c r="I792" t="s">
        <v>17</v>
      </c>
      <c r="J792" t="s">
        <v>71</v>
      </c>
      <c r="K792" t="s">
        <v>55</v>
      </c>
      <c r="L792" s="2">
        <v>62400</v>
      </c>
      <c r="M792" t="s">
        <v>42</v>
      </c>
    </row>
    <row r="793" spans="1:13" x14ac:dyDescent="0.3">
      <c r="A793" t="s">
        <v>1117</v>
      </c>
      <c r="B793" s="1">
        <v>46094</v>
      </c>
      <c r="C793" t="s">
        <v>690</v>
      </c>
      <c r="D793" t="s">
        <v>40</v>
      </c>
      <c r="E793" t="s">
        <v>51</v>
      </c>
      <c r="F793">
        <v>2</v>
      </c>
      <c r="G793" s="2">
        <v>18500</v>
      </c>
      <c r="H793" s="3">
        <v>0.15</v>
      </c>
      <c r="I793" t="s">
        <v>17</v>
      </c>
      <c r="J793" t="s">
        <v>71</v>
      </c>
      <c r="K793" t="s">
        <v>19</v>
      </c>
      <c r="L793" s="2">
        <v>31450</v>
      </c>
      <c r="M793" t="s">
        <v>59</v>
      </c>
    </row>
    <row r="794" spans="1:13" x14ac:dyDescent="0.3">
      <c r="A794" t="s">
        <v>1118</v>
      </c>
      <c r="B794" s="1">
        <v>46089</v>
      </c>
      <c r="C794" t="s">
        <v>801</v>
      </c>
      <c r="D794" t="s">
        <v>77</v>
      </c>
      <c r="E794" t="s">
        <v>183</v>
      </c>
      <c r="F794">
        <v>5</v>
      </c>
      <c r="G794" s="2">
        <v>3200</v>
      </c>
      <c r="H794" s="3">
        <v>0.15</v>
      </c>
      <c r="I794" t="s">
        <v>17</v>
      </c>
      <c r="J794" t="s">
        <v>31</v>
      </c>
      <c r="K794" t="s">
        <v>25</v>
      </c>
      <c r="L794" s="2">
        <v>13600</v>
      </c>
      <c r="M794" t="s">
        <v>48</v>
      </c>
    </row>
    <row r="795" spans="1:13" x14ac:dyDescent="0.3">
      <c r="A795" t="s">
        <v>1119</v>
      </c>
      <c r="B795" s="1">
        <v>46087</v>
      </c>
      <c r="C795" t="s">
        <v>271</v>
      </c>
      <c r="D795" t="s">
        <v>95</v>
      </c>
      <c r="E795" t="s">
        <v>51</v>
      </c>
      <c r="F795">
        <v>5</v>
      </c>
      <c r="G795" s="2">
        <v>17575</v>
      </c>
      <c r="H795" s="3">
        <v>0</v>
      </c>
      <c r="I795" t="s">
        <v>80</v>
      </c>
      <c r="J795" t="s">
        <v>18</v>
      </c>
      <c r="K795" t="s">
        <v>55</v>
      </c>
      <c r="L795" s="2">
        <v>87875</v>
      </c>
      <c r="M795" t="s">
        <v>26</v>
      </c>
    </row>
    <row r="796" spans="1:13" x14ac:dyDescent="0.3">
      <c r="A796" t="s">
        <v>1120</v>
      </c>
      <c r="B796" s="1">
        <v>46054</v>
      </c>
      <c r="C796" t="s">
        <v>338</v>
      </c>
      <c r="D796" t="s">
        <v>95</v>
      </c>
      <c r="E796" t="s">
        <v>51</v>
      </c>
      <c r="F796">
        <v>2</v>
      </c>
      <c r="G796" s="2">
        <v>17575</v>
      </c>
      <c r="H796" s="3">
        <v>0.05</v>
      </c>
      <c r="I796" t="s">
        <v>17</v>
      </c>
      <c r="J796" t="s">
        <v>31</v>
      </c>
      <c r="K796" t="s">
        <v>67</v>
      </c>
      <c r="L796" s="2">
        <v>33392.5</v>
      </c>
      <c r="M796" t="s">
        <v>32</v>
      </c>
    </row>
    <row r="797" spans="1:13" x14ac:dyDescent="0.3">
      <c r="A797" t="s">
        <v>1121</v>
      </c>
      <c r="B797" s="1">
        <v>46159</v>
      </c>
      <c r="C797" t="s">
        <v>594</v>
      </c>
      <c r="D797" t="s">
        <v>62</v>
      </c>
      <c r="E797" t="s">
        <v>36</v>
      </c>
      <c r="F797">
        <v>1</v>
      </c>
      <c r="G797" s="2">
        <v>1330</v>
      </c>
      <c r="H797" s="3">
        <v>0</v>
      </c>
      <c r="I797" t="s">
        <v>17</v>
      </c>
      <c r="J797" t="s">
        <v>18</v>
      </c>
      <c r="K797" t="s">
        <v>19</v>
      </c>
      <c r="L797" s="2">
        <v>1330</v>
      </c>
      <c r="M797" t="s">
        <v>52</v>
      </c>
    </row>
    <row r="798" spans="1:13" x14ac:dyDescent="0.3">
      <c r="A798" t="s">
        <v>1122</v>
      </c>
      <c r="B798" s="1">
        <v>46073</v>
      </c>
      <c r="C798" t="s">
        <v>457</v>
      </c>
      <c r="D798" t="s">
        <v>50</v>
      </c>
      <c r="E798" t="s">
        <v>36</v>
      </c>
      <c r="F798">
        <v>2</v>
      </c>
      <c r="G798" s="2">
        <v>1330</v>
      </c>
      <c r="H798" s="3">
        <v>0.2</v>
      </c>
      <c r="I798" t="s">
        <v>17</v>
      </c>
      <c r="J798" t="s">
        <v>18</v>
      </c>
      <c r="K798" t="s">
        <v>19</v>
      </c>
      <c r="L798" s="2">
        <v>2128</v>
      </c>
      <c r="M798" t="s">
        <v>48</v>
      </c>
    </row>
    <row r="799" spans="1:13" x14ac:dyDescent="0.3">
      <c r="A799" t="s">
        <v>1123</v>
      </c>
      <c r="B799" s="1">
        <v>46183</v>
      </c>
      <c r="C799" t="s">
        <v>227</v>
      </c>
      <c r="D799" t="s">
        <v>77</v>
      </c>
      <c r="E799" t="s">
        <v>36</v>
      </c>
      <c r="F799">
        <v>4</v>
      </c>
      <c r="G799" s="2">
        <v>1400</v>
      </c>
      <c r="H799" s="3">
        <v>0</v>
      </c>
      <c r="I799" t="s">
        <v>17</v>
      </c>
      <c r="J799" t="s">
        <v>31</v>
      </c>
      <c r="K799" t="s">
        <v>67</v>
      </c>
      <c r="L799" s="2">
        <v>5600</v>
      </c>
      <c r="M799" t="s">
        <v>82</v>
      </c>
    </row>
    <row r="800" spans="1:13" x14ac:dyDescent="0.3">
      <c r="A800" t="s">
        <v>1124</v>
      </c>
      <c r="B800" s="1">
        <v>46083</v>
      </c>
      <c r="C800" t="s">
        <v>480</v>
      </c>
      <c r="D800" t="s">
        <v>15</v>
      </c>
      <c r="E800" t="s">
        <v>183</v>
      </c>
      <c r="F800">
        <v>3</v>
      </c>
      <c r="G800" s="2">
        <v>3040</v>
      </c>
      <c r="H800" s="3">
        <v>0</v>
      </c>
      <c r="I800" t="s">
        <v>17</v>
      </c>
      <c r="J800" t="s">
        <v>31</v>
      </c>
      <c r="K800" t="s">
        <v>19</v>
      </c>
      <c r="L800" s="2">
        <v>9120</v>
      </c>
      <c r="M800" t="s">
        <v>32</v>
      </c>
    </row>
    <row r="801" spans="1:13" x14ac:dyDescent="0.3">
      <c r="A801" t="s">
        <v>1125</v>
      </c>
      <c r="B801" s="1">
        <v>46103</v>
      </c>
      <c r="C801" t="s">
        <v>720</v>
      </c>
      <c r="D801" t="s">
        <v>77</v>
      </c>
      <c r="E801" t="s">
        <v>85</v>
      </c>
      <c r="F801">
        <v>1</v>
      </c>
      <c r="G801" s="2">
        <v>50925</v>
      </c>
      <c r="H801" s="3">
        <v>0</v>
      </c>
      <c r="I801" t="s">
        <v>17</v>
      </c>
      <c r="J801" t="s">
        <v>47</v>
      </c>
      <c r="K801" t="s">
        <v>25</v>
      </c>
      <c r="L801" s="2">
        <v>50925</v>
      </c>
      <c r="M801" t="s">
        <v>32</v>
      </c>
    </row>
    <row r="802" spans="1:13" x14ac:dyDescent="0.3">
      <c r="A802" t="s">
        <v>1126</v>
      </c>
      <c r="B802" s="1">
        <v>46039</v>
      </c>
      <c r="C802" t="s">
        <v>289</v>
      </c>
      <c r="D802" t="s">
        <v>15</v>
      </c>
      <c r="E802" t="s">
        <v>74</v>
      </c>
      <c r="F802">
        <v>1</v>
      </c>
      <c r="G802" s="2">
        <v>2520</v>
      </c>
      <c r="H802" s="3">
        <v>0</v>
      </c>
      <c r="I802" t="s">
        <v>17</v>
      </c>
      <c r="J802" t="s">
        <v>31</v>
      </c>
      <c r="K802" t="s">
        <v>25</v>
      </c>
      <c r="L802" s="2">
        <v>2520</v>
      </c>
      <c r="M802" t="s">
        <v>32</v>
      </c>
    </row>
    <row r="803" spans="1:13" x14ac:dyDescent="0.3">
      <c r="A803" t="s">
        <v>1127</v>
      </c>
      <c r="B803" s="1">
        <v>46082</v>
      </c>
      <c r="C803" t="s">
        <v>442</v>
      </c>
      <c r="D803" t="s">
        <v>90</v>
      </c>
      <c r="E803" t="s">
        <v>183</v>
      </c>
      <c r="F803">
        <v>4</v>
      </c>
      <c r="G803" s="2">
        <v>3360</v>
      </c>
      <c r="H803" s="3">
        <v>0.15</v>
      </c>
      <c r="I803" t="s">
        <v>17</v>
      </c>
      <c r="J803" t="s">
        <v>18</v>
      </c>
      <c r="K803" t="s">
        <v>25</v>
      </c>
      <c r="L803" s="2">
        <v>11424</v>
      </c>
      <c r="M803" t="s">
        <v>48</v>
      </c>
    </row>
    <row r="804" spans="1:13" x14ac:dyDescent="0.3">
      <c r="A804" t="s">
        <v>1128</v>
      </c>
      <c r="B804" s="1">
        <v>46048</v>
      </c>
      <c r="C804" t="s">
        <v>801</v>
      </c>
      <c r="D804" t="s">
        <v>35</v>
      </c>
      <c r="E804" t="s">
        <v>74</v>
      </c>
      <c r="F804">
        <v>8</v>
      </c>
      <c r="G804" s="2">
        <v>2400</v>
      </c>
      <c r="H804" s="3">
        <v>0</v>
      </c>
      <c r="I804" t="s">
        <v>17</v>
      </c>
      <c r="J804" t="s">
        <v>31</v>
      </c>
      <c r="K804" t="s">
        <v>19</v>
      </c>
      <c r="L804" s="2">
        <v>19200</v>
      </c>
      <c r="M804" t="s">
        <v>20</v>
      </c>
    </row>
    <row r="805" spans="1:13" x14ac:dyDescent="0.3">
      <c r="A805" t="s">
        <v>1129</v>
      </c>
      <c r="B805" s="1">
        <v>46175</v>
      </c>
      <c r="C805" t="s">
        <v>463</v>
      </c>
      <c r="D805" t="s">
        <v>123</v>
      </c>
      <c r="E805" t="s">
        <v>63</v>
      </c>
      <c r="F805">
        <v>3</v>
      </c>
      <c r="G805" s="2">
        <v>2200</v>
      </c>
      <c r="H805" s="3">
        <v>0</v>
      </c>
      <c r="I805" t="s">
        <v>80</v>
      </c>
      <c r="J805" t="s">
        <v>47</v>
      </c>
      <c r="K805" t="s">
        <v>55</v>
      </c>
      <c r="L805" s="2">
        <v>6600</v>
      </c>
      <c r="M805" t="s">
        <v>56</v>
      </c>
    </row>
    <row r="806" spans="1:13" x14ac:dyDescent="0.3">
      <c r="A806" t="s">
        <v>1130</v>
      </c>
      <c r="B806" s="1">
        <v>46181</v>
      </c>
      <c r="C806" t="s">
        <v>134</v>
      </c>
      <c r="D806" t="s">
        <v>62</v>
      </c>
      <c r="E806" t="s">
        <v>30</v>
      </c>
      <c r="F806">
        <v>1</v>
      </c>
      <c r="G806" s="2">
        <v>1800</v>
      </c>
      <c r="H806" s="3">
        <v>0</v>
      </c>
      <c r="I806" t="s">
        <v>17</v>
      </c>
      <c r="J806" t="s">
        <v>47</v>
      </c>
      <c r="K806" t="s">
        <v>67</v>
      </c>
      <c r="L806" s="2">
        <v>1800</v>
      </c>
      <c r="M806" t="s">
        <v>48</v>
      </c>
    </row>
    <row r="807" spans="1:13" x14ac:dyDescent="0.3">
      <c r="A807" t="s">
        <v>1131</v>
      </c>
      <c r="B807" s="1">
        <v>46161</v>
      </c>
      <c r="C807" t="s">
        <v>619</v>
      </c>
      <c r="D807" t="s">
        <v>29</v>
      </c>
      <c r="E807" t="s">
        <v>30</v>
      </c>
      <c r="F807">
        <v>1</v>
      </c>
      <c r="G807" s="2">
        <v>1800</v>
      </c>
      <c r="H807" s="3">
        <v>0.05</v>
      </c>
      <c r="I807" t="s">
        <v>17</v>
      </c>
      <c r="J807" t="s">
        <v>31</v>
      </c>
      <c r="K807" t="s">
        <v>25</v>
      </c>
      <c r="L807" s="2">
        <v>1710</v>
      </c>
      <c r="M807" t="s">
        <v>48</v>
      </c>
    </row>
    <row r="808" spans="1:13" x14ac:dyDescent="0.3">
      <c r="A808" t="s">
        <v>1132</v>
      </c>
      <c r="B808" s="1">
        <v>46191</v>
      </c>
      <c r="C808" t="s">
        <v>61</v>
      </c>
      <c r="D808" t="s">
        <v>95</v>
      </c>
      <c r="E808" t="s">
        <v>30</v>
      </c>
      <c r="F808">
        <v>1</v>
      </c>
      <c r="G808" s="2">
        <v>1710</v>
      </c>
      <c r="H808" s="3">
        <v>0.15</v>
      </c>
      <c r="I808" t="s">
        <v>37</v>
      </c>
      <c r="J808" t="s">
        <v>47</v>
      </c>
      <c r="K808" t="s">
        <v>41</v>
      </c>
      <c r="L808" s="2">
        <v>1453.5</v>
      </c>
      <c r="M808" t="s">
        <v>52</v>
      </c>
    </row>
    <row r="809" spans="1:13" x14ac:dyDescent="0.3">
      <c r="A809" t="s">
        <v>1133</v>
      </c>
      <c r="B809" s="1">
        <v>46186</v>
      </c>
      <c r="C809" t="s">
        <v>798</v>
      </c>
      <c r="D809" t="s">
        <v>77</v>
      </c>
      <c r="E809" t="s">
        <v>24</v>
      </c>
      <c r="F809">
        <v>4</v>
      </c>
      <c r="G809" s="2">
        <v>11760</v>
      </c>
      <c r="H809" s="3">
        <v>0.05</v>
      </c>
      <c r="I809" t="s">
        <v>17</v>
      </c>
      <c r="J809" t="s">
        <v>47</v>
      </c>
      <c r="K809" t="s">
        <v>25</v>
      </c>
      <c r="L809" s="2">
        <v>44688</v>
      </c>
      <c r="M809" t="s">
        <v>48</v>
      </c>
    </row>
    <row r="810" spans="1:13" x14ac:dyDescent="0.3">
      <c r="A810" t="s">
        <v>1134</v>
      </c>
      <c r="B810" s="1">
        <v>46108</v>
      </c>
      <c r="C810" t="s">
        <v>232</v>
      </c>
      <c r="D810" t="s">
        <v>40</v>
      </c>
      <c r="E810" t="s">
        <v>135</v>
      </c>
      <c r="F810">
        <v>2</v>
      </c>
      <c r="G810" s="2">
        <v>15960</v>
      </c>
      <c r="H810" s="3">
        <v>0</v>
      </c>
      <c r="I810" t="s">
        <v>17</v>
      </c>
      <c r="J810" t="s">
        <v>71</v>
      </c>
      <c r="K810" t="s">
        <v>19</v>
      </c>
      <c r="L810" s="2">
        <v>31920</v>
      </c>
      <c r="M810" t="s">
        <v>52</v>
      </c>
    </row>
    <row r="811" spans="1:13" x14ac:dyDescent="0.3">
      <c r="A811" t="s">
        <v>1135</v>
      </c>
      <c r="B811" s="1">
        <v>46200</v>
      </c>
      <c r="C811" t="s">
        <v>596</v>
      </c>
      <c r="D811" t="s">
        <v>23</v>
      </c>
      <c r="E811" t="s">
        <v>46</v>
      </c>
      <c r="F811">
        <v>3</v>
      </c>
      <c r="G811" s="2">
        <v>7800</v>
      </c>
      <c r="H811" s="3">
        <v>0</v>
      </c>
      <c r="I811" t="s">
        <v>17</v>
      </c>
      <c r="J811" t="s">
        <v>71</v>
      </c>
      <c r="K811" t="s">
        <v>55</v>
      </c>
      <c r="L811" s="2">
        <v>23400</v>
      </c>
      <c r="M811" t="s">
        <v>59</v>
      </c>
    </row>
    <row r="812" spans="1:13" x14ac:dyDescent="0.3">
      <c r="A812" t="s">
        <v>1136</v>
      </c>
      <c r="B812" s="1">
        <v>46024</v>
      </c>
      <c r="C812" t="s">
        <v>39</v>
      </c>
      <c r="D812" t="s">
        <v>35</v>
      </c>
      <c r="E812" t="s">
        <v>16</v>
      </c>
      <c r="F812">
        <v>1</v>
      </c>
      <c r="G812" s="2">
        <v>650</v>
      </c>
      <c r="H812" s="3">
        <v>0</v>
      </c>
      <c r="I812" t="s">
        <v>17</v>
      </c>
      <c r="J812" t="s">
        <v>18</v>
      </c>
      <c r="K812" t="s">
        <v>41</v>
      </c>
      <c r="L812" s="2">
        <v>650</v>
      </c>
      <c r="M812" t="s">
        <v>48</v>
      </c>
    </row>
    <row r="813" spans="1:13" x14ac:dyDescent="0.3">
      <c r="A813" t="s">
        <v>1137</v>
      </c>
      <c r="B813" s="1">
        <v>46115</v>
      </c>
      <c r="C813" t="s">
        <v>298</v>
      </c>
      <c r="E813" t="s">
        <v>16</v>
      </c>
      <c r="F813">
        <v>1</v>
      </c>
      <c r="G813" s="2">
        <v>650</v>
      </c>
      <c r="H813" s="3">
        <v>0.05</v>
      </c>
      <c r="I813" t="s">
        <v>17</v>
      </c>
      <c r="J813" t="s">
        <v>47</v>
      </c>
      <c r="K813" t="s">
        <v>25</v>
      </c>
      <c r="L813" s="2">
        <v>617.5</v>
      </c>
      <c r="M813" t="s">
        <v>52</v>
      </c>
    </row>
    <row r="814" spans="1:13" x14ac:dyDescent="0.3">
      <c r="A814" t="s">
        <v>1138</v>
      </c>
      <c r="B814" s="1">
        <v>46068</v>
      </c>
      <c r="C814" t="s">
        <v>363</v>
      </c>
      <c r="D814" t="s">
        <v>23</v>
      </c>
      <c r="E814" t="s">
        <v>16</v>
      </c>
      <c r="F814">
        <v>1</v>
      </c>
      <c r="G814" s="2">
        <v>617.5</v>
      </c>
      <c r="H814" s="3">
        <v>0.05</v>
      </c>
      <c r="I814" t="s">
        <v>80</v>
      </c>
      <c r="J814" t="s">
        <v>18</v>
      </c>
      <c r="K814" t="s">
        <v>19</v>
      </c>
      <c r="L814" s="2">
        <v>586.62</v>
      </c>
      <c r="M814" t="s">
        <v>138</v>
      </c>
    </row>
    <row r="815" spans="1:13" x14ac:dyDescent="0.3">
      <c r="A815" t="s">
        <v>1139</v>
      </c>
      <c r="B815" s="1">
        <v>46076</v>
      </c>
      <c r="C815" t="s">
        <v>690</v>
      </c>
      <c r="D815" t="s">
        <v>45</v>
      </c>
      <c r="E815" t="s">
        <v>46</v>
      </c>
      <c r="F815">
        <v>1</v>
      </c>
      <c r="G815" s="2">
        <v>8190</v>
      </c>
      <c r="H815" s="3">
        <v>0.05</v>
      </c>
      <c r="I815" t="s">
        <v>17</v>
      </c>
      <c r="J815" t="s">
        <v>31</v>
      </c>
      <c r="K815" t="s">
        <v>41</v>
      </c>
      <c r="L815" s="2">
        <v>7780.5</v>
      </c>
      <c r="M815" t="s">
        <v>59</v>
      </c>
    </row>
    <row r="816" spans="1:13" x14ac:dyDescent="0.3">
      <c r="A816" t="s">
        <v>1140</v>
      </c>
      <c r="B816" s="1">
        <v>46071</v>
      </c>
      <c r="C816" t="s">
        <v>446</v>
      </c>
      <c r="D816" t="s">
        <v>23</v>
      </c>
      <c r="E816" t="s">
        <v>51</v>
      </c>
      <c r="F816">
        <v>2</v>
      </c>
      <c r="G816" s="2">
        <v>19425</v>
      </c>
      <c r="H816" s="3">
        <v>0.05</v>
      </c>
      <c r="I816" t="s">
        <v>17</v>
      </c>
      <c r="J816" t="s">
        <v>31</v>
      </c>
      <c r="K816" t="s">
        <v>25</v>
      </c>
      <c r="L816" s="2">
        <v>36907.5</v>
      </c>
      <c r="M816" t="s">
        <v>48</v>
      </c>
    </row>
    <row r="817" spans="1:13" x14ac:dyDescent="0.3">
      <c r="A817" t="s">
        <v>1141</v>
      </c>
      <c r="B817" s="1">
        <v>46071</v>
      </c>
      <c r="C817" t="s">
        <v>559</v>
      </c>
      <c r="D817" t="s">
        <v>90</v>
      </c>
      <c r="E817" t="s">
        <v>51</v>
      </c>
      <c r="F817">
        <v>1</v>
      </c>
      <c r="G817" s="2">
        <v>17575</v>
      </c>
      <c r="H817" s="3">
        <v>0</v>
      </c>
      <c r="I817" t="s">
        <v>752</v>
      </c>
      <c r="J817" t="s">
        <v>372</v>
      </c>
      <c r="K817" t="s">
        <v>25</v>
      </c>
      <c r="L817" s="2">
        <v>17575</v>
      </c>
      <c r="M817" t="s">
        <v>48</v>
      </c>
    </row>
    <row r="818" spans="1:13" x14ac:dyDescent="0.3">
      <c r="A818" t="s">
        <v>1142</v>
      </c>
      <c r="B818" s="1">
        <v>46148</v>
      </c>
      <c r="C818" t="s">
        <v>501</v>
      </c>
      <c r="D818" t="s">
        <v>23</v>
      </c>
      <c r="E818" t="s">
        <v>85</v>
      </c>
      <c r="F818">
        <v>1</v>
      </c>
      <c r="G818" s="2">
        <v>46075</v>
      </c>
      <c r="H818" s="3">
        <v>0.1</v>
      </c>
      <c r="I818" t="s">
        <v>17</v>
      </c>
      <c r="J818" t="s">
        <v>18</v>
      </c>
      <c r="K818" t="s">
        <v>25</v>
      </c>
      <c r="L818" s="2">
        <v>41467.5</v>
      </c>
      <c r="M818" t="s">
        <v>138</v>
      </c>
    </row>
    <row r="819" spans="1:13" x14ac:dyDescent="0.3">
      <c r="A819" t="s">
        <v>1143</v>
      </c>
      <c r="B819" s="1">
        <v>46150</v>
      </c>
      <c r="C819" t="s">
        <v>232</v>
      </c>
      <c r="D819" t="s">
        <v>152</v>
      </c>
      <c r="E819" t="s">
        <v>46</v>
      </c>
      <c r="F819">
        <v>1</v>
      </c>
      <c r="G819" s="2">
        <v>8190</v>
      </c>
      <c r="H819" s="3">
        <v>0.2</v>
      </c>
      <c r="I819" t="s">
        <v>17</v>
      </c>
      <c r="J819" t="s">
        <v>18</v>
      </c>
      <c r="K819" t="s">
        <v>67</v>
      </c>
      <c r="L819" s="2">
        <v>6552</v>
      </c>
      <c r="M819" t="s">
        <v>48</v>
      </c>
    </row>
    <row r="820" spans="1:13" x14ac:dyDescent="0.3">
      <c r="A820" t="s">
        <v>1144</v>
      </c>
      <c r="B820" s="1">
        <v>46125</v>
      </c>
      <c r="C820" t="s">
        <v>84</v>
      </c>
      <c r="D820" t="s">
        <v>95</v>
      </c>
      <c r="E820" t="s">
        <v>183</v>
      </c>
      <c r="F820">
        <v>3</v>
      </c>
      <c r="G820" s="2">
        <v>3200</v>
      </c>
      <c r="H820" s="3">
        <v>0</v>
      </c>
      <c r="I820" t="s">
        <v>752</v>
      </c>
      <c r="J820" t="s">
        <v>71</v>
      </c>
      <c r="K820" t="s">
        <v>55</v>
      </c>
      <c r="L820" s="2">
        <v>9600</v>
      </c>
      <c r="M820" t="s">
        <v>52</v>
      </c>
    </row>
    <row r="821" spans="1:13" x14ac:dyDescent="0.3">
      <c r="A821" t="s">
        <v>1145</v>
      </c>
      <c r="B821" s="1">
        <v>46101</v>
      </c>
      <c r="C821" t="s">
        <v>421</v>
      </c>
      <c r="D821" t="s">
        <v>70</v>
      </c>
      <c r="E821" t="s">
        <v>161</v>
      </c>
      <c r="F821">
        <v>3</v>
      </c>
      <c r="G821" s="2">
        <v>2470</v>
      </c>
      <c r="H821" s="3">
        <v>0.05</v>
      </c>
      <c r="I821" t="s">
        <v>17</v>
      </c>
      <c r="J821" t="s">
        <v>31</v>
      </c>
      <c r="K821" t="s">
        <v>67</v>
      </c>
      <c r="L821" s="2">
        <v>7039.5</v>
      </c>
      <c r="M821" t="s">
        <v>56</v>
      </c>
    </row>
    <row r="822" spans="1:13" x14ac:dyDescent="0.3">
      <c r="A822" t="s">
        <v>1146</v>
      </c>
      <c r="B822" s="1">
        <v>46155</v>
      </c>
      <c r="C822" t="s">
        <v>1147</v>
      </c>
      <c r="D822" t="s">
        <v>35</v>
      </c>
      <c r="E822" t="s">
        <v>24</v>
      </c>
      <c r="F822">
        <v>3</v>
      </c>
      <c r="G822" s="2">
        <v>11200</v>
      </c>
      <c r="H822" s="3"/>
      <c r="I822" t="s">
        <v>17</v>
      </c>
      <c r="J822" t="s">
        <v>18</v>
      </c>
      <c r="K822" t="s">
        <v>55</v>
      </c>
      <c r="L822" s="2">
        <v>30240</v>
      </c>
      <c r="M822" t="s">
        <v>32</v>
      </c>
    </row>
    <row r="823" spans="1:13" x14ac:dyDescent="0.3">
      <c r="A823" t="s">
        <v>1148</v>
      </c>
      <c r="B823" s="1">
        <v>46127</v>
      </c>
      <c r="C823" t="s">
        <v>448</v>
      </c>
      <c r="D823" t="s">
        <v>35</v>
      </c>
      <c r="E823" t="s">
        <v>46</v>
      </c>
      <c r="F823">
        <v>2</v>
      </c>
      <c r="G823" s="2">
        <v>8190</v>
      </c>
      <c r="H823" s="3">
        <v>0.1</v>
      </c>
      <c r="I823" t="s">
        <v>17</v>
      </c>
      <c r="J823" t="s">
        <v>47</v>
      </c>
      <c r="K823" t="s">
        <v>19</v>
      </c>
      <c r="L823" s="2">
        <v>14742</v>
      </c>
      <c r="M823" t="s">
        <v>138</v>
      </c>
    </row>
    <row r="824" spans="1:13" x14ac:dyDescent="0.3">
      <c r="A824" t="s">
        <v>1149</v>
      </c>
      <c r="B824" s="1">
        <v>46044</v>
      </c>
      <c r="C824" t="s">
        <v>237</v>
      </c>
      <c r="D824" t="s">
        <v>45</v>
      </c>
      <c r="E824" t="s">
        <v>51</v>
      </c>
      <c r="F824">
        <v>2</v>
      </c>
      <c r="G824" s="2">
        <v>18500</v>
      </c>
      <c r="H824" s="3">
        <v>0.2</v>
      </c>
      <c r="I824" t="s">
        <v>17</v>
      </c>
      <c r="J824" t="s">
        <v>31</v>
      </c>
      <c r="K824" t="s">
        <v>19</v>
      </c>
      <c r="L824" s="2">
        <v>29600</v>
      </c>
      <c r="M824" t="s">
        <v>42</v>
      </c>
    </row>
    <row r="825" spans="1:13" x14ac:dyDescent="0.3">
      <c r="A825" t="s">
        <v>1150</v>
      </c>
      <c r="B825" s="1">
        <v>46115</v>
      </c>
      <c r="C825" t="s">
        <v>142</v>
      </c>
      <c r="D825" t="s">
        <v>168</v>
      </c>
      <c r="E825" t="s">
        <v>51</v>
      </c>
      <c r="F825">
        <v>1</v>
      </c>
      <c r="G825" s="2">
        <v>18500</v>
      </c>
      <c r="H825" s="3">
        <v>0</v>
      </c>
      <c r="I825" t="s">
        <v>17</v>
      </c>
      <c r="J825" t="s">
        <v>47</v>
      </c>
      <c r="K825" t="s">
        <v>41</v>
      </c>
      <c r="L825" s="2">
        <v>18500</v>
      </c>
      <c r="M825" t="s">
        <v>48</v>
      </c>
    </row>
    <row r="826" spans="1:13" x14ac:dyDescent="0.3">
      <c r="A826" t="s">
        <v>1151</v>
      </c>
      <c r="B826" s="1">
        <v>46058</v>
      </c>
      <c r="C826" t="s">
        <v>554</v>
      </c>
      <c r="D826" t="s">
        <v>90</v>
      </c>
      <c r="E826" t="s">
        <v>85</v>
      </c>
      <c r="F826">
        <v>4</v>
      </c>
      <c r="G826" s="2">
        <v>48500</v>
      </c>
      <c r="H826" s="3">
        <v>0.05</v>
      </c>
      <c r="I826" t="s">
        <v>17</v>
      </c>
      <c r="J826" t="s">
        <v>47</v>
      </c>
      <c r="K826" t="s">
        <v>55</v>
      </c>
      <c r="L826" s="2">
        <v>184300</v>
      </c>
      <c r="M826" t="s">
        <v>32</v>
      </c>
    </row>
    <row r="827" spans="1:13" x14ac:dyDescent="0.3">
      <c r="A827" t="s">
        <v>1152</v>
      </c>
      <c r="B827" s="1">
        <v>46171</v>
      </c>
      <c r="C827" t="s">
        <v>300</v>
      </c>
      <c r="D827" t="s">
        <v>29</v>
      </c>
      <c r="E827" t="s">
        <v>74</v>
      </c>
      <c r="F827">
        <v>1</v>
      </c>
      <c r="G827" s="2">
        <v>2400</v>
      </c>
      <c r="H827" s="3">
        <v>0.2</v>
      </c>
      <c r="I827" t="s">
        <v>17</v>
      </c>
      <c r="J827" t="s">
        <v>71</v>
      </c>
      <c r="K827" t="s">
        <v>41</v>
      </c>
      <c r="L827" s="2">
        <v>1920</v>
      </c>
      <c r="M827" t="s">
        <v>52</v>
      </c>
    </row>
    <row r="828" spans="1:13" x14ac:dyDescent="0.3">
      <c r="A828" t="s">
        <v>1153</v>
      </c>
      <c r="B828" s="1">
        <v>46144</v>
      </c>
      <c r="C828" t="s">
        <v>227</v>
      </c>
      <c r="D828" t="s">
        <v>23</v>
      </c>
      <c r="E828" t="s">
        <v>51</v>
      </c>
      <c r="F828">
        <v>3</v>
      </c>
      <c r="G828" s="2">
        <v>19425</v>
      </c>
      <c r="H828" s="3">
        <v>0.15</v>
      </c>
      <c r="I828" t="s">
        <v>17</v>
      </c>
      <c r="J828" t="s">
        <v>31</v>
      </c>
      <c r="K828" t="s">
        <v>67</v>
      </c>
      <c r="L828" s="2">
        <v>49533.75</v>
      </c>
      <c r="M828" t="s">
        <v>52</v>
      </c>
    </row>
    <row r="829" spans="1:13" x14ac:dyDescent="0.3">
      <c r="A829" t="s">
        <v>1154</v>
      </c>
      <c r="B829" s="1">
        <v>46132</v>
      </c>
      <c r="C829" t="s">
        <v>438</v>
      </c>
      <c r="D829" t="s">
        <v>29</v>
      </c>
      <c r="E829" t="s">
        <v>85</v>
      </c>
      <c r="F829">
        <v>2</v>
      </c>
      <c r="G829" s="2">
        <v>46075</v>
      </c>
      <c r="H829" s="3">
        <v>0.1</v>
      </c>
      <c r="I829" t="s">
        <v>17</v>
      </c>
      <c r="J829" t="s">
        <v>71</v>
      </c>
      <c r="K829" t="s">
        <v>25</v>
      </c>
      <c r="L829" s="2">
        <v>82935</v>
      </c>
      <c r="M829" t="s">
        <v>59</v>
      </c>
    </row>
    <row r="830" spans="1:13" x14ac:dyDescent="0.3">
      <c r="A830" t="s">
        <v>1155</v>
      </c>
      <c r="B830" s="1">
        <v>46101</v>
      </c>
      <c r="C830" t="s">
        <v>594</v>
      </c>
      <c r="D830" t="s">
        <v>123</v>
      </c>
      <c r="E830" t="s">
        <v>16</v>
      </c>
      <c r="F830">
        <v>2</v>
      </c>
      <c r="G830" s="2">
        <v>650</v>
      </c>
      <c r="H830" s="3">
        <v>0.2</v>
      </c>
      <c r="I830" t="s">
        <v>66</v>
      </c>
      <c r="J830" t="s">
        <v>372</v>
      </c>
      <c r="K830" t="s">
        <v>55</v>
      </c>
      <c r="L830" s="2">
        <v>1040</v>
      </c>
      <c r="M830" t="s">
        <v>32</v>
      </c>
    </row>
    <row r="831" spans="1:13" x14ac:dyDescent="0.3">
      <c r="A831" t="s">
        <v>1156</v>
      </c>
      <c r="B831" s="1">
        <v>46199</v>
      </c>
      <c r="C831" t="s">
        <v>340</v>
      </c>
      <c r="D831" t="s">
        <v>152</v>
      </c>
      <c r="E831" t="s">
        <v>135</v>
      </c>
      <c r="F831">
        <v>2</v>
      </c>
      <c r="G831" s="2">
        <v>15960</v>
      </c>
      <c r="H831" s="3">
        <v>0</v>
      </c>
      <c r="I831" t="s">
        <v>17</v>
      </c>
      <c r="J831" t="s">
        <v>71</v>
      </c>
      <c r="K831" t="s">
        <v>67</v>
      </c>
      <c r="L831" s="2">
        <v>31920</v>
      </c>
      <c r="M831" t="s">
        <v>48</v>
      </c>
    </row>
    <row r="832" spans="1:13" x14ac:dyDescent="0.3">
      <c r="A832" t="s">
        <v>1157</v>
      </c>
      <c r="B832" s="1">
        <v>46184</v>
      </c>
      <c r="C832" t="s">
        <v>403</v>
      </c>
      <c r="D832" t="s">
        <v>29</v>
      </c>
      <c r="E832" t="s">
        <v>183</v>
      </c>
      <c r="F832">
        <v>5</v>
      </c>
      <c r="G832" s="2">
        <v>3360</v>
      </c>
      <c r="H832" s="3">
        <v>0.15</v>
      </c>
      <c r="I832" t="s">
        <v>66</v>
      </c>
      <c r="J832" t="s">
        <v>18</v>
      </c>
      <c r="K832" t="s">
        <v>19</v>
      </c>
      <c r="L832" s="2">
        <v>14280</v>
      </c>
      <c r="M832" t="s">
        <v>82</v>
      </c>
    </row>
    <row r="833" spans="1:13" x14ac:dyDescent="0.3">
      <c r="A833" t="s">
        <v>1158</v>
      </c>
      <c r="B833" s="1">
        <v>46121</v>
      </c>
      <c r="C833" t="s">
        <v>146</v>
      </c>
      <c r="D833" t="s">
        <v>23</v>
      </c>
      <c r="E833" t="s">
        <v>46</v>
      </c>
      <c r="F833">
        <v>1</v>
      </c>
      <c r="G833" s="2">
        <v>7800</v>
      </c>
      <c r="H833" s="3">
        <v>0.15</v>
      </c>
      <c r="I833" t="s">
        <v>116</v>
      </c>
      <c r="J833" t="s">
        <v>71</v>
      </c>
      <c r="K833" t="s">
        <v>19</v>
      </c>
      <c r="L833" s="2">
        <v>6630</v>
      </c>
      <c r="M833" t="s">
        <v>82</v>
      </c>
    </row>
    <row r="834" spans="1:13" x14ac:dyDescent="0.3">
      <c r="A834" t="s">
        <v>1159</v>
      </c>
      <c r="B834" s="1">
        <v>46068</v>
      </c>
      <c r="C834" t="s">
        <v>592</v>
      </c>
      <c r="D834" t="s">
        <v>168</v>
      </c>
      <c r="E834" t="s">
        <v>85</v>
      </c>
      <c r="F834">
        <v>3</v>
      </c>
      <c r="G834" s="2">
        <v>46075</v>
      </c>
      <c r="H834" s="3">
        <v>0</v>
      </c>
      <c r="I834" t="s">
        <v>17</v>
      </c>
      <c r="J834" t="s">
        <v>47</v>
      </c>
      <c r="K834" t="s">
        <v>41</v>
      </c>
      <c r="L834" s="2">
        <v>138225</v>
      </c>
      <c r="M834" t="s">
        <v>52</v>
      </c>
    </row>
    <row r="835" spans="1:13" x14ac:dyDescent="0.3">
      <c r="A835" t="s">
        <v>1160</v>
      </c>
      <c r="B835" s="1">
        <v>46097</v>
      </c>
      <c r="C835" t="s">
        <v>241</v>
      </c>
      <c r="D835" t="s">
        <v>95</v>
      </c>
      <c r="E835" t="s">
        <v>51</v>
      </c>
      <c r="F835">
        <v>1</v>
      </c>
      <c r="G835" s="2">
        <v>17575</v>
      </c>
      <c r="H835" s="3">
        <v>0</v>
      </c>
      <c r="I835" t="s">
        <v>17</v>
      </c>
      <c r="J835" t="s">
        <v>47</v>
      </c>
      <c r="K835" t="s">
        <v>55</v>
      </c>
      <c r="L835" s="2">
        <v>17575</v>
      </c>
      <c r="M835" t="s">
        <v>32</v>
      </c>
    </row>
    <row r="836" spans="1:13" x14ac:dyDescent="0.3">
      <c r="A836" t="s">
        <v>1161</v>
      </c>
      <c r="B836" s="1">
        <v>46063</v>
      </c>
      <c r="C836" t="s">
        <v>623</v>
      </c>
      <c r="D836" t="s">
        <v>15</v>
      </c>
      <c r="E836" t="s">
        <v>30</v>
      </c>
      <c r="F836">
        <v>2</v>
      </c>
      <c r="G836" s="2">
        <v>1890</v>
      </c>
      <c r="H836" s="3">
        <v>0.1</v>
      </c>
      <c r="I836" t="s">
        <v>17</v>
      </c>
      <c r="J836" t="s">
        <v>71</v>
      </c>
      <c r="K836" t="s">
        <v>41</v>
      </c>
      <c r="L836" s="2">
        <v>3402</v>
      </c>
      <c r="M836" t="s">
        <v>26</v>
      </c>
    </row>
    <row r="837" spans="1:13" x14ac:dyDescent="0.3">
      <c r="A837" t="s">
        <v>1162</v>
      </c>
      <c r="B837" s="1">
        <v>46133</v>
      </c>
      <c r="C837" t="s">
        <v>724</v>
      </c>
      <c r="D837" t="s">
        <v>90</v>
      </c>
      <c r="E837" t="s">
        <v>85</v>
      </c>
      <c r="F837">
        <v>3</v>
      </c>
      <c r="G837" s="2">
        <v>48500</v>
      </c>
      <c r="H837" s="3">
        <v>0</v>
      </c>
      <c r="I837" t="s">
        <v>17</v>
      </c>
      <c r="J837" t="s">
        <v>18</v>
      </c>
      <c r="K837" t="s">
        <v>67</v>
      </c>
      <c r="L837" s="2">
        <v>145500</v>
      </c>
      <c r="M837" t="s">
        <v>52</v>
      </c>
    </row>
    <row r="838" spans="1:13" x14ac:dyDescent="0.3">
      <c r="A838" t="s">
        <v>1163</v>
      </c>
      <c r="B838" s="1">
        <v>46024</v>
      </c>
      <c r="C838" t="s">
        <v>215</v>
      </c>
      <c r="D838" t="s">
        <v>50</v>
      </c>
      <c r="E838" t="s">
        <v>46</v>
      </c>
      <c r="F838">
        <v>1</v>
      </c>
      <c r="G838" s="2">
        <v>7800</v>
      </c>
      <c r="H838" s="3">
        <v>0.1</v>
      </c>
      <c r="I838" t="s">
        <v>17</v>
      </c>
      <c r="J838" t="s">
        <v>18</v>
      </c>
      <c r="K838" t="s">
        <v>55</v>
      </c>
      <c r="L838" s="2">
        <v>7020</v>
      </c>
      <c r="M838" t="s">
        <v>56</v>
      </c>
    </row>
    <row r="839" spans="1:13" x14ac:dyDescent="0.3">
      <c r="A839" t="s">
        <v>1164</v>
      </c>
      <c r="B839" s="1">
        <v>46170</v>
      </c>
      <c r="C839" t="s">
        <v>367</v>
      </c>
      <c r="D839" t="s">
        <v>168</v>
      </c>
      <c r="E839" t="s">
        <v>85</v>
      </c>
      <c r="F839">
        <v>1</v>
      </c>
      <c r="G839" s="2">
        <v>50925</v>
      </c>
      <c r="H839" s="3">
        <v>0.2</v>
      </c>
      <c r="I839" t="s">
        <v>66</v>
      </c>
      <c r="J839" t="s">
        <v>47</v>
      </c>
      <c r="K839" t="s">
        <v>55</v>
      </c>
      <c r="L839" s="2">
        <v>40740</v>
      </c>
      <c r="M839" t="s">
        <v>48</v>
      </c>
    </row>
    <row r="840" spans="1:13" x14ac:dyDescent="0.3">
      <c r="A840" t="s">
        <v>1165</v>
      </c>
      <c r="B840" s="1">
        <v>46067</v>
      </c>
      <c r="C840" t="s">
        <v>230</v>
      </c>
      <c r="D840" t="s">
        <v>70</v>
      </c>
      <c r="E840" t="s">
        <v>24</v>
      </c>
      <c r="F840">
        <v>1</v>
      </c>
      <c r="G840" s="2">
        <v>11760</v>
      </c>
      <c r="H840" s="3">
        <v>0.15</v>
      </c>
      <c r="I840" t="s">
        <v>17</v>
      </c>
      <c r="J840" t="s">
        <v>71</v>
      </c>
      <c r="K840" t="s">
        <v>25</v>
      </c>
      <c r="L840" s="2">
        <v>9996</v>
      </c>
      <c r="M840" t="s">
        <v>42</v>
      </c>
    </row>
    <row r="841" spans="1:13" x14ac:dyDescent="0.3">
      <c r="A841" t="s">
        <v>1166</v>
      </c>
      <c r="B841" s="1">
        <v>46123</v>
      </c>
      <c r="C841" t="s">
        <v>745</v>
      </c>
      <c r="D841" t="s">
        <v>123</v>
      </c>
      <c r="E841" t="s">
        <v>16</v>
      </c>
      <c r="F841">
        <v>1</v>
      </c>
      <c r="G841" s="2">
        <v>650</v>
      </c>
      <c r="H841" s="3">
        <v>0</v>
      </c>
      <c r="I841" t="s">
        <v>17</v>
      </c>
      <c r="J841" t="s">
        <v>71</v>
      </c>
      <c r="K841" t="s">
        <v>55</v>
      </c>
      <c r="L841" s="2">
        <v>650</v>
      </c>
      <c r="M841" t="s">
        <v>32</v>
      </c>
    </row>
    <row r="842" spans="1:13" x14ac:dyDescent="0.3">
      <c r="A842" t="s">
        <v>1167</v>
      </c>
      <c r="B842" s="1">
        <v>46164</v>
      </c>
      <c r="C842" t="s">
        <v>140</v>
      </c>
      <c r="D842" t="s">
        <v>15</v>
      </c>
      <c r="E842" t="s">
        <v>36</v>
      </c>
      <c r="F842">
        <v>1</v>
      </c>
      <c r="G842" s="2">
        <v>1400</v>
      </c>
      <c r="H842" s="3">
        <v>0</v>
      </c>
      <c r="I842" t="s">
        <v>17</v>
      </c>
      <c r="J842" t="s">
        <v>18</v>
      </c>
      <c r="K842" t="s">
        <v>41</v>
      </c>
      <c r="L842" s="2">
        <v>1400</v>
      </c>
      <c r="M842" t="s">
        <v>26</v>
      </c>
    </row>
    <row r="843" spans="1:13" x14ac:dyDescent="0.3">
      <c r="A843" t="s">
        <v>1168</v>
      </c>
      <c r="B843" s="1">
        <v>46076</v>
      </c>
      <c r="C843" t="s">
        <v>258</v>
      </c>
      <c r="D843" t="s">
        <v>152</v>
      </c>
      <c r="E843" t="s">
        <v>16</v>
      </c>
      <c r="F843">
        <v>2</v>
      </c>
      <c r="G843" s="2">
        <v>682.5</v>
      </c>
      <c r="H843" s="3">
        <v>0</v>
      </c>
      <c r="I843" t="s">
        <v>17</v>
      </c>
      <c r="J843" t="s">
        <v>47</v>
      </c>
      <c r="K843" t="s">
        <v>55</v>
      </c>
      <c r="L843" s="2">
        <v>1365</v>
      </c>
      <c r="M843" t="s">
        <v>52</v>
      </c>
    </row>
    <row r="844" spans="1:13" x14ac:dyDescent="0.3">
      <c r="A844" t="s">
        <v>1169</v>
      </c>
      <c r="B844" s="1">
        <v>46124</v>
      </c>
      <c r="C844" t="s">
        <v>442</v>
      </c>
      <c r="D844" t="s">
        <v>168</v>
      </c>
      <c r="E844" t="s">
        <v>16</v>
      </c>
      <c r="F844">
        <v>1</v>
      </c>
      <c r="G844" s="2">
        <v>650</v>
      </c>
      <c r="H844" s="3">
        <v>0.2</v>
      </c>
      <c r="I844" t="s">
        <v>80</v>
      </c>
      <c r="J844" t="s">
        <v>18</v>
      </c>
      <c r="K844" t="s">
        <v>55</v>
      </c>
      <c r="L844" s="2">
        <v>520</v>
      </c>
      <c r="M844" t="s">
        <v>42</v>
      </c>
    </row>
    <row r="845" spans="1:13" x14ac:dyDescent="0.3">
      <c r="A845" t="s">
        <v>1170</v>
      </c>
      <c r="B845" s="1">
        <v>46044</v>
      </c>
      <c r="C845" t="s">
        <v>735</v>
      </c>
      <c r="D845" t="s">
        <v>152</v>
      </c>
      <c r="E845" t="s">
        <v>74</v>
      </c>
      <c r="F845">
        <v>1</v>
      </c>
      <c r="G845" s="2">
        <v>2400</v>
      </c>
      <c r="H845" s="3">
        <v>0.1</v>
      </c>
      <c r="I845" t="s">
        <v>17</v>
      </c>
      <c r="J845" t="s">
        <v>71</v>
      </c>
      <c r="K845" t="s">
        <v>19</v>
      </c>
      <c r="L845" s="2">
        <v>2160</v>
      </c>
      <c r="M845" t="s">
        <v>48</v>
      </c>
    </row>
    <row r="846" spans="1:13" x14ac:dyDescent="0.3">
      <c r="A846" t="s">
        <v>1171</v>
      </c>
      <c r="B846" s="1">
        <v>46048</v>
      </c>
      <c r="C846" t="s">
        <v>186</v>
      </c>
      <c r="D846" t="s">
        <v>50</v>
      </c>
      <c r="E846" t="s">
        <v>135</v>
      </c>
      <c r="F846">
        <v>1</v>
      </c>
      <c r="G846" s="2">
        <v>15960</v>
      </c>
      <c r="H846" s="3">
        <v>0.2</v>
      </c>
      <c r="I846" t="s">
        <v>17</v>
      </c>
      <c r="J846" t="s">
        <v>47</v>
      </c>
      <c r="K846" t="s">
        <v>41</v>
      </c>
      <c r="L846" s="2">
        <v>12768</v>
      </c>
      <c r="M846" t="s">
        <v>56</v>
      </c>
    </row>
    <row r="847" spans="1:13" x14ac:dyDescent="0.3">
      <c r="A847" t="s">
        <v>1172</v>
      </c>
      <c r="B847" s="1">
        <v>46114</v>
      </c>
      <c r="C847" t="s">
        <v>452</v>
      </c>
      <c r="D847" t="s">
        <v>50</v>
      </c>
      <c r="E847" t="s">
        <v>24</v>
      </c>
      <c r="F847">
        <v>3</v>
      </c>
      <c r="G847" s="2">
        <v>11760</v>
      </c>
      <c r="H847" s="3">
        <v>0.2</v>
      </c>
      <c r="I847" t="s">
        <v>17</v>
      </c>
      <c r="J847" t="s">
        <v>31</v>
      </c>
      <c r="K847" t="s">
        <v>55</v>
      </c>
      <c r="L847" s="2">
        <v>28224</v>
      </c>
      <c r="M847" t="s">
        <v>26</v>
      </c>
    </row>
    <row r="848" spans="1:13" x14ac:dyDescent="0.3">
      <c r="A848" t="s">
        <v>1173</v>
      </c>
      <c r="B848" s="1">
        <v>46136</v>
      </c>
      <c r="C848" t="s">
        <v>438</v>
      </c>
      <c r="D848" t="s">
        <v>168</v>
      </c>
      <c r="E848" t="s">
        <v>183</v>
      </c>
      <c r="F848">
        <v>1</v>
      </c>
      <c r="G848" s="2">
        <v>3200</v>
      </c>
      <c r="H848" s="3">
        <v>0.1</v>
      </c>
      <c r="I848" t="s">
        <v>17</v>
      </c>
      <c r="J848" t="s">
        <v>71</v>
      </c>
      <c r="K848" t="s">
        <v>41</v>
      </c>
      <c r="L848" s="2">
        <v>2880</v>
      </c>
      <c r="M848" t="s">
        <v>42</v>
      </c>
    </row>
    <row r="849" spans="1:13" x14ac:dyDescent="0.3">
      <c r="A849" t="s">
        <v>1174</v>
      </c>
      <c r="B849" s="1">
        <v>46027</v>
      </c>
      <c r="C849" t="s">
        <v>22</v>
      </c>
      <c r="D849" t="s">
        <v>70</v>
      </c>
      <c r="E849" t="s">
        <v>16</v>
      </c>
      <c r="F849">
        <v>10</v>
      </c>
      <c r="G849" s="2">
        <v>617.5</v>
      </c>
      <c r="H849" s="3">
        <v>0.05</v>
      </c>
      <c r="I849" t="s">
        <v>17</v>
      </c>
      <c r="J849" t="s">
        <v>31</v>
      </c>
      <c r="K849" t="s">
        <v>41</v>
      </c>
      <c r="L849" s="2">
        <v>5866.25</v>
      </c>
      <c r="M849" t="s">
        <v>59</v>
      </c>
    </row>
    <row r="850" spans="1:13" x14ac:dyDescent="0.3">
      <c r="A850" t="s">
        <v>1175</v>
      </c>
      <c r="B850" s="1">
        <v>46034</v>
      </c>
      <c r="C850" t="s">
        <v>204</v>
      </c>
      <c r="D850" t="s">
        <v>70</v>
      </c>
      <c r="E850" t="s">
        <v>51</v>
      </c>
      <c r="F850">
        <v>1</v>
      </c>
      <c r="G850" s="2">
        <v>18500</v>
      </c>
      <c r="H850" s="3">
        <v>0.05</v>
      </c>
      <c r="I850" t="s">
        <v>17</v>
      </c>
      <c r="J850" t="s">
        <v>18</v>
      </c>
      <c r="K850" t="s">
        <v>55</v>
      </c>
      <c r="L850" s="2">
        <v>17575</v>
      </c>
      <c r="M850" t="s">
        <v>42</v>
      </c>
    </row>
    <row r="851" spans="1:13" x14ac:dyDescent="0.3">
      <c r="A851" t="s">
        <v>1176</v>
      </c>
      <c r="B851" s="1">
        <v>46082</v>
      </c>
      <c r="C851" t="s">
        <v>1177</v>
      </c>
      <c r="D851" t="s">
        <v>23</v>
      </c>
      <c r="E851" t="s">
        <v>63</v>
      </c>
      <c r="F851">
        <v>2</v>
      </c>
      <c r="G851" s="2">
        <v>2200</v>
      </c>
      <c r="H851" s="3">
        <v>0</v>
      </c>
      <c r="I851" t="s">
        <v>17</v>
      </c>
      <c r="J851" t="s">
        <v>18</v>
      </c>
      <c r="K851" t="s">
        <v>41</v>
      </c>
      <c r="L851" s="2">
        <v>4400</v>
      </c>
      <c r="M851" t="s">
        <v>56</v>
      </c>
    </row>
    <row r="852" spans="1:13" x14ac:dyDescent="0.3">
      <c r="A852" t="s">
        <v>1178</v>
      </c>
      <c r="B852" s="1">
        <v>46079</v>
      </c>
      <c r="C852" t="s">
        <v>745</v>
      </c>
      <c r="D852" t="s">
        <v>15</v>
      </c>
      <c r="E852" t="s">
        <v>74</v>
      </c>
      <c r="F852">
        <v>4</v>
      </c>
      <c r="G852" s="2">
        <v>2280</v>
      </c>
      <c r="H852" s="3">
        <v>0.2</v>
      </c>
      <c r="I852" t="s">
        <v>17</v>
      </c>
      <c r="J852" t="s">
        <v>71</v>
      </c>
      <c r="K852" t="s">
        <v>55</v>
      </c>
      <c r="L852" s="2">
        <v>7296</v>
      </c>
      <c r="M852" t="s">
        <v>26</v>
      </c>
    </row>
    <row r="853" spans="1:13" x14ac:dyDescent="0.3">
      <c r="A853" t="s">
        <v>1179</v>
      </c>
      <c r="B853" s="1">
        <v>46176</v>
      </c>
      <c r="C853" t="s">
        <v>405</v>
      </c>
      <c r="D853" t="s">
        <v>62</v>
      </c>
      <c r="E853" t="s">
        <v>63</v>
      </c>
      <c r="F853">
        <v>3</v>
      </c>
      <c r="G853" s="2">
        <v>2090</v>
      </c>
      <c r="H853" s="3">
        <v>0.15</v>
      </c>
      <c r="I853" t="s">
        <v>17</v>
      </c>
      <c r="J853" t="s">
        <v>18</v>
      </c>
      <c r="K853" t="s">
        <v>41</v>
      </c>
      <c r="L853" s="2">
        <v>5329.5</v>
      </c>
      <c r="M853" t="s">
        <v>138</v>
      </c>
    </row>
    <row r="854" spans="1:13" x14ac:dyDescent="0.3">
      <c r="A854" t="s">
        <v>1180</v>
      </c>
      <c r="B854" s="1">
        <v>46067</v>
      </c>
      <c r="C854" t="s">
        <v>576</v>
      </c>
      <c r="D854" t="s">
        <v>95</v>
      </c>
      <c r="E854" t="s">
        <v>85</v>
      </c>
      <c r="F854">
        <v>2</v>
      </c>
      <c r="G854" s="2">
        <v>48500</v>
      </c>
      <c r="H854" s="3">
        <v>0.2</v>
      </c>
      <c r="I854" t="s">
        <v>17</v>
      </c>
      <c r="J854" t="s">
        <v>18</v>
      </c>
      <c r="K854" t="s">
        <v>55</v>
      </c>
      <c r="L854" s="2">
        <v>77600</v>
      </c>
      <c r="M854" t="s">
        <v>82</v>
      </c>
    </row>
    <row r="855" spans="1:13" x14ac:dyDescent="0.3">
      <c r="A855" t="s">
        <v>1181</v>
      </c>
      <c r="B855" s="1">
        <v>46186</v>
      </c>
      <c r="C855" t="s">
        <v>613</v>
      </c>
      <c r="D855" t="s">
        <v>123</v>
      </c>
      <c r="E855" t="s">
        <v>24</v>
      </c>
      <c r="F855">
        <v>2</v>
      </c>
      <c r="G855" s="2">
        <v>11200</v>
      </c>
      <c r="H855" s="3">
        <v>0.2</v>
      </c>
      <c r="I855" t="s">
        <v>116</v>
      </c>
      <c r="J855" t="s">
        <v>31</v>
      </c>
      <c r="K855" t="s">
        <v>67</v>
      </c>
      <c r="L855" s="2">
        <v>17920</v>
      </c>
      <c r="M855" t="s">
        <v>52</v>
      </c>
    </row>
    <row r="856" spans="1:13" x14ac:dyDescent="0.3">
      <c r="A856" t="s">
        <v>1182</v>
      </c>
      <c r="B856" s="1">
        <v>46132</v>
      </c>
      <c r="D856" t="s">
        <v>29</v>
      </c>
      <c r="E856" t="s">
        <v>24</v>
      </c>
      <c r="F856">
        <v>3</v>
      </c>
      <c r="G856" s="2">
        <v>11760</v>
      </c>
      <c r="H856" s="3">
        <v>0</v>
      </c>
      <c r="I856" t="s">
        <v>17</v>
      </c>
      <c r="J856" t="s">
        <v>71</v>
      </c>
      <c r="K856" t="s">
        <v>41</v>
      </c>
      <c r="L856" s="2">
        <v>35280</v>
      </c>
      <c r="M856" t="s">
        <v>32</v>
      </c>
    </row>
    <row r="857" spans="1:13" x14ac:dyDescent="0.3">
      <c r="A857" t="s">
        <v>1183</v>
      </c>
      <c r="B857" s="1">
        <v>46075</v>
      </c>
      <c r="C857" t="s">
        <v>215</v>
      </c>
      <c r="D857" t="s">
        <v>95</v>
      </c>
      <c r="E857" t="s">
        <v>16</v>
      </c>
      <c r="F857">
        <v>1</v>
      </c>
      <c r="G857" s="2">
        <v>682.5</v>
      </c>
      <c r="H857" s="3">
        <v>0.2</v>
      </c>
      <c r="I857" t="s">
        <v>17</v>
      </c>
      <c r="J857" t="s">
        <v>71</v>
      </c>
      <c r="K857" t="s">
        <v>67</v>
      </c>
      <c r="L857" s="2">
        <v>546</v>
      </c>
      <c r="M857" t="s">
        <v>138</v>
      </c>
    </row>
    <row r="858" spans="1:13" x14ac:dyDescent="0.3">
      <c r="A858" t="s">
        <v>1184</v>
      </c>
      <c r="B858" s="1">
        <v>46187</v>
      </c>
      <c r="C858" t="s">
        <v>922</v>
      </c>
      <c r="D858" t="s">
        <v>29</v>
      </c>
      <c r="E858" t="s">
        <v>16</v>
      </c>
      <c r="F858">
        <v>2</v>
      </c>
      <c r="G858" s="2">
        <v>650</v>
      </c>
      <c r="H858" s="3">
        <v>0.1</v>
      </c>
      <c r="I858" t="s">
        <v>17</v>
      </c>
      <c r="J858" t="s">
        <v>71</v>
      </c>
      <c r="K858" t="s">
        <v>67</v>
      </c>
      <c r="L858" s="2">
        <v>1170</v>
      </c>
      <c r="M858" t="s">
        <v>138</v>
      </c>
    </row>
    <row r="859" spans="1:13" x14ac:dyDescent="0.3">
      <c r="A859" t="s">
        <v>1185</v>
      </c>
      <c r="B859" s="1">
        <v>46085</v>
      </c>
      <c r="C859" t="s">
        <v>258</v>
      </c>
      <c r="D859" t="s">
        <v>23</v>
      </c>
      <c r="E859" t="s">
        <v>51</v>
      </c>
      <c r="F859">
        <v>1</v>
      </c>
      <c r="G859" s="2">
        <v>18500</v>
      </c>
      <c r="H859" s="3">
        <v>0.2</v>
      </c>
      <c r="I859" t="s">
        <v>116</v>
      </c>
      <c r="J859" t="s">
        <v>47</v>
      </c>
      <c r="K859" t="s">
        <v>41</v>
      </c>
      <c r="L859" s="2">
        <v>14800</v>
      </c>
      <c r="M859" t="s">
        <v>56</v>
      </c>
    </row>
    <row r="860" spans="1:13" x14ac:dyDescent="0.3">
      <c r="A860" t="s">
        <v>1186</v>
      </c>
      <c r="B860" s="1">
        <v>46184</v>
      </c>
      <c r="C860" t="s">
        <v>1187</v>
      </c>
      <c r="D860" t="s">
        <v>168</v>
      </c>
      <c r="E860" t="s">
        <v>63</v>
      </c>
      <c r="F860">
        <v>5</v>
      </c>
      <c r="G860" s="2">
        <v>2090</v>
      </c>
      <c r="H860" s="3">
        <v>0</v>
      </c>
      <c r="I860" t="s">
        <v>80</v>
      </c>
      <c r="J860" t="s">
        <v>71</v>
      </c>
      <c r="K860" t="s">
        <v>41</v>
      </c>
      <c r="L860" s="2">
        <v>10450</v>
      </c>
      <c r="M860" t="s">
        <v>42</v>
      </c>
    </row>
    <row r="861" spans="1:13" x14ac:dyDescent="0.3">
      <c r="A861" t="s">
        <v>1188</v>
      </c>
      <c r="B861" s="1">
        <v>46067</v>
      </c>
      <c r="C861" t="s">
        <v>1147</v>
      </c>
      <c r="D861" t="s">
        <v>40</v>
      </c>
      <c r="E861" t="s">
        <v>51</v>
      </c>
      <c r="F861">
        <v>4</v>
      </c>
      <c r="G861" s="2">
        <v>17575</v>
      </c>
      <c r="H861" s="3">
        <v>0</v>
      </c>
      <c r="I861" t="s">
        <v>17</v>
      </c>
      <c r="J861" t="s">
        <v>18</v>
      </c>
      <c r="K861" t="s">
        <v>67</v>
      </c>
      <c r="L861" s="2">
        <v>70300</v>
      </c>
      <c r="M861" t="s">
        <v>59</v>
      </c>
    </row>
    <row r="862" spans="1:13" x14ac:dyDescent="0.3">
      <c r="A862" t="s">
        <v>1189</v>
      </c>
      <c r="B862" s="1">
        <v>46073</v>
      </c>
      <c r="C862" t="s">
        <v>724</v>
      </c>
      <c r="D862" t="s">
        <v>23</v>
      </c>
      <c r="E862" t="s">
        <v>161</v>
      </c>
      <c r="F862">
        <v>1</v>
      </c>
      <c r="G862" s="2">
        <v>2730</v>
      </c>
      <c r="H862" s="3">
        <v>0</v>
      </c>
      <c r="I862" t="s">
        <v>17</v>
      </c>
      <c r="J862" t="s">
        <v>47</v>
      </c>
      <c r="K862" t="s">
        <v>55</v>
      </c>
      <c r="L862" s="2">
        <v>2730</v>
      </c>
      <c r="M862" t="s">
        <v>42</v>
      </c>
    </row>
    <row r="863" spans="1:13" x14ac:dyDescent="0.3">
      <c r="A863" t="s">
        <v>1190</v>
      </c>
      <c r="B863" s="1">
        <v>46115</v>
      </c>
      <c r="C863" t="s">
        <v>101</v>
      </c>
      <c r="D863" t="s">
        <v>70</v>
      </c>
      <c r="E863" t="s">
        <v>161</v>
      </c>
      <c r="F863">
        <v>1</v>
      </c>
      <c r="G863" s="2">
        <v>2730</v>
      </c>
      <c r="H863" s="3">
        <v>0.1</v>
      </c>
      <c r="I863" t="s">
        <v>17</v>
      </c>
      <c r="J863" t="s">
        <v>18</v>
      </c>
      <c r="K863" t="s">
        <v>19</v>
      </c>
      <c r="L863" s="2">
        <v>2457</v>
      </c>
      <c r="M863" t="s">
        <v>32</v>
      </c>
    </row>
    <row r="864" spans="1:13" x14ac:dyDescent="0.3">
      <c r="A864" t="s">
        <v>1191</v>
      </c>
      <c r="B864" s="1">
        <v>46132</v>
      </c>
      <c r="C864" t="s">
        <v>298</v>
      </c>
      <c r="D864" t="s">
        <v>90</v>
      </c>
      <c r="E864" t="s">
        <v>63</v>
      </c>
      <c r="F864">
        <v>4</v>
      </c>
      <c r="G864" s="2">
        <v>2200</v>
      </c>
      <c r="H864" s="3">
        <v>0.05</v>
      </c>
      <c r="I864" t="s">
        <v>17</v>
      </c>
      <c r="J864" t="s">
        <v>47</v>
      </c>
      <c r="K864" t="s">
        <v>55</v>
      </c>
      <c r="L864" s="2">
        <v>8360</v>
      </c>
      <c r="M864" t="s">
        <v>56</v>
      </c>
    </row>
    <row r="865" spans="1:13" x14ac:dyDescent="0.3">
      <c r="A865" t="s">
        <v>1192</v>
      </c>
      <c r="B865" s="1">
        <v>46101</v>
      </c>
      <c r="C865" t="s">
        <v>167</v>
      </c>
      <c r="D865" t="s">
        <v>62</v>
      </c>
      <c r="E865" t="s">
        <v>135</v>
      </c>
      <c r="F865">
        <v>2</v>
      </c>
      <c r="G865" s="2">
        <v>16800</v>
      </c>
      <c r="H865" s="3">
        <v>0.15</v>
      </c>
      <c r="I865" t="s">
        <v>17</v>
      </c>
      <c r="J865" t="s">
        <v>18</v>
      </c>
      <c r="K865" t="s">
        <v>41</v>
      </c>
      <c r="L865" s="2">
        <v>28560</v>
      </c>
      <c r="M865" t="s">
        <v>59</v>
      </c>
    </row>
    <row r="866" spans="1:13" x14ac:dyDescent="0.3">
      <c r="A866" t="s">
        <v>1193</v>
      </c>
      <c r="B866" s="1">
        <v>46071</v>
      </c>
      <c r="C866" t="s">
        <v>1194</v>
      </c>
      <c r="D866" t="s">
        <v>168</v>
      </c>
      <c r="E866" t="s">
        <v>16</v>
      </c>
      <c r="F866">
        <v>5</v>
      </c>
      <c r="G866" s="2">
        <v>682.5</v>
      </c>
      <c r="H866" s="3">
        <v>0.2</v>
      </c>
      <c r="I866" t="s">
        <v>17</v>
      </c>
      <c r="J866" t="s">
        <v>18</v>
      </c>
      <c r="K866" t="s">
        <v>55</v>
      </c>
      <c r="L866" s="2">
        <v>2730</v>
      </c>
      <c r="M866" t="s">
        <v>138</v>
      </c>
    </row>
    <row r="867" spans="1:13" x14ac:dyDescent="0.3">
      <c r="A867" t="s">
        <v>1195</v>
      </c>
      <c r="B867" s="1">
        <v>46121</v>
      </c>
      <c r="C867" t="s">
        <v>669</v>
      </c>
      <c r="D867" t="s">
        <v>62</v>
      </c>
      <c r="E867" t="s">
        <v>135</v>
      </c>
      <c r="F867">
        <v>3</v>
      </c>
      <c r="G867" s="2">
        <v>15960</v>
      </c>
      <c r="H867" s="3">
        <v>-0.1</v>
      </c>
      <c r="I867" t="s">
        <v>17</v>
      </c>
      <c r="J867" t="s">
        <v>18</v>
      </c>
      <c r="K867" t="s">
        <v>25</v>
      </c>
      <c r="L867" s="2">
        <v>40698</v>
      </c>
      <c r="M867" t="s">
        <v>59</v>
      </c>
    </row>
    <row r="868" spans="1:13" x14ac:dyDescent="0.3">
      <c r="A868" t="s">
        <v>1196</v>
      </c>
      <c r="B868" s="1">
        <v>46072</v>
      </c>
      <c r="C868" t="s">
        <v>619</v>
      </c>
      <c r="D868" t="s">
        <v>29</v>
      </c>
      <c r="E868" t="s">
        <v>161</v>
      </c>
      <c r="F868">
        <v>8</v>
      </c>
      <c r="G868" s="2">
        <v>2730</v>
      </c>
      <c r="H868" s="3">
        <v>0.2</v>
      </c>
      <c r="I868" t="s">
        <v>17</v>
      </c>
      <c r="J868" t="s">
        <v>31</v>
      </c>
      <c r="K868" t="s">
        <v>55</v>
      </c>
      <c r="L868" s="2">
        <v>17472</v>
      </c>
      <c r="M868" t="s">
        <v>32</v>
      </c>
    </row>
    <row r="869" spans="1:13" x14ac:dyDescent="0.3">
      <c r="A869" t="s">
        <v>1197</v>
      </c>
      <c r="B869" s="1">
        <v>46086</v>
      </c>
      <c r="C869" t="s">
        <v>401</v>
      </c>
      <c r="D869" t="s">
        <v>23</v>
      </c>
      <c r="E869" t="s">
        <v>46</v>
      </c>
      <c r="F869">
        <v>1</v>
      </c>
      <c r="G869" s="2">
        <v>7410</v>
      </c>
      <c r="H869" s="3">
        <v>0.05</v>
      </c>
      <c r="I869" t="s">
        <v>17</v>
      </c>
      <c r="J869" t="s">
        <v>47</v>
      </c>
      <c r="K869" t="s">
        <v>25</v>
      </c>
      <c r="L869" s="2">
        <v>7039.5</v>
      </c>
      <c r="M869" t="s">
        <v>56</v>
      </c>
    </row>
    <row r="870" spans="1:13" x14ac:dyDescent="0.3">
      <c r="A870" t="s">
        <v>1198</v>
      </c>
      <c r="B870" s="1">
        <v>46197</v>
      </c>
      <c r="C870" t="s">
        <v>1177</v>
      </c>
      <c r="D870" t="s">
        <v>50</v>
      </c>
      <c r="E870" t="s">
        <v>135</v>
      </c>
      <c r="F870">
        <v>1</v>
      </c>
      <c r="G870" s="2">
        <v>16800</v>
      </c>
      <c r="H870" s="3">
        <v>0.15</v>
      </c>
      <c r="I870" t="s">
        <v>80</v>
      </c>
      <c r="J870" t="s">
        <v>31</v>
      </c>
      <c r="K870" t="s">
        <v>19</v>
      </c>
      <c r="L870" s="2">
        <v>14280</v>
      </c>
      <c r="M870" t="s">
        <v>32</v>
      </c>
    </row>
    <row r="871" spans="1:13" x14ac:dyDescent="0.3">
      <c r="A871" t="s">
        <v>1199</v>
      </c>
      <c r="B871" s="1">
        <v>46124</v>
      </c>
      <c r="C871" t="s">
        <v>61</v>
      </c>
      <c r="D871" t="s">
        <v>123</v>
      </c>
      <c r="E871" t="s">
        <v>183</v>
      </c>
      <c r="F871">
        <v>10</v>
      </c>
      <c r="G871" s="2">
        <v>3200</v>
      </c>
      <c r="H871" s="3">
        <v>0</v>
      </c>
      <c r="I871" t="s">
        <v>173</v>
      </c>
      <c r="J871" t="s">
        <v>71</v>
      </c>
      <c r="K871" t="s">
        <v>55</v>
      </c>
      <c r="L871" s="2">
        <v>32000</v>
      </c>
      <c r="M871" t="s">
        <v>26</v>
      </c>
    </row>
    <row r="872" spans="1:13" x14ac:dyDescent="0.3">
      <c r="A872" t="s">
        <v>1200</v>
      </c>
      <c r="B872" s="1">
        <v>46200</v>
      </c>
      <c r="C872" t="s">
        <v>328</v>
      </c>
      <c r="D872" t="s">
        <v>45</v>
      </c>
      <c r="E872" t="s">
        <v>51</v>
      </c>
      <c r="F872">
        <v>8</v>
      </c>
      <c r="G872" s="2">
        <v>18500</v>
      </c>
      <c r="H872" s="3">
        <v>0.2</v>
      </c>
      <c r="I872" t="s">
        <v>66</v>
      </c>
      <c r="J872" t="s">
        <v>31</v>
      </c>
      <c r="K872" t="s">
        <v>19</v>
      </c>
      <c r="L872" s="2">
        <v>118400</v>
      </c>
      <c r="M872" t="s">
        <v>48</v>
      </c>
    </row>
    <row r="873" spans="1:13" x14ac:dyDescent="0.3">
      <c r="A873" t="s">
        <v>1201</v>
      </c>
      <c r="B873" s="1">
        <v>46111</v>
      </c>
      <c r="C873" t="s">
        <v>867</v>
      </c>
      <c r="D873" t="s">
        <v>90</v>
      </c>
      <c r="E873" t="s">
        <v>30</v>
      </c>
      <c r="F873">
        <v>1</v>
      </c>
      <c r="G873" s="2">
        <v>1890</v>
      </c>
      <c r="H873" s="3">
        <v>0</v>
      </c>
      <c r="I873" t="s">
        <v>80</v>
      </c>
      <c r="J873" t="s">
        <v>31</v>
      </c>
      <c r="K873" t="s">
        <v>41</v>
      </c>
      <c r="L873" s="2">
        <v>1890</v>
      </c>
      <c r="M873" t="s">
        <v>56</v>
      </c>
    </row>
    <row r="874" spans="1:13" x14ac:dyDescent="0.3">
      <c r="A874" t="s">
        <v>1202</v>
      </c>
      <c r="B874" s="1">
        <v>46023</v>
      </c>
      <c r="C874" t="s">
        <v>279</v>
      </c>
      <c r="D874" t="s">
        <v>15</v>
      </c>
      <c r="E874" t="s">
        <v>63</v>
      </c>
      <c r="F874">
        <v>4</v>
      </c>
      <c r="G874" s="2">
        <v>2200</v>
      </c>
      <c r="H874" s="3">
        <v>0.1</v>
      </c>
      <c r="I874" t="s">
        <v>17</v>
      </c>
      <c r="J874" t="s">
        <v>71</v>
      </c>
      <c r="K874" t="s">
        <v>41</v>
      </c>
      <c r="L874" s="2">
        <v>7920</v>
      </c>
      <c r="M874" t="s">
        <v>138</v>
      </c>
    </row>
    <row r="875" spans="1:13" x14ac:dyDescent="0.3">
      <c r="A875" t="s">
        <v>1203</v>
      </c>
      <c r="B875" s="1">
        <v>46070</v>
      </c>
      <c r="C875" t="s">
        <v>336</v>
      </c>
      <c r="D875" t="s">
        <v>123</v>
      </c>
      <c r="E875" t="s">
        <v>30</v>
      </c>
      <c r="F875">
        <v>1</v>
      </c>
      <c r="G875" s="2">
        <v>1710</v>
      </c>
      <c r="H875" s="3">
        <v>0</v>
      </c>
      <c r="I875" t="s">
        <v>17</v>
      </c>
      <c r="J875" t="s">
        <v>71</v>
      </c>
      <c r="K875" t="s">
        <v>41</v>
      </c>
      <c r="L875" s="2">
        <v>1710</v>
      </c>
      <c r="M875" t="s">
        <v>52</v>
      </c>
    </row>
    <row r="876" spans="1:13" x14ac:dyDescent="0.3">
      <c r="A876" t="s">
        <v>1204</v>
      </c>
      <c r="B876" s="1">
        <v>46038</v>
      </c>
      <c r="C876" t="s">
        <v>491</v>
      </c>
      <c r="D876" t="s">
        <v>123</v>
      </c>
      <c r="E876" t="s">
        <v>30</v>
      </c>
      <c r="F876">
        <v>4</v>
      </c>
      <c r="G876" s="2">
        <v>1890</v>
      </c>
      <c r="H876" s="3">
        <v>0</v>
      </c>
      <c r="I876" t="s">
        <v>17</v>
      </c>
      <c r="J876" t="s">
        <v>31</v>
      </c>
      <c r="K876" t="s">
        <v>41</v>
      </c>
      <c r="L876" s="2">
        <v>7560</v>
      </c>
      <c r="M876" t="s">
        <v>42</v>
      </c>
    </row>
    <row r="877" spans="1:13" x14ac:dyDescent="0.3">
      <c r="A877" t="s">
        <v>1205</v>
      </c>
      <c r="B877" s="1">
        <v>46098</v>
      </c>
      <c r="C877" t="s">
        <v>103</v>
      </c>
      <c r="D877" t="s">
        <v>15</v>
      </c>
      <c r="E877" t="s">
        <v>161</v>
      </c>
      <c r="F877">
        <v>1</v>
      </c>
      <c r="G877" s="2">
        <v>2600</v>
      </c>
      <c r="H877" s="3">
        <v>0</v>
      </c>
      <c r="I877" t="s">
        <v>17</v>
      </c>
      <c r="J877" t="s">
        <v>18</v>
      </c>
      <c r="K877" t="s">
        <v>19</v>
      </c>
      <c r="L877" s="2">
        <v>2600</v>
      </c>
      <c r="M877" t="s">
        <v>20</v>
      </c>
    </row>
    <row r="878" spans="1:13" x14ac:dyDescent="0.3">
      <c r="A878" t="s">
        <v>1206</v>
      </c>
      <c r="B878" s="1">
        <v>46038</v>
      </c>
      <c r="C878" t="s">
        <v>596</v>
      </c>
      <c r="D878" t="s">
        <v>45</v>
      </c>
      <c r="E878" t="s">
        <v>16</v>
      </c>
      <c r="F878">
        <v>3</v>
      </c>
      <c r="G878" s="2">
        <v>617.5</v>
      </c>
      <c r="H878" s="3">
        <v>0</v>
      </c>
      <c r="I878" t="s">
        <v>17</v>
      </c>
      <c r="J878" t="s">
        <v>47</v>
      </c>
      <c r="K878" t="s">
        <v>55</v>
      </c>
      <c r="L878" s="2">
        <v>1852.5</v>
      </c>
      <c r="M878" t="s">
        <v>56</v>
      </c>
    </row>
    <row r="879" spans="1:13" x14ac:dyDescent="0.3">
      <c r="A879" t="s">
        <v>1207</v>
      </c>
      <c r="B879" s="1">
        <v>46109</v>
      </c>
      <c r="C879" t="s">
        <v>156</v>
      </c>
      <c r="D879" t="s">
        <v>40</v>
      </c>
      <c r="E879" t="s">
        <v>161</v>
      </c>
      <c r="F879">
        <v>2</v>
      </c>
      <c r="G879" s="2">
        <v>2600</v>
      </c>
      <c r="H879" s="3">
        <v>0.2</v>
      </c>
      <c r="I879" t="s">
        <v>66</v>
      </c>
      <c r="J879" t="s">
        <v>47</v>
      </c>
      <c r="K879" t="s">
        <v>55</v>
      </c>
      <c r="L879" s="2">
        <v>4160</v>
      </c>
      <c r="M879" t="s">
        <v>32</v>
      </c>
    </row>
    <row r="880" spans="1:13" x14ac:dyDescent="0.3">
      <c r="A880" t="s">
        <v>1208</v>
      </c>
      <c r="B880" s="1">
        <v>46179</v>
      </c>
      <c r="C880" t="s">
        <v>340</v>
      </c>
      <c r="D880" t="s">
        <v>168</v>
      </c>
      <c r="E880" t="s">
        <v>36</v>
      </c>
      <c r="F880">
        <v>5</v>
      </c>
      <c r="G880" s="2">
        <v>1470</v>
      </c>
      <c r="H880" s="3">
        <v>0</v>
      </c>
      <c r="I880" t="s">
        <v>17</v>
      </c>
      <c r="J880" t="s">
        <v>31</v>
      </c>
      <c r="K880" t="s">
        <v>25</v>
      </c>
      <c r="L880" s="2">
        <v>7350</v>
      </c>
      <c r="M880" t="s">
        <v>42</v>
      </c>
    </row>
    <row r="881" spans="1:13" x14ac:dyDescent="0.3">
      <c r="A881" t="s">
        <v>1209</v>
      </c>
      <c r="B881" s="1">
        <v>46158</v>
      </c>
      <c r="C881" t="s">
        <v>450</v>
      </c>
      <c r="D881" t="s">
        <v>45</v>
      </c>
      <c r="E881" t="s">
        <v>85</v>
      </c>
      <c r="F881">
        <v>4</v>
      </c>
      <c r="G881" s="2">
        <v>50925</v>
      </c>
      <c r="H881" s="3">
        <v>0</v>
      </c>
      <c r="I881" t="s">
        <v>17</v>
      </c>
      <c r="J881" t="s">
        <v>71</v>
      </c>
      <c r="K881" t="s">
        <v>19</v>
      </c>
      <c r="L881" s="2">
        <v>203700</v>
      </c>
      <c r="M881" t="s">
        <v>138</v>
      </c>
    </row>
    <row r="882" spans="1:13" x14ac:dyDescent="0.3">
      <c r="A882" t="s">
        <v>1210</v>
      </c>
      <c r="B882" s="1">
        <v>46027</v>
      </c>
      <c r="C882" t="s">
        <v>448</v>
      </c>
      <c r="D882" t="s">
        <v>95</v>
      </c>
      <c r="E882" t="s">
        <v>36</v>
      </c>
      <c r="F882">
        <v>5</v>
      </c>
      <c r="G882" s="2">
        <v>1470</v>
      </c>
      <c r="H882" s="3">
        <v>0.2</v>
      </c>
      <c r="I882" t="s">
        <v>17</v>
      </c>
      <c r="J882" t="s">
        <v>18</v>
      </c>
      <c r="K882" t="s">
        <v>55</v>
      </c>
      <c r="L882" s="2">
        <v>5880</v>
      </c>
      <c r="M882" t="s">
        <v>48</v>
      </c>
    </row>
    <row r="883" spans="1:13" x14ac:dyDescent="0.3">
      <c r="A883" t="s">
        <v>1211</v>
      </c>
      <c r="B883" s="1">
        <v>46043</v>
      </c>
      <c r="C883" t="s">
        <v>592</v>
      </c>
      <c r="D883" t="s">
        <v>35</v>
      </c>
      <c r="E883" t="s">
        <v>161</v>
      </c>
      <c r="F883">
        <v>8</v>
      </c>
      <c r="G883" s="2">
        <v>2470</v>
      </c>
      <c r="H883" s="3">
        <v>0.1</v>
      </c>
      <c r="I883" t="s">
        <v>116</v>
      </c>
      <c r="J883" t="s">
        <v>47</v>
      </c>
      <c r="K883" t="s">
        <v>25</v>
      </c>
      <c r="L883" s="2">
        <v>17784</v>
      </c>
      <c r="M883" t="s">
        <v>52</v>
      </c>
    </row>
    <row r="884" spans="1:13" x14ac:dyDescent="0.3">
      <c r="A884" t="s">
        <v>1212</v>
      </c>
      <c r="B884" s="1">
        <v>46059</v>
      </c>
      <c r="C884" t="s">
        <v>353</v>
      </c>
      <c r="D884" t="s">
        <v>90</v>
      </c>
      <c r="E884" t="s">
        <v>51</v>
      </c>
      <c r="G884" s="2">
        <v>18500</v>
      </c>
      <c r="H884" s="3">
        <v>0.2</v>
      </c>
      <c r="I884" t="s">
        <v>17</v>
      </c>
      <c r="J884" t="s">
        <v>31</v>
      </c>
      <c r="K884" t="s">
        <v>67</v>
      </c>
      <c r="L884" s="2">
        <v>74000</v>
      </c>
      <c r="M884" t="s">
        <v>82</v>
      </c>
    </row>
    <row r="885" spans="1:13" x14ac:dyDescent="0.3">
      <c r="A885" t="s">
        <v>1213</v>
      </c>
      <c r="B885" s="1">
        <v>46142</v>
      </c>
      <c r="C885" t="s">
        <v>414</v>
      </c>
      <c r="D885" t="s">
        <v>50</v>
      </c>
      <c r="E885" t="s">
        <v>46</v>
      </c>
      <c r="F885">
        <v>8</v>
      </c>
      <c r="G885" s="2">
        <v>7800</v>
      </c>
      <c r="H885" s="3">
        <v>0.1</v>
      </c>
      <c r="I885" t="s">
        <v>17</v>
      </c>
      <c r="J885" t="s">
        <v>71</v>
      </c>
      <c r="K885" t="s">
        <v>41</v>
      </c>
      <c r="L885" s="2">
        <v>56160</v>
      </c>
      <c r="M885" t="s">
        <v>42</v>
      </c>
    </row>
    <row r="886" spans="1:13" x14ac:dyDescent="0.3">
      <c r="A886" t="s">
        <v>1214</v>
      </c>
      <c r="B886" s="1">
        <v>46050</v>
      </c>
      <c r="C886" t="s">
        <v>22</v>
      </c>
      <c r="D886" t="s">
        <v>70</v>
      </c>
      <c r="E886" t="s">
        <v>85</v>
      </c>
      <c r="F886">
        <v>1</v>
      </c>
      <c r="G886" s="2">
        <v>48500</v>
      </c>
      <c r="H886" s="3">
        <v>0.05</v>
      </c>
      <c r="I886" t="s">
        <v>80</v>
      </c>
      <c r="J886" t="s">
        <v>47</v>
      </c>
      <c r="K886" t="s">
        <v>55</v>
      </c>
      <c r="L886" s="2">
        <v>46075</v>
      </c>
      <c r="M886" t="s">
        <v>42</v>
      </c>
    </row>
    <row r="887" spans="1:13" x14ac:dyDescent="0.3">
      <c r="A887" t="s">
        <v>1215</v>
      </c>
      <c r="B887" s="1">
        <v>46193</v>
      </c>
      <c r="C887" t="s">
        <v>338</v>
      </c>
      <c r="D887" t="s">
        <v>50</v>
      </c>
      <c r="E887" t="s">
        <v>51</v>
      </c>
      <c r="F887">
        <v>3</v>
      </c>
      <c r="G887" s="2">
        <v>18500</v>
      </c>
      <c r="H887" s="3">
        <v>0.1</v>
      </c>
      <c r="I887" t="s">
        <v>17</v>
      </c>
      <c r="J887" t="s">
        <v>31</v>
      </c>
      <c r="K887" t="s">
        <v>67</v>
      </c>
      <c r="L887" s="2">
        <v>49950</v>
      </c>
      <c r="M887" t="s">
        <v>32</v>
      </c>
    </row>
    <row r="888" spans="1:13" x14ac:dyDescent="0.3">
      <c r="A888" t="s">
        <v>1216</v>
      </c>
      <c r="B888" s="1">
        <v>46120</v>
      </c>
      <c r="C888" t="s">
        <v>693</v>
      </c>
      <c r="D888" t="s">
        <v>95</v>
      </c>
      <c r="E888" t="s">
        <v>74</v>
      </c>
      <c r="F888">
        <v>4</v>
      </c>
      <c r="G888" s="2">
        <v>2400</v>
      </c>
      <c r="H888" s="3">
        <v>0.1</v>
      </c>
      <c r="I888" t="s">
        <v>17</v>
      </c>
      <c r="J888" t="s">
        <v>31</v>
      </c>
      <c r="K888" t="s">
        <v>67</v>
      </c>
      <c r="L888" s="2">
        <v>8640</v>
      </c>
      <c r="M888" t="s">
        <v>42</v>
      </c>
    </row>
    <row r="889" spans="1:13" x14ac:dyDescent="0.3">
      <c r="A889" t="s">
        <v>1217</v>
      </c>
      <c r="B889" t="s">
        <v>360</v>
      </c>
      <c r="C889" t="s">
        <v>619</v>
      </c>
      <c r="D889" t="s">
        <v>15</v>
      </c>
      <c r="E889" t="s">
        <v>36</v>
      </c>
      <c r="F889">
        <v>4</v>
      </c>
      <c r="G889" s="2">
        <v>1330</v>
      </c>
      <c r="H889" s="3">
        <v>0</v>
      </c>
      <c r="I889" t="s">
        <v>17</v>
      </c>
      <c r="J889" t="s">
        <v>71</v>
      </c>
      <c r="K889" t="s">
        <v>67</v>
      </c>
      <c r="L889" s="2">
        <v>5320</v>
      </c>
      <c r="M889" t="s">
        <v>32</v>
      </c>
    </row>
    <row r="890" spans="1:13" x14ac:dyDescent="0.3">
      <c r="A890" t="s">
        <v>1218</v>
      </c>
      <c r="B890" s="1">
        <v>46170</v>
      </c>
      <c r="C890" t="s">
        <v>61</v>
      </c>
      <c r="D890" t="s">
        <v>123</v>
      </c>
      <c r="E890" t="s">
        <v>16</v>
      </c>
      <c r="F890">
        <v>2</v>
      </c>
      <c r="G890" s="2">
        <v>682.5</v>
      </c>
      <c r="H890" s="3">
        <v>0.15</v>
      </c>
      <c r="I890" t="s">
        <v>17</v>
      </c>
      <c r="J890" t="s">
        <v>47</v>
      </c>
      <c r="K890" t="s">
        <v>67</v>
      </c>
      <c r="L890" s="2">
        <v>1160.25</v>
      </c>
      <c r="M890" t="s">
        <v>59</v>
      </c>
    </row>
    <row r="891" spans="1:13" x14ac:dyDescent="0.3">
      <c r="A891" t="s">
        <v>1219</v>
      </c>
      <c r="B891" s="1">
        <v>46156</v>
      </c>
      <c r="C891" t="s">
        <v>192</v>
      </c>
      <c r="D891" t="s">
        <v>95</v>
      </c>
      <c r="E891" t="s">
        <v>183</v>
      </c>
      <c r="F891">
        <v>3</v>
      </c>
      <c r="G891" s="2">
        <v>3360</v>
      </c>
      <c r="H891" s="3">
        <v>0</v>
      </c>
      <c r="I891" t="s">
        <v>17</v>
      </c>
      <c r="J891" t="s">
        <v>71</v>
      </c>
      <c r="K891" t="s">
        <v>67</v>
      </c>
      <c r="L891" s="2">
        <v>10080</v>
      </c>
      <c r="M891" t="s">
        <v>52</v>
      </c>
    </row>
    <row r="892" spans="1:13" x14ac:dyDescent="0.3">
      <c r="A892" t="s">
        <v>1220</v>
      </c>
      <c r="B892" s="1">
        <v>46150</v>
      </c>
      <c r="C892" t="s">
        <v>1028</v>
      </c>
      <c r="D892" t="s">
        <v>95</v>
      </c>
      <c r="E892" t="s">
        <v>46</v>
      </c>
      <c r="F892">
        <v>1</v>
      </c>
      <c r="G892" s="2">
        <v>7410</v>
      </c>
      <c r="H892" s="3">
        <v>0.05</v>
      </c>
      <c r="I892" t="s">
        <v>17</v>
      </c>
      <c r="J892" t="s">
        <v>47</v>
      </c>
      <c r="K892" t="s">
        <v>81</v>
      </c>
      <c r="L892" s="2">
        <v>7039.5</v>
      </c>
      <c r="M892" t="s">
        <v>42</v>
      </c>
    </row>
    <row r="893" spans="1:13" x14ac:dyDescent="0.3">
      <c r="A893" t="s">
        <v>1221</v>
      </c>
      <c r="B893" s="1">
        <v>46093</v>
      </c>
      <c r="C893" t="s">
        <v>601</v>
      </c>
      <c r="D893" t="s">
        <v>90</v>
      </c>
      <c r="E893" t="s">
        <v>85</v>
      </c>
      <c r="F893">
        <v>3</v>
      </c>
      <c r="G893" s="2">
        <v>50925</v>
      </c>
      <c r="H893" s="3">
        <v>0.2</v>
      </c>
      <c r="I893" t="s">
        <v>17</v>
      </c>
      <c r="J893" t="s">
        <v>18</v>
      </c>
      <c r="K893" t="s">
        <v>19</v>
      </c>
      <c r="L893" s="2">
        <v>122220</v>
      </c>
      <c r="M893" t="s">
        <v>138</v>
      </c>
    </row>
    <row r="894" spans="1:13" x14ac:dyDescent="0.3">
      <c r="A894" t="s">
        <v>1222</v>
      </c>
      <c r="B894" s="1">
        <v>46062</v>
      </c>
      <c r="C894" t="s">
        <v>285</v>
      </c>
      <c r="D894" t="s">
        <v>90</v>
      </c>
      <c r="E894" t="s">
        <v>85</v>
      </c>
      <c r="F894">
        <v>1</v>
      </c>
      <c r="G894" s="2">
        <v>48500</v>
      </c>
      <c r="H894" s="3">
        <v>0.2</v>
      </c>
      <c r="I894" t="s">
        <v>80</v>
      </c>
      <c r="J894" t="s">
        <v>71</v>
      </c>
      <c r="K894" t="s">
        <v>55</v>
      </c>
      <c r="L894" s="2">
        <v>38800</v>
      </c>
      <c r="M894" t="s">
        <v>32</v>
      </c>
    </row>
    <row r="895" spans="1:13" x14ac:dyDescent="0.3">
      <c r="A895" t="s">
        <v>1223</v>
      </c>
      <c r="B895" s="1">
        <v>46099</v>
      </c>
      <c r="C895" t="s">
        <v>28</v>
      </c>
      <c r="D895" t="s">
        <v>90</v>
      </c>
      <c r="E895" t="s">
        <v>74</v>
      </c>
      <c r="F895">
        <v>5</v>
      </c>
      <c r="G895" s="2">
        <v>2520</v>
      </c>
      <c r="H895" s="3">
        <v>0</v>
      </c>
      <c r="I895" t="s">
        <v>116</v>
      </c>
      <c r="J895" t="s">
        <v>18</v>
      </c>
      <c r="K895" t="s">
        <v>55</v>
      </c>
      <c r="L895" s="2">
        <v>12600</v>
      </c>
      <c r="M895" t="s">
        <v>138</v>
      </c>
    </row>
    <row r="896" spans="1:13" x14ac:dyDescent="0.3">
      <c r="A896" t="s">
        <v>1224</v>
      </c>
      <c r="B896" s="1">
        <v>46123</v>
      </c>
      <c r="C896" t="s">
        <v>494</v>
      </c>
      <c r="D896" t="s">
        <v>70</v>
      </c>
      <c r="E896" t="s">
        <v>63</v>
      </c>
      <c r="F896">
        <v>2</v>
      </c>
      <c r="G896" s="2">
        <v>2200</v>
      </c>
      <c r="H896" s="3">
        <v>0.05</v>
      </c>
      <c r="I896" t="s">
        <v>17</v>
      </c>
      <c r="J896" t="s">
        <v>31</v>
      </c>
      <c r="K896" t="s">
        <v>41</v>
      </c>
      <c r="L896" s="2">
        <v>4180</v>
      </c>
      <c r="M896" t="s">
        <v>138</v>
      </c>
    </row>
    <row r="897" spans="1:13" x14ac:dyDescent="0.3">
      <c r="A897" t="s">
        <v>1225</v>
      </c>
      <c r="B897" s="1">
        <v>46171</v>
      </c>
      <c r="C897" t="s">
        <v>363</v>
      </c>
      <c r="D897" t="s">
        <v>90</v>
      </c>
      <c r="E897" t="s">
        <v>16</v>
      </c>
      <c r="F897">
        <v>4</v>
      </c>
      <c r="G897" s="2">
        <v>650</v>
      </c>
      <c r="H897" s="3">
        <v>0.2</v>
      </c>
      <c r="I897" t="s">
        <v>17</v>
      </c>
      <c r="J897" t="s">
        <v>18</v>
      </c>
      <c r="K897" t="s">
        <v>55</v>
      </c>
      <c r="L897" s="2">
        <v>2080</v>
      </c>
      <c r="M897" t="s">
        <v>26</v>
      </c>
    </row>
    <row r="898" spans="1:13" x14ac:dyDescent="0.3">
      <c r="A898" t="s">
        <v>1226</v>
      </c>
      <c r="B898" s="1">
        <v>46060</v>
      </c>
      <c r="C898" t="s">
        <v>361</v>
      </c>
      <c r="D898" t="s">
        <v>23</v>
      </c>
      <c r="E898" t="s">
        <v>24</v>
      </c>
      <c r="F898">
        <v>4</v>
      </c>
      <c r="G898" s="2">
        <v>10640</v>
      </c>
      <c r="H898" s="3">
        <v>0</v>
      </c>
      <c r="I898" t="s">
        <v>17</v>
      </c>
      <c r="J898" t="s">
        <v>31</v>
      </c>
      <c r="K898" t="s">
        <v>41</v>
      </c>
      <c r="L898" s="2">
        <v>42560</v>
      </c>
      <c r="M898" t="s">
        <v>32</v>
      </c>
    </row>
    <row r="899" spans="1:13" x14ac:dyDescent="0.3">
      <c r="A899" t="s">
        <v>1227</v>
      </c>
      <c r="B899" s="1">
        <v>46132</v>
      </c>
      <c r="C899" t="s">
        <v>551</v>
      </c>
      <c r="D899" t="s">
        <v>95</v>
      </c>
      <c r="E899" t="s">
        <v>30</v>
      </c>
      <c r="F899">
        <v>8</v>
      </c>
      <c r="G899" s="2">
        <v>1890</v>
      </c>
      <c r="H899" s="3">
        <v>0</v>
      </c>
      <c r="I899" t="s">
        <v>17</v>
      </c>
      <c r="J899" t="s">
        <v>31</v>
      </c>
      <c r="K899" t="s">
        <v>19</v>
      </c>
      <c r="L899" s="2">
        <v>15120</v>
      </c>
      <c r="M899" t="s">
        <v>82</v>
      </c>
    </row>
    <row r="900" spans="1:13" x14ac:dyDescent="0.3">
      <c r="A900" t="s">
        <v>1228</v>
      </c>
      <c r="B900" s="1">
        <v>46189</v>
      </c>
      <c r="C900" t="s">
        <v>446</v>
      </c>
      <c r="D900" t="s">
        <v>35</v>
      </c>
      <c r="E900" t="s">
        <v>183</v>
      </c>
      <c r="F900">
        <v>2</v>
      </c>
      <c r="G900" s="2">
        <v>3360</v>
      </c>
      <c r="H900" s="3">
        <v>0</v>
      </c>
      <c r="I900" t="s">
        <v>17</v>
      </c>
      <c r="J900" t="s">
        <v>31</v>
      </c>
      <c r="K900" t="s">
        <v>19</v>
      </c>
      <c r="L900" s="2">
        <v>6720</v>
      </c>
      <c r="M900" t="s">
        <v>52</v>
      </c>
    </row>
    <row r="901" spans="1:13" x14ac:dyDescent="0.3">
      <c r="A901" t="s">
        <v>1229</v>
      </c>
      <c r="B901" s="1">
        <v>46124</v>
      </c>
      <c r="C901" t="s">
        <v>304</v>
      </c>
      <c r="D901" t="s">
        <v>62</v>
      </c>
      <c r="E901" t="s">
        <v>135</v>
      </c>
      <c r="F901">
        <v>3</v>
      </c>
      <c r="G901" s="2">
        <v>17640</v>
      </c>
      <c r="H901" s="3">
        <v>0</v>
      </c>
      <c r="I901" t="s">
        <v>17</v>
      </c>
      <c r="J901" t="s">
        <v>18</v>
      </c>
      <c r="K901" t="s">
        <v>55</v>
      </c>
      <c r="L901" s="2">
        <v>52920</v>
      </c>
      <c r="M901" t="s">
        <v>26</v>
      </c>
    </row>
    <row r="902" spans="1:13" x14ac:dyDescent="0.3">
      <c r="A902" t="s">
        <v>1230</v>
      </c>
      <c r="B902" s="1">
        <v>46184</v>
      </c>
      <c r="C902" t="s">
        <v>409</v>
      </c>
      <c r="D902" t="s">
        <v>95</v>
      </c>
      <c r="E902" t="s">
        <v>46</v>
      </c>
      <c r="F902">
        <v>2</v>
      </c>
      <c r="G902" s="2">
        <v>7410</v>
      </c>
      <c r="H902" s="3">
        <v>0</v>
      </c>
      <c r="I902" t="s">
        <v>17</v>
      </c>
      <c r="J902" t="s">
        <v>71</v>
      </c>
      <c r="K902" t="s">
        <v>19</v>
      </c>
      <c r="L902" s="2">
        <v>14820</v>
      </c>
      <c r="M902" t="s">
        <v>48</v>
      </c>
    </row>
    <row r="903" spans="1:13" x14ac:dyDescent="0.3">
      <c r="A903" t="s">
        <v>1231</v>
      </c>
      <c r="B903" s="1">
        <v>46169</v>
      </c>
      <c r="C903" t="s">
        <v>230</v>
      </c>
      <c r="D903" t="s">
        <v>40</v>
      </c>
      <c r="E903" t="s">
        <v>46</v>
      </c>
      <c r="F903">
        <v>1</v>
      </c>
      <c r="G903" s="2">
        <v>7800</v>
      </c>
      <c r="H903" s="3">
        <v>0.2</v>
      </c>
      <c r="I903" t="s">
        <v>17</v>
      </c>
      <c r="J903" t="s">
        <v>18</v>
      </c>
      <c r="K903" t="s">
        <v>55</v>
      </c>
      <c r="L903" s="2">
        <v>6240</v>
      </c>
      <c r="M903" t="s">
        <v>26</v>
      </c>
    </row>
    <row r="904" spans="1:13" x14ac:dyDescent="0.3">
      <c r="A904" t="s">
        <v>1232</v>
      </c>
      <c r="B904" s="1">
        <v>46169</v>
      </c>
      <c r="C904" t="s">
        <v>1194</v>
      </c>
      <c r="D904" t="s">
        <v>50</v>
      </c>
      <c r="E904" t="s">
        <v>63</v>
      </c>
      <c r="F904">
        <v>2</v>
      </c>
      <c r="G904" s="2">
        <v>2200</v>
      </c>
      <c r="H904" s="3">
        <v>0.2</v>
      </c>
      <c r="I904" t="s">
        <v>80</v>
      </c>
      <c r="J904" t="s">
        <v>31</v>
      </c>
      <c r="K904" t="s">
        <v>55</v>
      </c>
      <c r="L904" s="2">
        <v>3520</v>
      </c>
      <c r="M904" t="s">
        <v>82</v>
      </c>
    </row>
    <row r="905" spans="1:13" x14ac:dyDescent="0.3">
      <c r="A905" t="s">
        <v>1233</v>
      </c>
      <c r="B905" s="1">
        <v>46160</v>
      </c>
      <c r="C905" t="s">
        <v>204</v>
      </c>
      <c r="D905" t="s">
        <v>29</v>
      </c>
      <c r="E905" t="s">
        <v>51</v>
      </c>
      <c r="F905">
        <v>2</v>
      </c>
      <c r="G905" s="2">
        <v>17575</v>
      </c>
      <c r="H905" s="3">
        <v>0.15</v>
      </c>
      <c r="I905" t="s">
        <v>66</v>
      </c>
      <c r="J905" t="s">
        <v>31</v>
      </c>
      <c r="K905" t="s">
        <v>41</v>
      </c>
      <c r="L905" s="2">
        <v>29877.5</v>
      </c>
      <c r="M905" t="s">
        <v>48</v>
      </c>
    </row>
    <row r="906" spans="1:13" x14ac:dyDescent="0.3">
      <c r="A906" t="s">
        <v>1234</v>
      </c>
      <c r="B906" s="1">
        <v>46200</v>
      </c>
      <c r="C906" t="s">
        <v>623</v>
      </c>
      <c r="D906" t="s">
        <v>50</v>
      </c>
      <c r="E906" t="s">
        <v>16</v>
      </c>
      <c r="F906">
        <v>3</v>
      </c>
      <c r="G906" s="2">
        <v>650</v>
      </c>
      <c r="H906" s="3">
        <v>0.05</v>
      </c>
      <c r="I906" t="s">
        <v>17</v>
      </c>
      <c r="J906" t="s">
        <v>71</v>
      </c>
      <c r="K906" t="s">
        <v>19</v>
      </c>
      <c r="L906" s="2">
        <v>1852.5</v>
      </c>
      <c r="M906" t="s">
        <v>82</v>
      </c>
    </row>
    <row r="907" spans="1:13" x14ac:dyDescent="0.3">
      <c r="A907" t="s">
        <v>1235</v>
      </c>
      <c r="B907" s="1">
        <v>46088</v>
      </c>
      <c r="C907" t="s">
        <v>241</v>
      </c>
      <c r="D907" t="s">
        <v>90</v>
      </c>
      <c r="E907" t="s">
        <v>16</v>
      </c>
      <c r="F907">
        <v>1</v>
      </c>
      <c r="G907" s="2">
        <v>650</v>
      </c>
      <c r="H907" s="3">
        <v>0</v>
      </c>
      <c r="I907" t="s">
        <v>17</v>
      </c>
      <c r="J907" t="s">
        <v>18</v>
      </c>
      <c r="K907" t="s">
        <v>19</v>
      </c>
      <c r="L907" s="2">
        <v>650</v>
      </c>
      <c r="M907" t="s">
        <v>52</v>
      </c>
    </row>
    <row r="908" spans="1:13" x14ac:dyDescent="0.3">
      <c r="A908" t="s">
        <v>1236</v>
      </c>
      <c r="B908" s="1">
        <v>46099</v>
      </c>
      <c r="C908" t="s">
        <v>340</v>
      </c>
      <c r="D908" t="s">
        <v>168</v>
      </c>
      <c r="E908" t="s">
        <v>51</v>
      </c>
      <c r="F908">
        <v>5</v>
      </c>
      <c r="G908" s="2">
        <v>19425</v>
      </c>
      <c r="H908" s="3">
        <v>0.05</v>
      </c>
      <c r="I908" t="s">
        <v>17</v>
      </c>
      <c r="J908" t="s">
        <v>18</v>
      </c>
      <c r="K908" t="s">
        <v>67</v>
      </c>
      <c r="L908" s="2">
        <v>92268.75</v>
      </c>
      <c r="M908" t="s">
        <v>82</v>
      </c>
    </row>
    <row r="909" spans="1:13" x14ac:dyDescent="0.3">
      <c r="A909" t="s">
        <v>1237</v>
      </c>
      <c r="B909" s="1">
        <v>46113</v>
      </c>
      <c r="C909" t="s">
        <v>127</v>
      </c>
      <c r="D909" t="s">
        <v>40</v>
      </c>
      <c r="E909" t="s">
        <v>51</v>
      </c>
      <c r="F909">
        <v>2</v>
      </c>
      <c r="G909" s="2">
        <v>17575</v>
      </c>
      <c r="H909" s="3">
        <v>0.2</v>
      </c>
      <c r="I909" t="s">
        <v>17</v>
      </c>
      <c r="J909" t="s">
        <v>31</v>
      </c>
      <c r="K909" t="s">
        <v>41</v>
      </c>
      <c r="L909" s="2">
        <v>28120</v>
      </c>
      <c r="M909" t="s">
        <v>59</v>
      </c>
    </row>
    <row r="910" spans="1:13" x14ac:dyDescent="0.3">
      <c r="A910" t="s">
        <v>1238</v>
      </c>
      <c r="B910" s="1">
        <v>46099</v>
      </c>
      <c r="C910" t="s">
        <v>170</v>
      </c>
      <c r="D910" t="s">
        <v>90</v>
      </c>
      <c r="E910" t="s">
        <v>24</v>
      </c>
      <c r="F910">
        <v>8</v>
      </c>
      <c r="G910" s="2">
        <v>11200</v>
      </c>
      <c r="H910" s="3">
        <v>0.15</v>
      </c>
      <c r="I910" t="s">
        <v>17</v>
      </c>
      <c r="J910" t="s">
        <v>71</v>
      </c>
      <c r="K910" t="s">
        <v>25</v>
      </c>
      <c r="L910" s="2">
        <v>76160</v>
      </c>
      <c r="M910" t="s">
        <v>32</v>
      </c>
    </row>
    <row r="911" spans="1:13" x14ac:dyDescent="0.3">
      <c r="A911" t="s">
        <v>1239</v>
      </c>
      <c r="B911" s="1">
        <v>46042</v>
      </c>
      <c r="C911" t="s">
        <v>148</v>
      </c>
      <c r="D911" t="s">
        <v>152</v>
      </c>
      <c r="E911" t="s">
        <v>135</v>
      </c>
      <c r="F911">
        <v>1</v>
      </c>
      <c r="G911" s="2">
        <v>17640</v>
      </c>
      <c r="H911" s="3">
        <v>0.2</v>
      </c>
      <c r="I911" t="s">
        <v>80</v>
      </c>
      <c r="J911" t="s">
        <v>31</v>
      </c>
      <c r="K911" t="s">
        <v>67</v>
      </c>
      <c r="L911" s="2">
        <v>14112</v>
      </c>
      <c r="M911" t="s">
        <v>32</v>
      </c>
    </row>
    <row r="912" spans="1:13" x14ac:dyDescent="0.3">
      <c r="A912" t="s">
        <v>1240</v>
      </c>
      <c r="B912" s="1">
        <v>46200</v>
      </c>
      <c r="C912" t="s">
        <v>283</v>
      </c>
      <c r="D912" t="s">
        <v>50</v>
      </c>
      <c r="E912" t="s">
        <v>51</v>
      </c>
      <c r="F912">
        <v>1</v>
      </c>
      <c r="G912" s="2">
        <v>18500</v>
      </c>
      <c r="H912" s="3">
        <v>0.2</v>
      </c>
      <c r="I912" t="s">
        <v>17</v>
      </c>
      <c r="J912" t="s">
        <v>71</v>
      </c>
      <c r="K912" t="s">
        <v>55</v>
      </c>
      <c r="L912" s="2">
        <v>14800</v>
      </c>
      <c r="M912" t="s">
        <v>59</v>
      </c>
    </row>
    <row r="913" spans="1:13" x14ac:dyDescent="0.3">
      <c r="A913" t="s">
        <v>1241</v>
      </c>
      <c r="B913" s="1">
        <v>46103</v>
      </c>
      <c r="C913" t="s">
        <v>669</v>
      </c>
      <c r="D913" t="s">
        <v>29</v>
      </c>
      <c r="E913" t="s">
        <v>161</v>
      </c>
      <c r="F913">
        <v>2</v>
      </c>
      <c r="G913" s="2">
        <v>2600</v>
      </c>
      <c r="H913" s="3">
        <v>0.15</v>
      </c>
      <c r="I913" t="s">
        <v>17</v>
      </c>
      <c r="J913" t="s">
        <v>31</v>
      </c>
      <c r="K913" t="s">
        <v>25</v>
      </c>
      <c r="L913" s="2">
        <v>4420</v>
      </c>
      <c r="M913" t="s">
        <v>32</v>
      </c>
    </row>
    <row r="914" spans="1:13" x14ac:dyDescent="0.3">
      <c r="A914" t="s">
        <v>1242</v>
      </c>
      <c r="B914" s="1">
        <v>46039</v>
      </c>
      <c r="C914" t="s">
        <v>594</v>
      </c>
      <c r="D914" t="s">
        <v>35</v>
      </c>
      <c r="E914" t="s">
        <v>74</v>
      </c>
      <c r="F914">
        <v>1</v>
      </c>
      <c r="G914" s="2">
        <v>2400</v>
      </c>
      <c r="H914" s="3">
        <v>0.05</v>
      </c>
      <c r="I914" t="s">
        <v>17</v>
      </c>
      <c r="J914" t="s">
        <v>47</v>
      </c>
      <c r="K914" t="s">
        <v>19</v>
      </c>
      <c r="L914" s="2">
        <v>2280</v>
      </c>
      <c r="M914" t="s">
        <v>42</v>
      </c>
    </row>
    <row r="915" spans="1:13" x14ac:dyDescent="0.3">
      <c r="A915" t="s">
        <v>1243</v>
      </c>
      <c r="B915" s="1">
        <v>46119</v>
      </c>
      <c r="C915" t="s">
        <v>409</v>
      </c>
      <c r="D915" t="s">
        <v>23</v>
      </c>
      <c r="E915" t="s">
        <v>161</v>
      </c>
      <c r="F915">
        <v>8</v>
      </c>
      <c r="G915" s="2">
        <v>2600</v>
      </c>
      <c r="H915" s="3">
        <v>0</v>
      </c>
      <c r="I915" t="s">
        <v>17</v>
      </c>
      <c r="J915" t="s">
        <v>31</v>
      </c>
      <c r="K915" t="s">
        <v>25</v>
      </c>
      <c r="L915" s="2">
        <v>20800</v>
      </c>
      <c r="M915" t="s">
        <v>138</v>
      </c>
    </row>
    <row r="916" spans="1:13" x14ac:dyDescent="0.3">
      <c r="A916" t="s">
        <v>1244</v>
      </c>
      <c r="B916" s="1">
        <v>46202</v>
      </c>
      <c r="D916" t="s">
        <v>40</v>
      </c>
      <c r="E916" t="s">
        <v>135</v>
      </c>
      <c r="F916">
        <v>3</v>
      </c>
      <c r="G916" s="2">
        <v>15960</v>
      </c>
      <c r="H916" s="3">
        <v>0.15</v>
      </c>
      <c r="I916" t="s">
        <v>17</v>
      </c>
      <c r="J916" t="s">
        <v>47</v>
      </c>
      <c r="K916" t="s">
        <v>55</v>
      </c>
      <c r="L916" s="2">
        <v>40698</v>
      </c>
      <c r="M916" t="s">
        <v>59</v>
      </c>
    </row>
    <row r="917" spans="1:13" x14ac:dyDescent="0.3">
      <c r="A917" t="s">
        <v>1245</v>
      </c>
      <c r="B917" s="1">
        <v>46111</v>
      </c>
      <c r="C917" t="s">
        <v>103</v>
      </c>
      <c r="D917" t="s">
        <v>29</v>
      </c>
      <c r="E917" t="s">
        <v>85</v>
      </c>
      <c r="F917">
        <v>3</v>
      </c>
      <c r="G917" s="2">
        <v>50925</v>
      </c>
      <c r="H917" s="3">
        <v>0.15</v>
      </c>
      <c r="I917" t="s">
        <v>17</v>
      </c>
      <c r="J917" t="s">
        <v>71</v>
      </c>
      <c r="K917" t="s">
        <v>67</v>
      </c>
      <c r="L917" s="2">
        <v>129858.75</v>
      </c>
      <c r="M917" t="s">
        <v>20</v>
      </c>
    </row>
    <row r="918" spans="1:13" x14ac:dyDescent="0.3">
      <c r="A918" t="s">
        <v>1246</v>
      </c>
      <c r="B918" s="1">
        <v>46198</v>
      </c>
      <c r="C918" t="s">
        <v>196</v>
      </c>
      <c r="D918" t="s">
        <v>152</v>
      </c>
      <c r="E918" t="s">
        <v>85</v>
      </c>
      <c r="F918">
        <v>1</v>
      </c>
      <c r="G918" s="2">
        <v>48500</v>
      </c>
      <c r="H918" s="3">
        <v>0</v>
      </c>
      <c r="I918" t="s">
        <v>17</v>
      </c>
      <c r="J918" t="s">
        <v>47</v>
      </c>
      <c r="K918" t="s">
        <v>41</v>
      </c>
      <c r="L918" s="2">
        <v>48500</v>
      </c>
      <c r="M918" t="s">
        <v>48</v>
      </c>
    </row>
    <row r="919" spans="1:13" x14ac:dyDescent="0.3">
      <c r="A919" t="s">
        <v>1247</v>
      </c>
      <c r="B919" s="1">
        <v>46130</v>
      </c>
      <c r="C919" t="s">
        <v>705</v>
      </c>
      <c r="D919" t="s">
        <v>123</v>
      </c>
      <c r="E919" t="s">
        <v>46</v>
      </c>
      <c r="F919">
        <v>1</v>
      </c>
      <c r="G919" s="2">
        <v>7800</v>
      </c>
      <c r="H919" s="3">
        <v>0.05</v>
      </c>
      <c r="I919" t="s">
        <v>17</v>
      </c>
      <c r="J919" t="s">
        <v>18</v>
      </c>
      <c r="K919" t="s">
        <v>25</v>
      </c>
      <c r="L919" s="2">
        <v>7410</v>
      </c>
      <c r="M919" t="s">
        <v>52</v>
      </c>
    </row>
    <row r="920" spans="1:13" x14ac:dyDescent="0.3">
      <c r="A920" t="s">
        <v>1248</v>
      </c>
      <c r="B920" s="1">
        <v>46101</v>
      </c>
      <c r="C920" t="s">
        <v>76</v>
      </c>
      <c r="D920" t="s">
        <v>95</v>
      </c>
      <c r="E920" t="s">
        <v>63</v>
      </c>
      <c r="F920">
        <v>8</v>
      </c>
      <c r="G920" s="2">
        <v>2090</v>
      </c>
      <c r="H920" s="3">
        <v>0.1</v>
      </c>
      <c r="I920" t="s">
        <v>17</v>
      </c>
      <c r="J920" t="s">
        <v>31</v>
      </c>
      <c r="K920" t="s">
        <v>41</v>
      </c>
      <c r="L920" s="2">
        <v>15048</v>
      </c>
      <c r="M920" t="s">
        <v>42</v>
      </c>
    </row>
    <row r="921" spans="1:13" x14ac:dyDescent="0.3">
      <c r="A921" t="s">
        <v>1249</v>
      </c>
      <c r="B921" s="1">
        <v>46065</v>
      </c>
      <c r="C921" t="s">
        <v>186</v>
      </c>
      <c r="D921" t="s">
        <v>40</v>
      </c>
      <c r="E921" t="s">
        <v>16</v>
      </c>
      <c r="F921">
        <v>1</v>
      </c>
      <c r="G921" s="2">
        <v>682.5</v>
      </c>
      <c r="H921" s="3">
        <v>0.05</v>
      </c>
      <c r="I921" t="s">
        <v>17</v>
      </c>
      <c r="J921" t="s">
        <v>18</v>
      </c>
      <c r="K921" t="s">
        <v>25</v>
      </c>
      <c r="L921" s="2">
        <v>648.38</v>
      </c>
      <c r="M921" t="s">
        <v>59</v>
      </c>
    </row>
    <row r="922" spans="1:13" x14ac:dyDescent="0.3">
      <c r="A922" t="s">
        <v>1250</v>
      </c>
      <c r="B922" s="1">
        <v>46145</v>
      </c>
      <c r="C922" t="s">
        <v>1194</v>
      </c>
      <c r="D922" t="s">
        <v>62</v>
      </c>
      <c r="E922" t="s">
        <v>51</v>
      </c>
      <c r="F922">
        <v>3</v>
      </c>
      <c r="G922" s="2">
        <v>17575</v>
      </c>
      <c r="H922" s="3">
        <v>0.2</v>
      </c>
      <c r="I922" t="s">
        <v>66</v>
      </c>
      <c r="J922" t="s">
        <v>31</v>
      </c>
      <c r="K922" t="s">
        <v>25</v>
      </c>
      <c r="L922" s="2">
        <v>42180</v>
      </c>
      <c r="M922" t="s">
        <v>52</v>
      </c>
    </row>
    <row r="923" spans="1:13" x14ac:dyDescent="0.3">
      <c r="A923" t="s">
        <v>1251</v>
      </c>
      <c r="B923" s="1">
        <v>46024</v>
      </c>
      <c r="C923" t="s">
        <v>188</v>
      </c>
      <c r="D923" t="s">
        <v>123</v>
      </c>
      <c r="E923" t="s">
        <v>161</v>
      </c>
      <c r="F923">
        <v>3</v>
      </c>
      <c r="G923" s="2">
        <v>2470</v>
      </c>
      <c r="H923" s="3">
        <v>0.2</v>
      </c>
      <c r="I923" t="s">
        <v>17</v>
      </c>
      <c r="J923" t="s">
        <v>71</v>
      </c>
      <c r="K923" t="s">
        <v>25</v>
      </c>
      <c r="L923" s="2">
        <v>5928</v>
      </c>
      <c r="M923" t="s">
        <v>52</v>
      </c>
    </row>
    <row r="924" spans="1:13" x14ac:dyDescent="0.3">
      <c r="A924" t="s">
        <v>1252</v>
      </c>
      <c r="B924" s="1">
        <v>46067</v>
      </c>
      <c r="C924" t="s">
        <v>61</v>
      </c>
      <c r="D924" t="s">
        <v>15</v>
      </c>
      <c r="E924" t="s">
        <v>36</v>
      </c>
      <c r="F924">
        <v>4</v>
      </c>
      <c r="G924" s="2">
        <v>1330</v>
      </c>
      <c r="H924" s="3">
        <v>0.15</v>
      </c>
      <c r="I924" t="s">
        <v>17</v>
      </c>
      <c r="J924" t="s">
        <v>18</v>
      </c>
      <c r="K924" t="s">
        <v>55</v>
      </c>
      <c r="L924" s="2">
        <v>4522</v>
      </c>
      <c r="M924" t="s">
        <v>59</v>
      </c>
    </row>
    <row r="925" spans="1:13" x14ac:dyDescent="0.3">
      <c r="A925" t="s">
        <v>1253</v>
      </c>
      <c r="B925" s="1">
        <v>46118</v>
      </c>
      <c r="C925" t="s">
        <v>39</v>
      </c>
      <c r="D925" t="s">
        <v>15</v>
      </c>
      <c r="E925" t="s">
        <v>36</v>
      </c>
      <c r="F925">
        <v>5</v>
      </c>
      <c r="G925" s="2">
        <v>1330</v>
      </c>
      <c r="H925" s="3">
        <v>0</v>
      </c>
      <c r="I925" t="s">
        <v>66</v>
      </c>
      <c r="J925" t="s">
        <v>47</v>
      </c>
      <c r="K925" t="s">
        <v>55</v>
      </c>
      <c r="L925" s="2">
        <v>6650</v>
      </c>
      <c r="M925" t="s">
        <v>26</v>
      </c>
    </row>
    <row r="926" spans="1:13" x14ac:dyDescent="0.3">
      <c r="A926" t="s">
        <v>1254</v>
      </c>
      <c r="B926" s="1">
        <v>46090</v>
      </c>
      <c r="C926" t="s">
        <v>499</v>
      </c>
      <c r="D926" t="s">
        <v>23</v>
      </c>
      <c r="E926" t="s">
        <v>16</v>
      </c>
      <c r="F926">
        <v>4</v>
      </c>
      <c r="G926" s="2">
        <v>650</v>
      </c>
      <c r="H926" s="3">
        <v>0.15</v>
      </c>
      <c r="I926" t="s">
        <v>17</v>
      </c>
      <c r="J926" t="s">
        <v>18</v>
      </c>
      <c r="K926" t="s">
        <v>25</v>
      </c>
      <c r="L926" s="2">
        <v>2210</v>
      </c>
      <c r="M926" t="s">
        <v>56</v>
      </c>
    </row>
    <row r="927" spans="1:13" x14ac:dyDescent="0.3">
      <c r="A927" t="s">
        <v>1255</v>
      </c>
      <c r="B927" s="1">
        <v>46037</v>
      </c>
      <c r="C927" t="s">
        <v>682</v>
      </c>
      <c r="D927" t="s">
        <v>35</v>
      </c>
      <c r="E927" t="s">
        <v>16</v>
      </c>
      <c r="F927">
        <v>3</v>
      </c>
      <c r="G927" s="2">
        <v>617.5</v>
      </c>
      <c r="H927" s="3">
        <v>0.05</v>
      </c>
      <c r="I927" t="s">
        <v>17</v>
      </c>
      <c r="J927" t="s">
        <v>47</v>
      </c>
      <c r="K927" t="s">
        <v>41</v>
      </c>
      <c r="L927" s="2">
        <v>1759.88</v>
      </c>
      <c r="M927" t="s">
        <v>32</v>
      </c>
    </row>
    <row r="928" spans="1:13" x14ac:dyDescent="0.3">
      <c r="A928" t="s">
        <v>1256</v>
      </c>
      <c r="B928" s="1">
        <v>46113</v>
      </c>
      <c r="C928" t="s">
        <v>328</v>
      </c>
      <c r="D928" t="s">
        <v>168</v>
      </c>
      <c r="E928" t="s">
        <v>63</v>
      </c>
      <c r="F928">
        <v>2</v>
      </c>
      <c r="G928" s="2">
        <v>2200</v>
      </c>
      <c r="H928" s="3">
        <v>0</v>
      </c>
      <c r="I928" t="s">
        <v>17</v>
      </c>
      <c r="J928" t="s">
        <v>31</v>
      </c>
      <c r="K928" t="s">
        <v>55</v>
      </c>
      <c r="L928" s="2">
        <v>4400</v>
      </c>
      <c r="M928" t="s">
        <v>20</v>
      </c>
    </row>
    <row r="929" spans="1:13" x14ac:dyDescent="0.3">
      <c r="A929" t="s">
        <v>1257</v>
      </c>
      <c r="B929" s="1">
        <v>46062</v>
      </c>
      <c r="C929" t="s">
        <v>137</v>
      </c>
      <c r="D929" t="s">
        <v>29</v>
      </c>
      <c r="E929" t="s">
        <v>74</v>
      </c>
      <c r="F929">
        <v>1</v>
      </c>
      <c r="G929" s="2">
        <v>2400</v>
      </c>
      <c r="H929" s="3">
        <v>0.1</v>
      </c>
      <c r="I929" t="s">
        <v>17</v>
      </c>
      <c r="J929" t="s">
        <v>18</v>
      </c>
      <c r="K929" t="s">
        <v>41</v>
      </c>
      <c r="L929" s="2">
        <v>2160</v>
      </c>
      <c r="M929" t="s">
        <v>82</v>
      </c>
    </row>
    <row r="930" spans="1:13" x14ac:dyDescent="0.3">
      <c r="A930" t="s">
        <v>1258</v>
      </c>
      <c r="B930" s="1">
        <v>46091</v>
      </c>
      <c r="C930" t="s">
        <v>607</v>
      </c>
      <c r="D930" t="s">
        <v>15</v>
      </c>
      <c r="E930" t="s">
        <v>46</v>
      </c>
      <c r="F930">
        <v>3</v>
      </c>
      <c r="G930" s="2">
        <v>7800</v>
      </c>
      <c r="H930" s="3">
        <v>0.1</v>
      </c>
      <c r="I930" t="s">
        <v>17</v>
      </c>
      <c r="J930" t="s">
        <v>31</v>
      </c>
      <c r="K930" t="s">
        <v>67</v>
      </c>
      <c r="L930" s="2">
        <v>21060</v>
      </c>
      <c r="M930" t="s">
        <v>52</v>
      </c>
    </row>
    <row r="931" spans="1:13" x14ac:dyDescent="0.3">
      <c r="A931" t="s">
        <v>1259</v>
      </c>
      <c r="B931" s="1">
        <v>46051</v>
      </c>
      <c r="C931" t="s">
        <v>444</v>
      </c>
      <c r="D931" t="s">
        <v>23</v>
      </c>
      <c r="E931" t="s">
        <v>135</v>
      </c>
      <c r="F931">
        <v>1</v>
      </c>
      <c r="G931" s="2">
        <v>16800</v>
      </c>
      <c r="H931" s="3">
        <v>0.1</v>
      </c>
      <c r="I931" t="s">
        <v>17</v>
      </c>
      <c r="J931" t="s">
        <v>71</v>
      </c>
      <c r="K931" t="s">
        <v>41</v>
      </c>
      <c r="L931" s="2">
        <v>15120</v>
      </c>
      <c r="M931" t="s">
        <v>56</v>
      </c>
    </row>
    <row r="932" spans="1:13" x14ac:dyDescent="0.3">
      <c r="A932" t="s">
        <v>1260</v>
      </c>
      <c r="B932" s="1">
        <v>46193</v>
      </c>
      <c r="C932" t="s">
        <v>405</v>
      </c>
      <c r="D932" t="s">
        <v>45</v>
      </c>
      <c r="E932" t="s">
        <v>63</v>
      </c>
      <c r="F932">
        <v>2</v>
      </c>
      <c r="G932" s="2">
        <v>2200</v>
      </c>
      <c r="H932" s="3">
        <v>0.15</v>
      </c>
      <c r="I932" t="s">
        <v>17</v>
      </c>
      <c r="J932" t="s">
        <v>18</v>
      </c>
      <c r="K932" t="s">
        <v>25</v>
      </c>
      <c r="L932" s="2">
        <v>3740</v>
      </c>
      <c r="M932" t="s">
        <v>32</v>
      </c>
    </row>
    <row r="933" spans="1:13" x14ac:dyDescent="0.3">
      <c r="A933" t="s">
        <v>1261</v>
      </c>
      <c r="B933" s="1">
        <v>46056</v>
      </c>
      <c r="C933" t="s">
        <v>127</v>
      </c>
      <c r="D933" t="s">
        <v>15</v>
      </c>
      <c r="E933" t="s">
        <v>63</v>
      </c>
      <c r="F933">
        <v>4</v>
      </c>
      <c r="G933" s="2">
        <v>2090</v>
      </c>
      <c r="H933" s="3">
        <v>0</v>
      </c>
      <c r="I933" t="s">
        <v>17</v>
      </c>
      <c r="J933" t="s">
        <v>372</v>
      </c>
      <c r="K933" t="s">
        <v>81</v>
      </c>
      <c r="L933" s="2">
        <v>8360</v>
      </c>
      <c r="M933" t="s">
        <v>32</v>
      </c>
    </row>
    <row r="934" spans="1:13" x14ac:dyDescent="0.3">
      <c r="A934" t="s">
        <v>1262</v>
      </c>
      <c r="B934" s="1">
        <v>46175</v>
      </c>
      <c r="C934" t="s">
        <v>522</v>
      </c>
      <c r="D934" t="s">
        <v>123</v>
      </c>
      <c r="E934" t="s">
        <v>16</v>
      </c>
      <c r="F934">
        <v>2</v>
      </c>
      <c r="G934" s="2">
        <v>617.5</v>
      </c>
      <c r="H934" s="3">
        <v>0.05</v>
      </c>
      <c r="I934" t="s">
        <v>17</v>
      </c>
      <c r="J934" t="s">
        <v>71</v>
      </c>
      <c r="K934" t="s">
        <v>25</v>
      </c>
      <c r="L934" s="2">
        <v>1173.25</v>
      </c>
      <c r="M934" t="s">
        <v>59</v>
      </c>
    </row>
    <row r="935" spans="1:13" x14ac:dyDescent="0.3">
      <c r="A935" t="s">
        <v>1263</v>
      </c>
      <c r="B935" s="1">
        <v>46153</v>
      </c>
      <c r="C935" t="s">
        <v>522</v>
      </c>
      <c r="D935" t="s">
        <v>50</v>
      </c>
      <c r="E935" t="s">
        <v>24</v>
      </c>
      <c r="F935">
        <v>1</v>
      </c>
      <c r="G935" s="2">
        <v>11200</v>
      </c>
      <c r="H935" s="3">
        <v>0</v>
      </c>
      <c r="I935" t="s">
        <v>66</v>
      </c>
      <c r="J935" t="s">
        <v>71</v>
      </c>
      <c r="K935" t="s">
        <v>55</v>
      </c>
      <c r="L935" s="2">
        <v>11200</v>
      </c>
      <c r="M935" t="s">
        <v>42</v>
      </c>
    </row>
    <row r="936" spans="1:13" x14ac:dyDescent="0.3">
      <c r="A936" t="s">
        <v>1264</v>
      </c>
      <c r="B936" s="1">
        <v>46202</v>
      </c>
      <c r="C936" t="s">
        <v>211</v>
      </c>
      <c r="D936" t="s">
        <v>123</v>
      </c>
      <c r="E936" t="s">
        <v>51</v>
      </c>
      <c r="F936">
        <v>3</v>
      </c>
      <c r="G936" s="2">
        <v>18500</v>
      </c>
      <c r="H936" s="3">
        <v>0</v>
      </c>
      <c r="I936" t="s">
        <v>116</v>
      </c>
      <c r="J936" t="s">
        <v>31</v>
      </c>
      <c r="K936" t="s">
        <v>41</v>
      </c>
      <c r="L936" s="2">
        <v>55500</v>
      </c>
      <c r="M936" t="s">
        <v>32</v>
      </c>
    </row>
    <row r="937" spans="1:13" x14ac:dyDescent="0.3">
      <c r="A937" t="s">
        <v>1265</v>
      </c>
      <c r="B937" s="1">
        <v>46032</v>
      </c>
      <c r="C937" t="s">
        <v>843</v>
      </c>
      <c r="D937" t="s">
        <v>45</v>
      </c>
      <c r="E937" t="s">
        <v>24</v>
      </c>
      <c r="F937">
        <v>8</v>
      </c>
      <c r="G937" s="2">
        <v>11200</v>
      </c>
      <c r="H937" s="3">
        <v>0.1</v>
      </c>
      <c r="I937" t="s">
        <v>17</v>
      </c>
      <c r="J937" t="s">
        <v>31</v>
      </c>
      <c r="K937" t="s">
        <v>55</v>
      </c>
      <c r="L937" s="2">
        <v>80640</v>
      </c>
      <c r="M937" t="s">
        <v>32</v>
      </c>
    </row>
    <row r="938" spans="1:13" x14ac:dyDescent="0.3">
      <c r="A938" t="s">
        <v>1266</v>
      </c>
      <c r="B938" s="1">
        <v>46157</v>
      </c>
      <c r="C938" t="s">
        <v>457</v>
      </c>
      <c r="D938" t="s">
        <v>45</v>
      </c>
      <c r="E938" t="s">
        <v>85</v>
      </c>
      <c r="F938">
        <v>3</v>
      </c>
      <c r="G938" s="2">
        <v>50925</v>
      </c>
      <c r="H938" s="3">
        <v>0</v>
      </c>
      <c r="I938" t="s">
        <v>17</v>
      </c>
      <c r="J938" t="s">
        <v>31</v>
      </c>
      <c r="K938" t="s">
        <v>25</v>
      </c>
      <c r="L938" s="2">
        <v>152775</v>
      </c>
      <c r="M938" t="s">
        <v>32</v>
      </c>
    </row>
    <row r="939" spans="1:13" x14ac:dyDescent="0.3">
      <c r="A939" t="s">
        <v>1267</v>
      </c>
      <c r="B939" s="1">
        <v>46187</v>
      </c>
      <c r="C939" t="s">
        <v>163</v>
      </c>
      <c r="D939" t="s">
        <v>168</v>
      </c>
      <c r="E939" t="s">
        <v>135</v>
      </c>
      <c r="F939">
        <v>1</v>
      </c>
      <c r="G939" s="2">
        <v>16800</v>
      </c>
      <c r="H939" s="3">
        <v>0.05</v>
      </c>
      <c r="I939" t="s">
        <v>17</v>
      </c>
      <c r="J939" t="s">
        <v>71</v>
      </c>
      <c r="K939" t="s">
        <v>67</v>
      </c>
      <c r="L939" s="2">
        <v>15960</v>
      </c>
      <c r="M939" t="s">
        <v>20</v>
      </c>
    </row>
    <row r="940" spans="1:13" x14ac:dyDescent="0.3">
      <c r="A940" t="s">
        <v>1268</v>
      </c>
      <c r="B940" s="1">
        <v>46069</v>
      </c>
      <c r="C940" t="s">
        <v>436</v>
      </c>
      <c r="D940" t="s">
        <v>168</v>
      </c>
      <c r="E940" t="s">
        <v>16</v>
      </c>
      <c r="F940">
        <v>1</v>
      </c>
      <c r="G940" s="2">
        <v>650</v>
      </c>
      <c r="H940" s="3">
        <v>0.2</v>
      </c>
      <c r="I940" t="s">
        <v>17</v>
      </c>
      <c r="J940" t="s">
        <v>47</v>
      </c>
      <c r="K940" t="s">
        <v>25</v>
      </c>
      <c r="L940" s="2">
        <v>520</v>
      </c>
    </row>
    <row r="941" spans="1:13" x14ac:dyDescent="0.3">
      <c r="A941" t="s">
        <v>1269</v>
      </c>
      <c r="B941" s="1">
        <v>46133</v>
      </c>
      <c r="C941" t="s">
        <v>250</v>
      </c>
      <c r="D941" t="s">
        <v>50</v>
      </c>
      <c r="E941" t="s">
        <v>135</v>
      </c>
      <c r="F941">
        <v>8</v>
      </c>
      <c r="G941" s="2">
        <v>15960</v>
      </c>
      <c r="H941" s="3">
        <v>0.05</v>
      </c>
      <c r="I941" t="s">
        <v>17</v>
      </c>
      <c r="J941" t="s">
        <v>31</v>
      </c>
      <c r="K941" t="s">
        <v>25</v>
      </c>
      <c r="L941" s="2">
        <v>121296</v>
      </c>
      <c r="M941" t="s">
        <v>59</v>
      </c>
    </row>
    <row r="942" spans="1:13" x14ac:dyDescent="0.3">
      <c r="A942" t="s">
        <v>1270</v>
      </c>
      <c r="B942" s="1">
        <v>46107</v>
      </c>
      <c r="C942" t="s">
        <v>127</v>
      </c>
      <c r="D942" t="s">
        <v>35</v>
      </c>
      <c r="E942" t="s">
        <v>85</v>
      </c>
      <c r="F942">
        <v>4</v>
      </c>
      <c r="G942" s="2">
        <v>48500</v>
      </c>
      <c r="H942" s="3">
        <v>0.2</v>
      </c>
      <c r="I942" t="s">
        <v>17</v>
      </c>
      <c r="J942" t="s">
        <v>47</v>
      </c>
      <c r="K942" t="s">
        <v>41</v>
      </c>
      <c r="L942" s="2">
        <v>155200</v>
      </c>
      <c r="M942" t="s">
        <v>48</v>
      </c>
    </row>
    <row r="943" spans="1:13" x14ac:dyDescent="0.3">
      <c r="A943" t="s">
        <v>1271</v>
      </c>
      <c r="B943" s="1">
        <v>46121</v>
      </c>
      <c r="C943" t="s">
        <v>386</v>
      </c>
      <c r="D943" t="s">
        <v>15</v>
      </c>
      <c r="E943" t="s">
        <v>63</v>
      </c>
      <c r="F943">
        <v>1</v>
      </c>
      <c r="G943" s="2">
        <v>2090</v>
      </c>
      <c r="H943" s="3">
        <v>0.2</v>
      </c>
      <c r="I943" t="s">
        <v>17</v>
      </c>
      <c r="J943" t="s">
        <v>71</v>
      </c>
      <c r="K943" t="s">
        <v>55</v>
      </c>
      <c r="L943" s="2">
        <v>1672</v>
      </c>
      <c r="M943" t="s">
        <v>42</v>
      </c>
    </row>
    <row r="944" spans="1:13" x14ac:dyDescent="0.3">
      <c r="A944" t="s">
        <v>1272</v>
      </c>
      <c r="B944" s="1">
        <v>46042</v>
      </c>
      <c r="C944" t="s">
        <v>181</v>
      </c>
      <c r="D944" t="s">
        <v>152</v>
      </c>
      <c r="E944" t="s">
        <v>183</v>
      </c>
      <c r="F944">
        <v>2</v>
      </c>
      <c r="G944" s="2">
        <v>3200</v>
      </c>
      <c r="H944" s="3">
        <v>0.2</v>
      </c>
      <c r="I944" t="s">
        <v>17</v>
      </c>
      <c r="J944" t="s">
        <v>31</v>
      </c>
      <c r="K944" t="s">
        <v>41</v>
      </c>
      <c r="L944" s="2">
        <v>5120</v>
      </c>
      <c r="M944" t="s">
        <v>52</v>
      </c>
    </row>
    <row r="945" spans="1:13" x14ac:dyDescent="0.3">
      <c r="A945" t="s">
        <v>1273</v>
      </c>
      <c r="B945" s="1">
        <v>46130</v>
      </c>
      <c r="C945" t="s">
        <v>188</v>
      </c>
      <c r="D945" t="s">
        <v>152</v>
      </c>
      <c r="E945" t="s">
        <v>85</v>
      </c>
      <c r="F945">
        <v>1</v>
      </c>
      <c r="G945" s="2">
        <v>48500</v>
      </c>
      <c r="H945" s="3">
        <v>0.15</v>
      </c>
      <c r="I945" t="s">
        <v>116</v>
      </c>
      <c r="J945" t="s">
        <v>31</v>
      </c>
      <c r="K945" t="s">
        <v>55</v>
      </c>
      <c r="L945" s="2">
        <v>41225</v>
      </c>
      <c r="M945" t="s">
        <v>42</v>
      </c>
    </row>
    <row r="946" spans="1:13" x14ac:dyDescent="0.3">
      <c r="A946" t="s">
        <v>1274</v>
      </c>
      <c r="B946" s="1">
        <v>46146</v>
      </c>
      <c r="C946" t="s">
        <v>1275</v>
      </c>
      <c r="D946" t="s">
        <v>70</v>
      </c>
      <c r="E946" t="s">
        <v>51</v>
      </c>
      <c r="F946">
        <v>8</v>
      </c>
      <c r="G946" s="2">
        <v>18500</v>
      </c>
      <c r="H946" s="3">
        <v>0.15</v>
      </c>
      <c r="I946" t="s">
        <v>17</v>
      </c>
      <c r="J946" t="s">
        <v>71</v>
      </c>
      <c r="K946" t="s">
        <v>67</v>
      </c>
      <c r="L946" s="2">
        <v>125800</v>
      </c>
      <c r="M946" t="s">
        <v>20</v>
      </c>
    </row>
    <row r="947" spans="1:13" x14ac:dyDescent="0.3">
      <c r="A947" t="s">
        <v>1276</v>
      </c>
      <c r="B947" s="1">
        <v>46167</v>
      </c>
      <c r="C947" t="s">
        <v>165</v>
      </c>
      <c r="D947" t="s">
        <v>168</v>
      </c>
      <c r="E947" t="s">
        <v>85</v>
      </c>
      <c r="F947">
        <v>1</v>
      </c>
      <c r="G947" s="2">
        <v>46075</v>
      </c>
      <c r="H947" s="3">
        <v>0.1</v>
      </c>
      <c r="I947" t="s">
        <v>17</v>
      </c>
      <c r="J947" t="s">
        <v>18</v>
      </c>
      <c r="K947" t="s">
        <v>25</v>
      </c>
      <c r="L947" s="2">
        <v>41467.5</v>
      </c>
      <c r="M947" t="s">
        <v>32</v>
      </c>
    </row>
    <row r="948" spans="1:13" x14ac:dyDescent="0.3">
      <c r="A948" t="s">
        <v>1277</v>
      </c>
      <c r="B948" s="1">
        <v>46166</v>
      </c>
      <c r="C948" t="s">
        <v>845</v>
      </c>
      <c r="D948" t="s">
        <v>29</v>
      </c>
      <c r="E948" t="s">
        <v>161</v>
      </c>
      <c r="F948">
        <v>2</v>
      </c>
      <c r="G948" s="2">
        <v>2470</v>
      </c>
      <c r="H948" s="3">
        <v>0.05</v>
      </c>
      <c r="I948" t="s">
        <v>17</v>
      </c>
      <c r="J948" t="s">
        <v>71</v>
      </c>
      <c r="K948" t="s">
        <v>25</v>
      </c>
      <c r="L948" s="2">
        <v>4693</v>
      </c>
      <c r="M948" t="s">
        <v>20</v>
      </c>
    </row>
    <row r="949" spans="1:13" x14ac:dyDescent="0.3">
      <c r="A949" t="s">
        <v>1278</v>
      </c>
      <c r="B949" s="1">
        <v>46154</v>
      </c>
      <c r="C949" t="s">
        <v>246</v>
      </c>
      <c r="D949" t="s">
        <v>62</v>
      </c>
      <c r="E949" t="s">
        <v>51</v>
      </c>
      <c r="F949">
        <v>3</v>
      </c>
      <c r="G949" s="2">
        <v>18500</v>
      </c>
      <c r="H949" s="3">
        <v>0.15</v>
      </c>
      <c r="I949" t="s">
        <v>17</v>
      </c>
      <c r="J949" t="s">
        <v>47</v>
      </c>
      <c r="K949" t="s">
        <v>25</v>
      </c>
      <c r="L949" s="2">
        <v>47175</v>
      </c>
      <c r="M949" t="s">
        <v>42</v>
      </c>
    </row>
    <row r="950" spans="1:13" x14ac:dyDescent="0.3">
      <c r="A950" t="s">
        <v>1279</v>
      </c>
      <c r="B950" s="1">
        <v>46066</v>
      </c>
      <c r="C950" t="s">
        <v>170</v>
      </c>
      <c r="D950" t="s">
        <v>23</v>
      </c>
      <c r="E950" t="s">
        <v>16</v>
      </c>
      <c r="F950">
        <v>2</v>
      </c>
      <c r="G950" s="2">
        <v>650</v>
      </c>
      <c r="H950" s="3">
        <v>0.05</v>
      </c>
      <c r="I950" t="s">
        <v>17</v>
      </c>
      <c r="J950" t="s">
        <v>71</v>
      </c>
      <c r="K950" t="s">
        <v>67</v>
      </c>
      <c r="L950" s="2">
        <v>1235</v>
      </c>
      <c r="M950" t="s">
        <v>20</v>
      </c>
    </row>
    <row r="951" spans="1:13" x14ac:dyDescent="0.3">
      <c r="A951" t="s">
        <v>1280</v>
      </c>
      <c r="B951" s="1">
        <v>46187</v>
      </c>
      <c r="C951" t="s">
        <v>405</v>
      </c>
      <c r="D951" t="s">
        <v>23</v>
      </c>
      <c r="E951" t="s">
        <v>24</v>
      </c>
      <c r="F951">
        <v>2</v>
      </c>
      <c r="G951" s="2">
        <v>11200</v>
      </c>
      <c r="H951" s="3">
        <v>0</v>
      </c>
      <c r="I951" t="s">
        <v>17</v>
      </c>
      <c r="J951" t="s">
        <v>31</v>
      </c>
      <c r="K951" t="s">
        <v>25</v>
      </c>
      <c r="L951" s="2">
        <v>22400</v>
      </c>
      <c r="M951" t="s">
        <v>26</v>
      </c>
    </row>
    <row r="952" spans="1:13" x14ac:dyDescent="0.3">
      <c r="A952" t="s">
        <v>1281</v>
      </c>
      <c r="B952" s="1">
        <v>46057</v>
      </c>
      <c r="C952" t="s">
        <v>877</v>
      </c>
      <c r="D952" t="s">
        <v>70</v>
      </c>
      <c r="E952" t="s">
        <v>183</v>
      </c>
      <c r="F952">
        <v>1</v>
      </c>
      <c r="G952" s="2">
        <v>3040</v>
      </c>
      <c r="H952" s="3">
        <v>0</v>
      </c>
      <c r="I952" t="s">
        <v>17</v>
      </c>
      <c r="J952" t="s">
        <v>71</v>
      </c>
      <c r="K952" t="s">
        <v>67</v>
      </c>
      <c r="L952" s="2">
        <v>3040</v>
      </c>
      <c r="M952" t="s">
        <v>59</v>
      </c>
    </row>
    <row r="953" spans="1:13" x14ac:dyDescent="0.3">
      <c r="A953" t="s">
        <v>1282</v>
      </c>
      <c r="B953" s="1">
        <v>46088</v>
      </c>
      <c r="C953" t="s">
        <v>463</v>
      </c>
      <c r="D953" t="s">
        <v>168</v>
      </c>
      <c r="E953" t="s">
        <v>51</v>
      </c>
      <c r="F953">
        <v>3</v>
      </c>
      <c r="G953" s="2">
        <v>19425</v>
      </c>
      <c r="H953" s="3">
        <v>0.15</v>
      </c>
      <c r="I953" t="s">
        <v>17</v>
      </c>
      <c r="J953" t="s">
        <v>71</v>
      </c>
      <c r="K953" t="s">
        <v>495</v>
      </c>
      <c r="L953" s="2">
        <v>49533.75</v>
      </c>
      <c r="M953" t="s">
        <v>52</v>
      </c>
    </row>
    <row r="954" spans="1:13" x14ac:dyDescent="0.3">
      <c r="A954" t="s">
        <v>1283</v>
      </c>
      <c r="B954" s="1">
        <v>46106</v>
      </c>
      <c r="C954" t="s">
        <v>607</v>
      </c>
      <c r="D954" t="s">
        <v>45</v>
      </c>
      <c r="E954" t="s">
        <v>24</v>
      </c>
      <c r="F954">
        <v>3</v>
      </c>
      <c r="G954" s="2">
        <v>11200</v>
      </c>
      <c r="H954" s="3">
        <v>0.1</v>
      </c>
      <c r="I954" t="s">
        <v>17</v>
      </c>
      <c r="J954" t="s">
        <v>109</v>
      </c>
      <c r="K954" t="s">
        <v>41</v>
      </c>
      <c r="L954" s="2">
        <v>30240</v>
      </c>
      <c r="M954" t="s">
        <v>56</v>
      </c>
    </row>
    <row r="955" spans="1:13" x14ac:dyDescent="0.3">
      <c r="A955" t="s">
        <v>1284</v>
      </c>
      <c r="B955" s="1">
        <v>46046</v>
      </c>
      <c r="C955" t="s">
        <v>213</v>
      </c>
      <c r="D955" t="s">
        <v>62</v>
      </c>
      <c r="E955" t="s">
        <v>30</v>
      </c>
      <c r="F955">
        <v>2</v>
      </c>
      <c r="G955" s="2">
        <v>1890</v>
      </c>
      <c r="H955" s="3">
        <v>0</v>
      </c>
      <c r="I955" t="s">
        <v>17</v>
      </c>
      <c r="J955" t="s">
        <v>47</v>
      </c>
      <c r="K955" t="s">
        <v>19</v>
      </c>
      <c r="L955" s="2">
        <v>3780</v>
      </c>
      <c r="M955" t="s">
        <v>26</v>
      </c>
    </row>
    <row r="956" spans="1:13" x14ac:dyDescent="0.3">
      <c r="A956" t="s">
        <v>1285</v>
      </c>
      <c r="B956" s="1">
        <v>46064</v>
      </c>
      <c r="C956" t="s">
        <v>475</v>
      </c>
      <c r="D956" t="s">
        <v>77</v>
      </c>
      <c r="E956" t="s">
        <v>30</v>
      </c>
      <c r="F956">
        <v>4</v>
      </c>
      <c r="G956" s="2">
        <v>1710</v>
      </c>
      <c r="H956" s="3">
        <v>0.2</v>
      </c>
      <c r="I956" t="s">
        <v>17</v>
      </c>
      <c r="J956" t="s">
        <v>31</v>
      </c>
      <c r="K956" t="s">
        <v>55</v>
      </c>
      <c r="L956" s="2">
        <v>5472</v>
      </c>
      <c r="M956" t="s">
        <v>52</v>
      </c>
    </row>
    <row r="957" spans="1:13" x14ac:dyDescent="0.3">
      <c r="A957" t="s">
        <v>1286</v>
      </c>
      <c r="B957" s="1">
        <v>46139</v>
      </c>
      <c r="C957" t="s">
        <v>1177</v>
      </c>
      <c r="D957" t="s">
        <v>77</v>
      </c>
      <c r="E957" t="s">
        <v>74</v>
      </c>
      <c r="F957">
        <v>10</v>
      </c>
      <c r="G957" s="2">
        <v>2400</v>
      </c>
      <c r="H957" s="3">
        <v>0</v>
      </c>
      <c r="I957" t="s">
        <v>17</v>
      </c>
      <c r="J957" t="s">
        <v>31</v>
      </c>
      <c r="K957" t="s">
        <v>55</v>
      </c>
      <c r="L957" s="2">
        <v>24000</v>
      </c>
      <c r="M957" t="s">
        <v>32</v>
      </c>
    </row>
    <row r="958" spans="1:13" x14ac:dyDescent="0.3">
      <c r="A958" t="s">
        <v>1287</v>
      </c>
      <c r="B958" s="1">
        <v>46028</v>
      </c>
      <c r="C958" t="s">
        <v>747</v>
      </c>
      <c r="D958" t="s">
        <v>15</v>
      </c>
      <c r="E958" t="s">
        <v>16</v>
      </c>
      <c r="F958">
        <v>4</v>
      </c>
      <c r="G958" s="2">
        <v>650</v>
      </c>
      <c r="H958" s="3">
        <v>0.2</v>
      </c>
      <c r="I958" t="s">
        <v>80</v>
      </c>
      <c r="J958" t="s">
        <v>31</v>
      </c>
      <c r="K958" t="s">
        <v>67</v>
      </c>
      <c r="L958" s="2">
        <v>2080</v>
      </c>
      <c r="M958" t="s">
        <v>59</v>
      </c>
    </row>
    <row r="959" spans="1:13" x14ac:dyDescent="0.3">
      <c r="A959" t="s">
        <v>1288</v>
      </c>
      <c r="B959" s="1">
        <v>46183</v>
      </c>
      <c r="C959" t="s">
        <v>659</v>
      </c>
      <c r="D959" t="s">
        <v>40</v>
      </c>
      <c r="E959" t="s">
        <v>16</v>
      </c>
      <c r="F959">
        <v>4</v>
      </c>
      <c r="G959" s="2">
        <v>617.5</v>
      </c>
      <c r="H959" s="3">
        <v>0</v>
      </c>
      <c r="I959" t="s">
        <v>80</v>
      </c>
      <c r="J959" t="s">
        <v>31</v>
      </c>
      <c r="K959" t="s">
        <v>41</v>
      </c>
      <c r="L959" s="2">
        <v>2470</v>
      </c>
      <c r="M959" t="s">
        <v>59</v>
      </c>
    </row>
    <row r="960" spans="1:13" x14ac:dyDescent="0.3">
      <c r="A960" t="s">
        <v>1289</v>
      </c>
      <c r="B960" s="1">
        <v>46145</v>
      </c>
      <c r="C960" t="s">
        <v>101</v>
      </c>
      <c r="D960" t="s">
        <v>29</v>
      </c>
      <c r="E960" t="s">
        <v>183</v>
      </c>
      <c r="F960">
        <v>5</v>
      </c>
      <c r="G960" s="2">
        <v>3360</v>
      </c>
      <c r="H960" s="3">
        <v>0</v>
      </c>
      <c r="I960" t="s">
        <v>17</v>
      </c>
      <c r="J960" t="s">
        <v>71</v>
      </c>
      <c r="K960" t="s">
        <v>19</v>
      </c>
      <c r="L960" s="2">
        <v>16800</v>
      </c>
      <c r="M960" t="s">
        <v>82</v>
      </c>
    </row>
    <row r="961" spans="1:13" x14ac:dyDescent="0.3">
      <c r="A961" t="s">
        <v>1290</v>
      </c>
      <c r="B961" s="1">
        <v>46200</v>
      </c>
      <c r="C961" t="s">
        <v>246</v>
      </c>
      <c r="D961" t="s">
        <v>45</v>
      </c>
      <c r="E961" t="s">
        <v>74</v>
      </c>
      <c r="F961">
        <v>2</v>
      </c>
      <c r="G961" s="2">
        <v>2280</v>
      </c>
      <c r="H961" s="3">
        <v>0</v>
      </c>
      <c r="I961" t="s">
        <v>17</v>
      </c>
      <c r="J961" t="s">
        <v>31</v>
      </c>
      <c r="K961" t="s">
        <v>25</v>
      </c>
      <c r="L961" s="2">
        <v>4560</v>
      </c>
      <c r="M961" t="s">
        <v>32</v>
      </c>
    </row>
    <row r="962" spans="1:13" x14ac:dyDescent="0.3">
      <c r="A962" t="s">
        <v>1291</v>
      </c>
      <c r="B962" s="1">
        <v>46059</v>
      </c>
      <c r="C962" t="s">
        <v>248</v>
      </c>
      <c r="D962" t="s">
        <v>168</v>
      </c>
      <c r="E962" t="s">
        <v>24</v>
      </c>
      <c r="F962">
        <v>1</v>
      </c>
      <c r="G962" s="2">
        <v>11200</v>
      </c>
      <c r="H962" s="3">
        <v>0.1</v>
      </c>
      <c r="I962" t="s">
        <v>17</v>
      </c>
      <c r="J962" t="s">
        <v>71</v>
      </c>
      <c r="K962" t="s">
        <v>55</v>
      </c>
      <c r="L962" s="2">
        <v>10080</v>
      </c>
      <c r="M962" t="s">
        <v>42</v>
      </c>
    </row>
    <row r="963" spans="1:13" x14ac:dyDescent="0.3">
      <c r="A963" t="s">
        <v>1292</v>
      </c>
      <c r="B963" s="1">
        <v>46148</v>
      </c>
      <c r="C963" t="s">
        <v>440</v>
      </c>
      <c r="D963" t="s">
        <v>50</v>
      </c>
      <c r="E963" t="s">
        <v>63</v>
      </c>
      <c r="F963">
        <v>1</v>
      </c>
      <c r="G963" s="2">
        <v>2200</v>
      </c>
      <c r="H963" s="3">
        <v>0.05</v>
      </c>
      <c r="I963" t="s">
        <v>17</v>
      </c>
      <c r="J963" t="s">
        <v>47</v>
      </c>
      <c r="K963" t="s">
        <v>19</v>
      </c>
      <c r="L963" s="2">
        <v>2090</v>
      </c>
      <c r="M963" t="s">
        <v>20</v>
      </c>
    </row>
    <row r="964" spans="1:13" x14ac:dyDescent="0.3">
      <c r="A964" t="s">
        <v>1293</v>
      </c>
      <c r="B964" s="1">
        <v>46177</v>
      </c>
      <c r="C964" t="s">
        <v>709</v>
      </c>
      <c r="D964" t="s">
        <v>50</v>
      </c>
      <c r="E964" t="s">
        <v>30</v>
      </c>
      <c r="F964">
        <v>2</v>
      </c>
      <c r="G964" s="2">
        <v>1890</v>
      </c>
      <c r="H964" s="3">
        <v>0.05</v>
      </c>
      <c r="I964" t="s">
        <v>17</v>
      </c>
      <c r="J964" t="s">
        <v>47</v>
      </c>
      <c r="K964" t="s">
        <v>25</v>
      </c>
      <c r="L964" s="2">
        <v>3591</v>
      </c>
      <c r="M964" t="s">
        <v>26</v>
      </c>
    </row>
    <row r="965" spans="1:13" x14ac:dyDescent="0.3">
      <c r="A965" t="s">
        <v>1294</v>
      </c>
      <c r="B965" s="1">
        <v>46112</v>
      </c>
      <c r="C965" t="s">
        <v>430</v>
      </c>
      <c r="D965" t="s">
        <v>77</v>
      </c>
      <c r="E965" t="s">
        <v>63</v>
      </c>
      <c r="F965">
        <v>1</v>
      </c>
      <c r="G965" s="2">
        <v>2200</v>
      </c>
      <c r="H965" s="3">
        <v>0.1</v>
      </c>
      <c r="I965" t="s">
        <v>17</v>
      </c>
      <c r="J965" t="s">
        <v>31</v>
      </c>
      <c r="K965" t="s">
        <v>41</v>
      </c>
      <c r="L965" s="2">
        <v>1980</v>
      </c>
      <c r="M965" t="s">
        <v>59</v>
      </c>
    </row>
    <row r="966" spans="1:13" x14ac:dyDescent="0.3">
      <c r="A966" t="s">
        <v>1295</v>
      </c>
      <c r="B966" s="1">
        <v>46104</v>
      </c>
      <c r="C966" t="s">
        <v>1147</v>
      </c>
      <c r="D966" t="s">
        <v>50</v>
      </c>
      <c r="E966" t="s">
        <v>161</v>
      </c>
      <c r="F966">
        <v>2</v>
      </c>
      <c r="G966" s="2">
        <v>2470</v>
      </c>
      <c r="H966" s="3">
        <v>0.1</v>
      </c>
      <c r="I966" t="s">
        <v>17</v>
      </c>
      <c r="J966" t="s">
        <v>47</v>
      </c>
      <c r="K966" t="s">
        <v>41</v>
      </c>
      <c r="L966" s="2">
        <v>4446</v>
      </c>
      <c r="M966" t="s">
        <v>42</v>
      </c>
    </row>
    <row r="967" spans="1:13" x14ac:dyDescent="0.3">
      <c r="A967" t="s">
        <v>1296</v>
      </c>
      <c r="B967" s="1">
        <v>46105</v>
      </c>
      <c r="C967" t="s">
        <v>254</v>
      </c>
      <c r="D967" t="s">
        <v>50</v>
      </c>
      <c r="E967" t="s">
        <v>30</v>
      </c>
      <c r="F967">
        <v>4</v>
      </c>
      <c r="G967" s="2">
        <v>1890</v>
      </c>
      <c r="H967" s="3">
        <v>0.05</v>
      </c>
      <c r="I967" t="s">
        <v>17</v>
      </c>
      <c r="J967" t="s">
        <v>18</v>
      </c>
      <c r="K967" t="s">
        <v>25</v>
      </c>
      <c r="L967" s="2">
        <v>7182</v>
      </c>
      <c r="M967" t="s">
        <v>138</v>
      </c>
    </row>
    <row r="968" spans="1:13" x14ac:dyDescent="0.3">
      <c r="A968" t="s">
        <v>1297</v>
      </c>
      <c r="B968" s="1">
        <v>46058</v>
      </c>
      <c r="C968" t="s">
        <v>851</v>
      </c>
      <c r="D968" t="s">
        <v>29</v>
      </c>
      <c r="E968" t="s">
        <v>74</v>
      </c>
      <c r="F968">
        <v>8</v>
      </c>
      <c r="G968" s="2">
        <v>2520</v>
      </c>
      <c r="H968" s="3">
        <v>0.1</v>
      </c>
      <c r="I968" t="s">
        <v>17</v>
      </c>
      <c r="J968" t="s">
        <v>71</v>
      </c>
      <c r="K968" t="s">
        <v>55</v>
      </c>
      <c r="L968" s="2">
        <v>18144</v>
      </c>
      <c r="M968" t="s">
        <v>42</v>
      </c>
    </row>
    <row r="969" spans="1:13" x14ac:dyDescent="0.3">
      <c r="A969" t="s">
        <v>1298</v>
      </c>
      <c r="B969" s="1">
        <v>46171</v>
      </c>
      <c r="C969" t="s">
        <v>14</v>
      </c>
      <c r="D969" t="s">
        <v>123</v>
      </c>
      <c r="E969" t="s">
        <v>161</v>
      </c>
      <c r="F969">
        <v>2</v>
      </c>
      <c r="G969" s="2">
        <v>2600</v>
      </c>
      <c r="H969" s="3">
        <v>0.2</v>
      </c>
      <c r="I969" t="s">
        <v>17</v>
      </c>
      <c r="J969" t="s">
        <v>71</v>
      </c>
      <c r="K969" t="s">
        <v>67</v>
      </c>
      <c r="L969" s="2">
        <v>4160</v>
      </c>
      <c r="M969" t="s">
        <v>20</v>
      </c>
    </row>
    <row r="970" spans="1:13" x14ac:dyDescent="0.3">
      <c r="A970" t="s">
        <v>1299</v>
      </c>
      <c r="B970" s="1">
        <v>46075</v>
      </c>
      <c r="C970" t="s">
        <v>99</v>
      </c>
      <c r="D970" t="s">
        <v>90</v>
      </c>
      <c r="E970" t="s">
        <v>16</v>
      </c>
      <c r="F970">
        <v>2</v>
      </c>
      <c r="G970" s="2">
        <v>617.5</v>
      </c>
      <c r="H970" s="3">
        <v>0.1</v>
      </c>
      <c r="I970" t="s">
        <v>80</v>
      </c>
      <c r="J970" t="s">
        <v>47</v>
      </c>
      <c r="K970" t="s">
        <v>67</v>
      </c>
      <c r="L970" s="2">
        <v>1111.5</v>
      </c>
      <c r="M970" t="s">
        <v>59</v>
      </c>
    </row>
    <row r="971" spans="1:13" x14ac:dyDescent="0.3">
      <c r="A971" t="s">
        <v>1300</v>
      </c>
      <c r="B971" s="1">
        <v>46098</v>
      </c>
      <c r="C971" t="s">
        <v>414</v>
      </c>
      <c r="D971" t="s">
        <v>62</v>
      </c>
      <c r="E971" t="s">
        <v>30</v>
      </c>
      <c r="F971">
        <v>4</v>
      </c>
      <c r="G971" s="2">
        <v>1890</v>
      </c>
      <c r="H971" s="3">
        <v>0.15</v>
      </c>
      <c r="I971" t="s">
        <v>116</v>
      </c>
      <c r="J971" t="s">
        <v>71</v>
      </c>
      <c r="K971" t="s">
        <v>41</v>
      </c>
      <c r="L971" s="2">
        <v>6426</v>
      </c>
      <c r="M971" t="s">
        <v>20</v>
      </c>
    </row>
    <row r="972" spans="1:13" x14ac:dyDescent="0.3">
      <c r="A972" t="s">
        <v>1301</v>
      </c>
      <c r="B972" s="1">
        <v>46058</v>
      </c>
      <c r="C972" t="s">
        <v>283</v>
      </c>
      <c r="D972" t="s">
        <v>15</v>
      </c>
      <c r="E972" t="s">
        <v>85</v>
      </c>
      <c r="F972">
        <v>3</v>
      </c>
      <c r="G972" s="2">
        <v>50925</v>
      </c>
      <c r="H972" s="3">
        <v>0.1</v>
      </c>
      <c r="I972" t="s">
        <v>17</v>
      </c>
      <c r="J972" t="s">
        <v>31</v>
      </c>
      <c r="K972" t="s">
        <v>19</v>
      </c>
      <c r="L972" s="2">
        <v>137497.5</v>
      </c>
      <c r="M972" t="s">
        <v>48</v>
      </c>
    </row>
    <row r="973" spans="1:13" x14ac:dyDescent="0.3">
      <c r="A973" t="s">
        <v>1302</v>
      </c>
      <c r="B973" s="1">
        <v>46041</v>
      </c>
      <c r="C973" t="s">
        <v>76</v>
      </c>
      <c r="D973" t="s">
        <v>62</v>
      </c>
      <c r="E973" t="s">
        <v>183</v>
      </c>
      <c r="F973">
        <v>5</v>
      </c>
      <c r="G973" s="2">
        <v>3200</v>
      </c>
      <c r="H973" s="3">
        <v>0</v>
      </c>
      <c r="I973" t="s">
        <v>17</v>
      </c>
      <c r="J973" t="s">
        <v>71</v>
      </c>
      <c r="K973" t="s">
        <v>19</v>
      </c>
      <c r="L973" s="2">
        <v>16000</v>
      </c>
      <c r="M973" t="s">
        <v>20</v>
      </c>
    </row>
    <row r="974" spans="1:13" x14ac:dyDescent="0.3">
      <c r="A974" t="s">
        <v>1303</v>
      </c>
      <c r="B974" s="1">
        <v>46168</v>
      </c>
      <c r="C974" t="s">
        <v>115</v>
      </c>
      <c r="D974" t="s">
        <v>90</v>
      </c>
      <c r="E974" t="s">
        <v>161</v>
      </c>
      <c r="F974">
        <v>1</v>
      </c>
      <c r="G974" s="2">
        <v>2600</v>
      </c>
      <c r="H974" s="3">
        <v>0</v>
      </c>
      <c r="I974" t="s">
        <v>17</v>
      </c>
      <c r="J974" t="s">
        <v>18</v>
      </c>
      <c r="K974" t="s">
        <v>55</v>
      </c>
      <c r="L974" s="2">
        <v>2600</v>
      </c>
      <c r="M974" t="s">
        <v>138</v>
      </c>
    </row>
    <row r="975" spans="1:13" x14ac:dyDescent="0.3">
      <c r="A975" t="s">
        <v>1304</v>
      </c>
      <c r="B975" s="1">
        <v>46136</v>
      </c>
      <c r="C975" t="s">
        <v>444</v>
      </c>
      <c r="D975" t="s">
        <v>29</v>
      </c>
      <c r="E975" t="s">
        <v>74</v>
      </c>
      <c r="F975">
        <v>3</v>
      </c>
      <c r="G975" s="2">
        <v>2280</v>
      </c>
      <c r="H975" s="3">
        <v>0.05</v>
      </c>
      <c r="I975" t="s">
        <v>17</v>
      </c>
      <c r="J975" t="s">
        <v>71</v>
      </c>
      <c r="K975" t="s">
        <v>25</v>
      </c>
      <c r="L975" s="2">
        <v>6498</v>
      </c>
      <c r="M975" t="s">
        <v>59</v>
      </c>
    </row>
    <row r="976" spans="1:13" x14ac:dyDescent="0.3">
      <c r="A976" t="s">
        <v>1305</v>
      </c>
      <c r="B976" s="1">
        <v>46025</v>
      </c>
      <c r="C976" t="s">
        <v>69</v>
      </c>
      <c r="D976" t="s">
        <v>70</v>
      </c>
      <c r="E976" t="s">
        <v>161</v>
      </c>
      <c r="F976">
        <v>3</v>
      </c>
      <c r="G976" s="2">
        <v>2600</v>
      </c>
      <c r="H976" s="3">
        <v>0.1</v>
      </c>
      <c r="I976" t="s">
        <v>17</v>
      </c>
      <c r="J976" t="s">
        <v>47</v>
      </c>
      <c r="K976" t="s">
        <v>41</v>
      </c>
      <c r="L976" s="2">
        <v>7020</v>
      </c>
      <c r="M976" t="s">
        <v>32</v>
      </c>
    </row>
    <row r="977" spans="1:13" x14ac:dyDescent="0.3">
      <c r="A977" t="s">
        <v>1306</v>
      </c>
      <c r="B977" s="1">
        <v>46063</v>
      </c>
      <c r="C977" t="s">
        <v>720</v>
      </c>
      <c r="D977" t="s">
        <v>45</v>
      </c>
      <c r="E977" t="s">
        <v>63</v>
      </c>
      <c r="F977">
        <v>2</v>
      </c>
      <c r="G977" s="2">
        <v>2310</v>
      </c>
      <c r="H977" s="3">
        <v>0</v>
      </c>
      <c r="I977" t="s">
        <v>17</v>
      </c>
      <c r="J977" t="s">
        <v>71</v>
      </c>
      <c r="K977" t="s">
        <v>55</v>
      </c>
      <c r="L977" s="2">
        <v>4620</v>
      </c>
      <c r="M977" t="s">
        <v>59</v>
      </c>
    </row>
    <row r="978" spans="1:13" x14ac:dyDescent="0.3">
      <c r="A978" t="s">
        <v>1307</v>
      </c>
      <c r="B978" s="1">
        <v>46166</v>
      </c>
      <c r="C978" t="s">
        <v>202</v>
      </c>
      <c r="D978" t="s">
        <v>40</v>
      </c>
      <c r="E978" t="s">
        <v>63</v>
      </c>
      <c r="F978">
        <v>4</v>
      </c>
      <c r="G978" s="2">
        <v>2310</v>
      </c>
      <c r="H978" s="3">
        <v>0.1</v>
      </c>
      <c r="I978" t="s">
        <v>17</v>
      </c>
      <c r="J978" t="s">
        <v>71</v>
      </c>
      <c r="K978" t="s">
        <v>19</v>
      </c>
      <c r="L978" s="2">
        <v>8316</v>
      </c>
      <c r="M978" t="s">
        <v>138</v>
      </c>
    </row>
    <row r="979" spans="1:13" x14ac:dyDescent="0.3">
      <c r="A979" t="s">
        <v>1308</v>
      </c>
      <c r="B979" s="1">
        <v>46188</v>
      </c>
      <c r="C979" t="s">
        <v>378</v>
      </c>
      <c r="D979" t="s">
        <v>70</v>
      </c>
      <c r="E979" t="s">
        <v>24</v>
      </c>
      <c r="F979">
        <v>1</v>
      </c>
      <c r="G979" s="2">
        <v>11200</v>
      </c>
      <c r="H979" s="3">
        <v>0</v>
      </c>
      <c r="I979" t="s">
        <v>17</v>
      </c>
      <c r="J979" t="s">
        <v>71</v>
      </c>
      <c r="K979" t="s">
        <v>67</v>
      </c>
      <c r="L979" s="2">
        <v>11200</v>
      </c>
      <c r="M979" t="s">
        <v>59</v>
      </c>
    </row>
    <row r="980" spans="1:13" x14ac:dyDescent="0.3">
      <c r="A980" t="s">
        <v>1309</v>
      </c>
      <c r="B980" s="1">
        <v>46161</v>
      </c>
      <c r="C980" t="s">
        <v>628</v>
      </c>
      <c r="D980" t="s">
        <v>15</v>
      </c>
      <c r="E980" t="s">
        <v>63</v>
      </c>
      <c r="F980">
        <v>1</v>
      </c>
      <c r="G980" s="2">
        <v>2200</v>
      </c>
      <c r="H980" s="3">
        <v>0</v>
      </c>
      <c r="I980" t="s">
        <v>17</v>
      </c>
      <c r="J980" t="s">
        <v>71</v>
      </c>
      <c r="K980" t="s">
        <v>19</v>
      </c>
      <c r="L980" s="2">
        <v>2200</v>
      </c>
      <c r="M980" t="s">
        <v>52</v>
      </c>
    </row>
    <row r="981" spans="1:13" x14ac:dyDescent="0.3">
      <c r="A981" t="s">
        <v>1310</v>
      </c>
      <c r="B981" s="1">
        <v>46091</v>
      </c>
      <c r="C981" t="s">
        <v>239</v>
      </c>
      <c r="D981" t="s">
        <v>15</v>
      </c>
      <c r="E981" t="s">
        <v>183</v>
      </c>
      <c r="F981">
        <v>3</v>
      </c>
      <c r="G981" s="2">
        <v>3360</v>
      </c>
      <c r="H981" s="3">
        <v>0.15</v>
      </c>
      <c r="I981" t="s">
        <v>116</v>
      </c>
      <c r="J981" t="s">
        <v>31</v>
      </c>
      <c r="K981" t="s">
        <v>67</v>
      </c>
      <c r="L981" s="2">
        <v>8568</v>
      </c>
      <c r="M981" t="s">
        <v>42</v>
      </c>
    </row>
    <row r="982" spans="1:13" x14ac:dyDescent="0.3">
      <c r="A982" t="s">
        <v>1311</v>
      </c>
      <c r="B982" s="1">
        <v>46102</v>
      </c>
      <c r="C982" t="s">
        <v>1312</v>
      </c>
      <c r="D982" t="s">
        <v>168</v>
      </c>
      <c r="E982" t="s">
        <v>36</v>
      </c>
      <c r="F982">
        <v>4</v>
      </c>
      <c r="G982" s="2">
        <v>1400</v>
      </c>
      <c r="H982" s="3">
        <v>0.1</v>
      </c>
      <c r="I982" t="s">
        <v>17</v>
      </c>
      <c r="J982" t="s">
        <v>47</v>
      </c>
      <c r="K982" t="s">
        <v>41</v>
      </c>
      <c r="L982" s="2">
        <v>5040</v>
      </c>
      <c r="M982" t="s">
        <v>42</v>
      </c>
    </row>
    <row r="983" spans="1:13" x14ac:dyDescent="0.3">
      <c r="A983" t="s">
        <v>1313</v>
      </c>
      <c r="B983" s="1">
        <v>46107</v>
      </c>
      <c r="C983" t="s">
        <v>922</v>
      </c>
      <c r="D983" t="s">
        <v>70</v>
      </c>
      <c r="E983" t="s">
        <v>85</v>
      </c>
      <c r="F983">
        <v>2</v>
      </c>
      <c r="G983" s="2">
        <v>48500</v>
      </c>
      <c r="H983" s="3">
        <v>0.15</v>
      </c>
      <c r="I983" t="s">
        <v>17</v>
      </c>
      <c r="J983" t="s">
        <v>18</v>
      </c>
      <c r="K983" t="s">
        <v>55</v>
      </c>
      <c r="L983" s="2">
        <v>82450</v>
      </c>
      <c r="M983" t="s">
        <v>48</v>
      </c>
    </row>
    <row r="984" spans="1:13" x14ac:dyDescent="0.3">
      <c r="A984" t="s">
        <v>1314</v>
      </c>
      <c r="B984" s="1">
        <v>46032</v>
      </c>
      <c r="C984" t="s">
        <v>158</v>
      </c>
      <c r="D984" t="s">
        <v>45</v>
      </c>
      <c r="E984" t="s">
        <v>30</v>
      </c>
      <c r="F984">
        <v>1</v>
      </c>
      <c r="G984" s="2">
        <v>1710</v>
      </c>
      <c r="H984" s="3">
        <v>0.1</v>
      </c>
      <c r="I984" t="s">
        <v>17</v>
      </c>
      <c r="J984" t="s">
        <v>71</v>
      </c>
      <c r="K984" t="s">
        <v>41</v>
      </c>
      <c r="L984" s="2">
        <v>1539</v>
      </c>
      <c r="M984" t="s">
        <v>59</v>
      </c>
    </row>
    <row r="985" spans="1:13" x14ac:dyDescent="0.3">
      <c r="A985" t="s">
        <v>1315</v>
      </c>
      <c r="B985" s="1">
        <v>46151</v>
      </c>
      <c r="C985" t="s">
        <v>188</v>
      </c>
      <c r="D985" t="s">
        <v>152</v>
      </c>
      <c r="E985" t="s">
        <v>85</v>
      </c>
      <c r="F985">
        <v>3</v>
      </c>
      <c r="G985" s="2">
        <v>48500</v>
      </c>
      <c r="H985" s="3">
        <v>0.15</v>
      </c>
      <c r="I985" t="s">
        <v>80</v>
      </c>
      <c r="J985" t="s">
        <v>71</v>
      </c>
      <c r="K985" t="s">
        <v>67</v>
      </c>
      <c r="L985" s="2">
        <v>123675</v>
      </c>
      <c r="M985" t="s">
        <v>26</v>
      </c>
    </row>
    <row r="986" spans="1:13" x14ac:dyDescent="0.3">
      <c r="A986" t="s">
        <v>1316</v>
      </c>
      <c r="B986" s="1">
        <v>46115</v>
      </c>
      <c r="C986" t="s">
        <v>156</v>
      </c>
      <c r="D986" t="s">
        <v>40</v>
      </c>
      <c r="E986" t="s">
        <v>161</v>
      </c>
      <c r="F986">
        <v>1</v>
      </c>
      <c r="G986" s="2">
        <v>2730</v>
      </c>
      <c r="H986" s="3">
        <v>0.2</v>
      </c>
      <c r="I986" t="s">
        <v>17</v>
      </c>
      <c r="J986" t="s">
        <v>71</v>
      </c>
      <c r="K986" t="s">
        <v>25</v>
      </c>
      <c r="L986" s="2">
        <v>2184</v>
      </c>
      <c r="M986" t="s">
        <v>48</v>
      </c>
    </row>
    <row r="987" spans="1:13" x14ac:dyDescent="0.3">
      <c r="A987" t="s">
        <v>1317</v>
      </c>
      <c r="B987" s="1">
        <v>46042</v>
      </c>
      <c r="C987" t="s">
        <v>475</v>
      </c>
      <c r="D987" t="s">
        <v>50</v>
      </c>
      <c r="E987" t="s">
        <v>183</v>
      </c>
      <c r="F987">
        <v>3</v>
      </c>
      <c r="G987" s="2">
        <v>3040</v>
      </c>
      <c r="H987" s="3">
        <v>0.1</v>
      </c>
      <c r="I987" t="s">
        <v>17</v>
      </c>
      <c r="J987" t="s">
        <v>47</v>
      </c>
      <c r="K987" t="s">
        <v>25</v>
      </c>
      <c r="L987" s="2">
        <v>8208</v>
      </c>
      <c r="M987" t="s">
        <v>42</v>
      </c>
    </row>
    <row r="988" spans="1:13" x14ac:dyDescent="0.3">
      <c r="A988" t="s">
        <v>1318</v>
      </c>
      <c r="B988" s="1">
        <v>46150</v>
      </c>
      <c r="C988" t="s">
        <v>137</v>
      </c>
      <c r="D988" t="s">
        <v>15</v>
      </c>
      <c r="E988" t="s">
        <v>46</v>
      </c>
      <c r="F988">
        <v>2</v>
      </c>
      <c r="G988" s="2">
        <v>7800</v>
      </c>
      <c r="H988" s="3">
        <v>0.05</v>
      </c>
      <c r="I988" t="s">
        <v>17</v>
      </c>
      <c r="J988" t="s">
        <v>47</v>
      </c>
      <c r="K988" t="s">
        <v>19</v>
      </c>
      <c r="L988" s="2">
        <v>14820</v>
      </c>
      <c r="M988" t="s">
        <v>42</v>
      </c>
    </row>
    <row r="989" spans="1:13" x14ac:dyDescent="0.3">
      <c r="A989" t="s">
        <v>1319</v>
      </c>
      <c r="B989" s="1">
        <v>46068</v>
      </c>
      <c r="C989" t="s">
        <v>340</v>
      </c>
      <c r="D989" t="s">
        <v>123</v>
      </c>
      <c r="E989" t="s">
        <v>46</v>
      </c>
      <c r="F989">
        <v>1</v>
      </c>
      <c r="G989" s="2">
        <v>8190</v>
      </c>
      <c r="H989" s="3">
        <v>0.1</v>
      </c>
      <c r="I989" t="s">
        <v>116</v>
      </c>
      <c r="J989" t="s">
        <v>31</v>
      </c>
      <c r="K989" t="s">
        <v>25</v>
      </c>
      <c r="L989" s="2">
        <v>7371</v>
      </c>
      <c r="M989" t="s">
        <v>56</v>
      </c>
    </row>
    <row r="990" spans="1:13" x14ac:dyDescent="0.3">
      <c r="A990" t="s">
        <v>1320</v>
      </c>
      <c r="B990" s="1">
        <v>46033</v>
      </c>
      <c r="C990" t="s">
        <v>491</v>
      </c>
      <c r="D990" t="s">
        <v>35</v>
      </c>
      <c r="E990" t="s">
        <v>135</v>
      </c>
      <c r="F990">
        <v>2</v>
      </c>
      <c r="G990" s="2">
        <v>16800</v>
      </c>
      <c r="H990" s="3">
        <v>0.15</v>
      </c>
      <c r="I990" t="s">
        <v>80</v>
      </c>
      <c r="J990" t="s">
        <v>47</v>
      </c>
      <c r="K990" t="s">
        <v>25</v>
      </c>
      <c r="L990" s="2">
        <v>28560</v>
      </c>
      <c r="M990" t="s">
        <v>48</v>
      </c>
    </row>
    <row r="991" spans="1:13" x14ac:dyDescent="0.3">
      <c r="A991" t="s">
        <v>1321</v>
      </c>
      <c r="B991" s="1">
        <v>46103</v>
      </c>
      <c r="C991" t="s">
        <v>857</v>
      </c>
      <c r="D991" t="s">
        <v>35</v>
      </c>
      <c r="E991" t="s">
        <v>63</v>
      </c>
      <c r="F991">
        <v>3</v>
      </c>
      <c r="G991" s="2">
        <v>2090</v>
      </c>
      <c r="H991" s="3">
        <v>0.15</v>
      </c>
      <c r="I991" t="s">
        <v>17</v>
      </c>
      <c r="J991" t="s">
        <v>71</v>
      </c>
      <c r="K991" t="s">
        <v>25</v>
      </c>
      <c r="L991" s="2">
        <v>5329.5</v>
      </c>
      <c r="M991" t="s">
        <v>20</v>
      </c>
    </row>
    <row r="992" spans="1:13" x14ac:dyDescent="0.3">
      <c r="A992" t="s">
        <v>1322</v>
      </c>
      <c r="B992" s="1">
        <v>46062</v>
      </c>
      <c r="C992" t="s">
        <v>338</v>
      </c>
      <c r="D992" t="s">
        <v>90</v>
      </c>
      <c r="E992" t="s">
        <v>63</v>
      </c>
      <c r="F992">
        <v>1</v>
      </c>
      <c r="G992" s="2">
        <v>2090</v>
      </c>
      <c r="H992" s="3">
        <v>0</v>
      </c>
      <c r="I992" t="s">
        <v>17</v>
      </c>
      <c r="J992" t="s">
        <v>18</v>
      </c>
      <c r="K992" t="s">
        <v>55</v>
      </c>
      <c r="L992" s="2">
        <v>2090</v>
      </c>
      <c r="M992" t="s">
        <v>42</v>
      </c>
    </row>
    <row r="993" spans="1:13" x14ac:dyDescent="0.3">
      <c r="A993" t="s">
        <v>1323</v>
      </c>
      <c r="B993" s="1">
        <v>46112</v>
      </c>
      <c r="C993" t="s">
        <v>94</v>
      </c>
      <c r="D993" t="s">
        <v>62</v>
      </c>
      <c r="E993" t="s">
        <v>46</v>
      </c>
      <c r="F993">
        <v>3</v>
      </c>
      <c r="G993" s="2">
        <v>7800</v>
      </c>
      <c r="H993" s="3">
        <v>0.1</v>
      </c>
      <c r="I993" t="s">
        <v>17</v>
      </c>
      <c r="J993" t="s">
        <v>18</v>
      </c>
      <c r="K993" t="s">
        <v>55</v>
      </c>
      <c r="L993" s="2">
        <v>21060</v>
      </c>
      <c r="M993" t="s">
        <v>52</v>
      </c>
    </row>
    <row r="994" spans="1:13" x14ac:dyDescent="0.3">
      <c r="A994" t="s">
        <v>1324</v>
      </c>
      <c r="B994" s="1">
        <v>46125</v>
      </c>
      <c r="C994" t="s">
        <v>65</v>
      </c>
      <c r="D994" t="s">
        <v>35</v>
      </c>
      <c r="E994" t="s">
        <v>63</v>
      </c>
      <c r="F994">
        <v>2</v>
      </c>
      <c r="G994" s="2">
        <v>2310</v>
      </c>
      <c r="H994" s="3">
        <v>0.15</v>
      </c>
      <c r="I994" t="s">
        <v>17</v>
      </c>
      <c r="J994" t="s">
        <v>47</v>
      </c>
      <c r="K994" t="s">
        <v>55</v>
      </c>
      <c r="L994" s="2">
        <v>3927</v>
      </c>
      <c r="M994" t="s">
        <v>20</v>
      </c>
    </row>
    <row r="995" spans="1:13" x14ac:dyDescent="0.3">
      <c r="A995" t="s">
        <v>1325</v>
      </c>
      <c r="B995" s="1">
        <v>46162</v>
      </c>
      <c r="C995" t="s">
        <v>202</v>
      </c>
      <c r="D995" t="s">
        <v>50</v>
      </c>
      <c r="E995" t="s">
        <v>46</v>
      </c>
      <c r="F995">
        <v>1</v>
      </c>
      <c r="G995" s="2">
        <v>7410</v>
      </c>
      <c r="H995" s="3">
        <v>0</v>
      </c>
      <c r="I995" t="s">
        <v>17</v>
      </c>
      <c r="J995" t="s">
        <v>31</v>
      </c>
      <c r="K995" t="s">
        <v>67</v>
      </c>
      <c r="L995" s="2">
        <v>7410</v>
      </c>
      <c r="M995" t="s">
        <v>32</v>
      </c>
    </row>
    <row r="996" spans="1:13" x14ac:dyDescent="0.3">
      <c r="A996" t="s">
        <v>1326</v>
      </c>
      <c r="B996" s="1">
        <v>46144</v>
      </c>
      <c r="C996" t="s">
        <v>473</v>
      </c>
      <c r="D996" t="s">
        <v>23</v>
      </c>
      <c r="E996" t="s">
        <v>16</v>
      </c>
      <c r="F996">
        <v>1</v>
      </c>
      <c r="G996" s="2">
        <v>682.5</v>
      </c>
      <c r="H996" s="3">
        <v>0</v>
      </c>
      <c r="I996" t="s">
        <v>80</v>
      </c>
      <c r="J996" t="s">
        <v>47</v>
      </c>
      <c r="K996" t="s">
        <v>41</v>
      </c>
      <c r="L996" s="2">
        <v>682.5</v>
      </c>
      <c r="M996" t="s">
        <v>42</v>
      </c>
    </row>
    <row r="997" spans="1:13" x14ac:dyDescent="0.3">
      <c r="A997" t="s">
        <v>1327</v>
      </c>
      <c r="B997" s="1">
        <v>46059</v>
      </c>
      <c r="C997" t="s">
        <v>163</v>
      </c>
      <c r="D997" t="s">
        <v>15</v>
      </c>
      <c r="E997" t="s">
        <v>135</v>
      </c>
      <c r="F997">
        <v>2</v>
      </c>
      <c r="G997" s="2">
        <v>17640</v>
      </c>
      <c r="H997" s="3">
        <v>0.05</v>
      </c>
      <c r="I997" t="s">
        <v>66</v>
      </c>
      <c r="J997" t="s">
        <v>71</v>
      </c>
      <c r="K997" t="s">
        <v>67</v>
      </c>
      <c r="L997" s="2">
        <v>33516</v>
      </c>
      <c r="M997" t="s">
        <v>59</v>
      </c>
    </row>
    <row r="998" spans="1:13" x14ac:dyDescent="0.3">
      <c r="A998" t="s">
        <v>1328</v>
      </c>
      <c r="B998" s="1">
        <v>46036</v>
      </c>
      <c r="C998" t="s">
        <v>163</v>
      </c>
      <c r="D998" t="s">
        <v>15</v>
      </c>
      <c r="E998" t="s">
        <v>161</v>
      </c>
      <c r="F998">
        <v>2</v>
      </c>
      <c r="G998" s="2">
        <v>2600</v>
      </c>
      <c r="H998" s="3">
        <v>0.05</v>
      </c>
      <c r="I998" t="s">
        <v>17</v>
      </c>
      <c r="J998" t="s">
        <v>18</v>
      </c>
      <c r="K998" t="s">
        <v>55</v>
      </c>
      <c r="L998" s="2">
        <v>4940</v>
      </c>
      <c r="M998" t="s">
        <v>82</v>
      </c>
    </row>
    <row r="999" spans="1:13" x14ac:dyDescent="0.3">
      <c r="A999" t="s">
        <v>1329</v>
      </c>
      <c r="B999" s="1">
        <v>46199</v>
      </c>
      <c r="C999" t="s">
        <v>186</v>
      </c>
      <c r="D999" t="s">
        <v>29</v>
      </c>
      <c r="E999" t="s">
        <v>30</v>
      </c>
      <c r="F999">
        <v>8</v>
      </c>
      <c r="G999" s="2">
        <v>1890</v>
      </c>
      <c r="H999" s="3">
        <v>0.1</v>
      </c>
      <c r="I999" t="s">
        <v>17</v>
      </c>
      <c r="J999" t="s">
        <v>71</v>
      </c>
      <c r="K999" t="s">
        <v>19</v>
      </c>
      <c r="L999" s="2">
        <v>13608</v>
      </c>
      <c r="M999" t="s">
        <v>48</v>
      </c>
    </row>
    <row r="1000" spans="1:13" x14ac:dyDescent="0.3">
      <c r="A1000" t="s">
        <v>1330</v>
      </c>
      <c r="B1000" s="1">
        <v>46180</v>
      </c>
      <c r="C1000" t="s">
        <v>234</v>
      </c>
      <c r="D1000" t="s">
        <v>50</v>
      </c>
      <c r="E1000" t="s">
        <v>36</v>
      </c>
      <c r="F1000">
        <v>3</v>
      </c>
      <c r="G1000" s="2">
        <v>1400</v>
      </c>
      <c r="H1000" s="3">
        <v>0.2</v>
      </c>
      <c r="I1000" t="s">
        <v>17</v>
      </c>
      <c r="J1000" t="s">
        <v>71</v>
      </c>
      <c r="K1000" t="s">
        <v>55</v>
      </c>
      <c r="L1000" s="2">
        <v>3360</v>
      </c>
      <c r="M1000" t="s">
        <v>59</v>
      </c>
    </row>
    <row r="1001" spans="1:13" x14ac:dyDescent="0.3">
      <c r="A1001" t="s">
        <v>1331</v>
      </c>
      <c r="B1001" s="1">
        <v>46150</v>
      </c>
      <c r="C1001" t="s">
        <v>336</v>
      </c>
      <c r="D1001" t="s">
        <v>90</v>
      </c>
      <c r="E1001" t="s">
        <v>36</v>
      </c>
      <c r="F1001">
        <v>1</v>
      </c>
      <c r="G1001" s="2">
        <v>1330</v>
      </c>
      <c r="H1001" s="3">
        <v>0.2</v>
      </c>
      <c r="I1001" t="s">
        <v>17</v>
      </c>
      <c r="J1001" t="s">
        <v>71</v>
      </c>
      <c r="K1001" t="s">
        <v>55</v>
      </c>
      <c r="L1001" s="2">
        <v>1064</v>
      </c>
      <c r="M1001" t="s">
        <v>48</v>
      </c>
    </row>
    <row r="1002" spans="1:13" x14ac:dyDescent="0.3">
      <c r="A1002" t="s">
        <v>1332</v>
      </c>
      <c r="B1002" s="1">
        <v>46047</v>
      </c>
      <c r="C1002" t="s">
        <v>34</v>
      </c>
      <c r="D1002" t="s">
        <v>168</v>
      </c>
      <c r="E1002" t="s">
        <v>24</v>
      </c>
      <c r="F1002">
        <v>4</v>
      </c>
      <c r="G1002" s="2">
        <v>11200</v>
      </c>
      <c r="H1002" s="3">
        <v>0</v>
      </c>
      <c r="I1002" t="s">
        <v>752</v>
      </c>
      <c r="J1002" t="s">
        <v>71</v>
      </c>
      <c r="K1002" t="s">
        <v>67</v>
      </c>
      <c r="L1002" s="2">
        <v>44800</v>
      </c>
      <c r="M1002" t="s">
        <v>52</v>
      </c>
    </row>
    <row r="1003" spans="1:13" x14ac:dyDescent="0.3">
      <c r="A1003" t="s">
        <v>1333</v>
      </c>
      <c r="B1003" s="1">
        <v>46071</v>
      </c>
      <c r="C1003" t="s">
        <v>142</v>
      </c>
      <c r="D1003" t="s">
        <v>95</v>
      </c>
      <c r="E1003" t="s">
        <v>183</v>
      </c>
      <c r="F1003">
        <v>8</v>
      </c>
      <c r="G1003" s="2">
        <v>3040</v>
      </c>
      <c r="H1003" s="3">
        <v>0.05</v>
      </c>
      <c r="I1003" t="s">
        <v>17</v>
      </c>
      <c r="J1003" t="s">
        <v>47</v>
      </c>
      <c r="K1003" t="s">
        <v>25</v>
      </c>
      <c r="L1003" s="2">
        <v>23104</v>
      </c>
      <c r="M1003" t="s">
        <v>42</v>
      </c>
    </row>
    <row r="1004" spans="1:13" x14ac:dyDescent="0.3">
      <c r="A1004" t="s">
        <v>1334</v>
      </c>
      <c r="B1004" s="1">
        <v>46202</v>
      </c>
      <c r="C1004" t="s">
        <v>1147</v>
      </c>
      <c r="D1004" t="s">
        <v>62</v>
      </c>
      <c r="E1004" t="s">
        <v>74</v>
      </c>
      <c r="F1004">
        <v>10</v>
      </c>
      <c r="G1004" s="2">
        <v>2400</v>
      </c>
      <c r="H1004" s="3">
        <v>0.1</v>
      </c>
      <c r="I1004" t="s">
        <v>17</v>
      </c>
      <c r="J1004" t="s">
        <v>47</v>
      </c>
      <c r="K1004" t="s">
        <v>81</v>
      </c>
      <c r="L1004" s="2">
        <v>21600</v>
      </c>
      <c r="M1004" t="s">
        <v>59</v>
      </c>
    </row>
    <row r="1005" spans="1:13" x14ac:dyDescent="0.3">
      <c r="A1005" t="s">
        <v>1335</v>
      </c>
      <c r="B1005" s="1">
        <v>46140</v>
      </c>
      <c r="C1005" t="s">
        <v>258</v>
      </c>
      <c r="D1005" t="s">
        <v>70</v>
      </c>
      <c r="E1005" t="s">
        <v>36</v>
      </c>
      <c r="F1005">
        <v>1</v>
      </c>
      <c r="G1005" s="2">
        <v>1470</v>
      </c>
      <c r="H1005" s="3">
        <v>0.15</v>
      </c>
      <c r="I1005" t="s">
        <v>17</v>
      </c>
      <c r="J1005" t="s">
        <v>47</v>
      </c>
      <c r="K1005" t="s">
        <v>55</v>
      </c>
      <c r="L1005" s="2">
        <v>1249.5</v>
      </c>
      <c r="M1005" t="s">
        <v>26</v>
      </c>
    </row>
    <row r="1006" spans="1:13" x14ac:dyDescent="0.3">
      <c r="A1006" t="s">
        <v>1336</v>
      </c>
      <c r="B1006" s="1">
        <v>46202</v>
      </c>
      <c r="C1006" t="s">
        <v>328</v>
      </c>
      <c r="D1006" t="s">
        <v>40</v>
      </c>
      <c r="E1006" t="s">
        <v>63</v>
      </c>
      <c r="F1006">
        <v>10</v>
      </c>
      <c r="G1006" s="2">
        <v>2090</v>
      </c>
      <c r="H1006" s="3">
        <v>0</v>
      </c>
      <c r="I1006" t="s">
        <v>17</v>
      </c>
      <c r="J1006" t="s">
        <v>31</v>
      </c>
      <c r="K1006" t="s">
        <v>55</v>
      </c>
      <c r="L1006" s="2">
        <v>20900</v>
      </c>
      <c r="M1006" t="s">
        <v>48</v>
      </c>
    </row>
    <row r="1007" spans="1:13" x14ac:dyDescent="0.3">
      <c r="A1007" t="s">
        <v>1337</v>
      </c>
      <c r="B1007" s="1">
        <v>46162</v>
      </c>
      <c r="C1007" t="s">
        <v>160</v>
      </c>
      <c r="D1007" t="s">
        <v>15</v>
      </c>
      <c r="E1007" t="s">
        <v>74</v>
      </c>
      <c r="F1007">
        <v>2</v>
      </c>
      <c r="G1007" s="2">
        <v>2400</v>
      </c>
      <c r="H1007" s="3">
        <v>0.15</v>
      </c>
      <c r="I1007" t="s">
        <v>17</v>
      </c>
      <c r="J1007" t="s">
        <v>71</v>
      </c>
      <c r="K1007" t="s">
        <v>41</v>
      </c>
      <c r="L1007" s="2">
        <v>4080</v>
      </c>
      <c r="M1007" t="s">
        <v>56</v>
      </c>
    </row>
    <row r="1008" spans="1:13" x14ac:dyDescent="0.3">
      <c r="A1008" t="s">
        <v>1338</v>
      </c>
      <c r="B1008" s="1">
        <v>46164</v>
      </c>
      <c r="C1008" t="s">
        <v>442</v>
      </c>
      <c r="D1008" t="s">
        <v>70</v>
      </c>
      <c r="E1008" t="s">
        <v>63</v>
      </c>
      <c r="F1008">
        <v>1</v>
      </c>
      <c r="G1008" s="2">
        <v>2200</v>
      </c>
      <c r="H1008" s="3">
        <v>0.1</v>
      </c>
      <c r="I1008" t="s">
        <v>80</v>
      </c>
      <c r="J1008" t="s">
        <v>18</v>
      </c>
      <c r="K1008" t="s">
        <v>55</v>
      </c>
      <c r="L1008" s="2">
        <v>1980</v>
      </c>
      <c r="M1008" t="s">
        <v>20</v>
      </c>
    </row>
    <row r="1009" spans="1:13" x14ac:dyDescent="0.3">
      <c r="A1009" t="s">
        <v>1339</v>
      </c>
      <c r="B1009" s="1">
        <v>46118</v>
      </c>
      <c r="C1009" t="s">
        <v>867</v>
      </c>
      <c r="D1009" t="s">
        <v>29</v>
      </c>
      <c r="E1009" t="s">
        <v>24</v>
      </c>
      <c r="F1009">
        <v>2</v>
      </c>
      <c r="G1009" s="2">
        <v>11200</v>
      </c>
      <c r="H1009" s="3">
        <v>0.05</v>
      </c>
      <c r="I1009" t="s">
        <v>66</v>
      </c>
      <c r="J1009" t="s">
        <v>18</v>
      </c>
      <c r="K1009" t="s">
        <v>41</v>
      </c>
      <c r="L1009" s="2">
        <v>21280</v>
      </c>
      <c r="M1009" t="s">
        <v>20</v>
      </c>
    </row>
    <row r="1010" spans="1:13" x14ac:dyDescent="0.3">
      <c r="A1010" t="s">
        <v>1340</v>
      </c>
      <c r="B1010" s="1">
        <v>46129</v>
      </c>
      <c r="C1010" t="s">
        <v>811</v>
      </c>
      <c r="D1010" t="s">
        <v>168</v>
      </c>
      <c r="E1010" t="s">
        <v>16</v>
      </c>
      <c r="F1010">
        <v>1</v>
      </c>
      <c r="G1010" s="2">
        <v>650</v>
      </c>
      <c r="H1010" s="3">
        <v>0.05</v>
      </c>
      <c r="I1010" t="s">
        <v>66</v>
      </c>
      <c r="J1010" t="s">
        <v>71</v>
      </c>
      <c r="K1010" t="s">
        <v>25</v>
      </c>
      <c r="L1010" s="2">
        <v>617.5</v>
      </c>
      <c r="M1010" t="s">
        <v>32</v>
      </c>
    </row>
    <row r="1011" spans="1:13" x14ac:dyDescent="0.3">
      <c r="A1011" t="s">
        <v>1341</v>
      </c>
      <c r="B1011" s="1">
        <v>46084</v>
      </c>
      <c r="C1011" t="s">
        <v>522</v>
      </c>
      <c r="D1011" t="s">
        <v>152</v>
      </c>
      <c r="E1011" t="s">
        <v>161</v>
      </c>
      <c r="F1011">
        <v>1</v>
      </c>
      <c r="G1011" s="2">
        <v>2470</v>
      </c>
      <c r="H1011" s="3">
        <v>0.2</v>
      </c>
      <c r="I1011" t="s">
        <v>17</v>
      </c>
      <c r="J1011" t="s">
        <v>71</v>
      </c>
      <c r="K1011" t="s">
        <v>55</v>
      </c>
      <c r="L1011" s="2">
        <v>1976</v>
      </c>
      <c r="M1011" t="s">
        <v>59</v>
      </c>
    </row>
    <row r="1012" spans="1:13" x14ac:dyDescent="0.3">
      <c r="A1012" t="s">
        <v>1342</v>
      </c>
      <c r="B1012" s="1">
        <v>46126</v>
      </c>
      <c r="C1012" t="s">
        <v>317</v>
      </c>
      <c r="D1012" t="s">
        <v>77</v>
      </c>
      <c r="E1012" t="s">
        <v>36</v>
      </c>
      <c r="G1012" s="2">
        <v>1400</v>
      </c>
      <c r="H1012" s="3">
        <v>0.1</v>
      </c>
      <c r="I1012" t="s">
        <v>17</v>
      </c>
      <c r="J1012" t="s">
        <v>31</v>
      </c>
      <c r="K1012" t="s">
        <v>25</v>
      </c>
      <c r="L1012" s="2">
        <v>2520</v>
      </c>
      <c r="M1012" t="s">
        <v>32</v>
      </c>
    </row>
    <row r="1013" spans="1:13" x14ac:dyDescent="0.3">
      <c r="A1013" t="s">
        <v>1343</v>
      </c>
      <c r="B1013" s="1">
        <v>46183</v>
      </c>
      <c r="C1013" t="s">
        <v>146</v>
      </c>
      <c r="D1013" t="s">
        <v>77</v>
      </c>
      <c r="E1013" t="s">
        <v>135</v>
      </c>
      <c r="F1013">
        <v>4</v>
      </c>
      <c r="G1013" s="2">
        <v>16800</v>
      </c>
      <c r="H1013" s="3">
        <v>0</v>
      </c>
      <c r="I1013" t="s">
        <v>80</v>
      </c>
      <c r="J1013" t="s">
        <v>31</v>
      </c>
      <c r="K1013" t="s">
        <v>19</v>
      </c>
      <c r="L1013" s="2">
        <v>67200</v>
      </c>
      <c r="M1013" t="s">
        <v>32</v>
      </c>
    </row>
    <row r="1014" spans="1:13" x14ac:dyDescent="0.3">
      <c r="A1014" t="s">
        <v>1344</v>
      </c>
      <c r="B1014" s="1">
        <v>46025</v>
      </c>
      <c r="C1014" t="s">
        <v>258</v>
      </c>
      <c r="D1014" t="s">
        <v>95</v>
      </c>
      <c r="E1014" t="s">
        <v>183</v>
      </c>
      <c r="F1014">
        <v>1</v>
      </c>
      <c r="G1014" s="2">
        <v>3040</v>
      </c>
      <c r="H1014" s="3">
        <v>0.15</v>
      </c>
      <c r="I1014" t="s">
        <v>17</v>
      </c>
      <c r="J1014" t="s">
        <v>31</v>
      </c>
      <c r="K1014" t="s">
        <v>41</v>
      </c>
      <c r="L1014" s="2">
        <v>2584</v>
      </c>
      <c r="M1014" t="s">
        <v>56</v>
      </c>
    </row>
    <row r="1015" spans="1:13" x14ac:dyDescent="0.3">
      <c r="A1015" t="s">
        <v>1345</v>
      </c>
      <c r="B1015" s="1">
        <v>46185</v>
      </c>
      <c r="C1015" t="s">
        <v>391</v>
      </c>
      <c r="D1015" t="s">
        <v>95</v>
      </c>
      <c r="E1015" t="s">
        <v>36</v>
      </c>
      <c r="F1015">
        <v>1</v>
      </c>
      <c r="G1015" s="2">
        <v>1400</v>
      </c>
      <c r="H1015" s="3">
        <v>0.2</v>
      </c>
      <c r="I1015" t="s">
        <v>66</v>
      </c>
      <c r="J1015" t="s">
        <v>71</v>
      </c>
      <c r="K1015" t="s">
        <v>55</v>
      </c>
      <c r="L1015" s="2">
        <v>1120</v>
      </c>
      <c r="M1015" t="s">
        <v>26</v>
      </c>
    </row>
    <row r="1016" spans="1:13" x14ac:dyDescent="0.3">
      <c r="A1016" t="s">
        <v>1346</v>
      </c>
      <c r="B1016" s="1">
        <v>46191</v>
      </c>
      <c r="C1016" t="s">
        <v>294</v>
      </c>
      <c r="D1016" t="s">
        <v>168</v>
      </c>
      <c r="E1016" t="s">
        <v>135</v>
      </c>
      <c r="F1016">
        <v>1</v>
      </c>
      <c r="G1016" s="2">
        <v>15960</v>
      </c>
      <c r="H1016" s="3">
        <v>0</v>
      </c>
      <c r="I1016" t="s">
        <v>17</v>
      </c>
      <c r="J1016" t="s">
        <v>18</v>
      </c>
      <c r="K1016" t="s">
        <v>25</v>
      </c>
      <c r="L1016" s="2">
        <v>15960</v>
      </c>
      <c r="M1016" t="s">
        <v>42</v>
      </c>
    </row>
    <row r="1017" spans="1:13" x14ac:dyDescent="0.3">
      <c r="A1017" t="s">
        <v>1347</v>
      </c>
      <c r="B1017" s="1">
        <v>46050</v>
      </c>
      <c r="C1017" t="s">
        <v>361</v>
      </c>
      <c r="D1017" t="s">
        <v>50</v>
      </c>
      <c r="E1017" t="s">
        <v>135</v>
      </c>
      <c r="F1017">
        <v>1</v>
      </c>
      <c r="G1017" s="2">
        <v>17640</v>
      </c>
      <c r="H1017" s="3">
        <v>0</v>
      </c>
      <c r="I1017" t="s">
        <v>17</v>
      </c>
      <c r="J1017" t="s">
        <v>71</v>
      </c>
      <c r="K1017" t="s">
        <v>55</v>
      </c>
      <c r="L1017" s="2">
        <v>17640</v>
      </c>
      <c r="M1017" t="s">
        <v>42</v>
      </c>
    </row>
    <row r="1018" spans="1:13" x14ac:dyDescent="0.3">
      <c r="A1018" t="s">
        <v>1348</v>
      </c>
      <c r="B1018" s="1">
        <v>46148</v>
      </c>
      <c r="C1018" t="s">
        <v>44</v>
      </c>
      <c r="D1018" t="s">
        <v>29</v>
      </c>
      <c r="E1018" t="s">
        <v>16</v>
      </c>
      <c r="F1018">
        <v>2</v>
      </c>
      <c r="G1018" s="2">
        <v>617.5</v>
      </c>
      <c r="H1018" s="3">
        <v>0.1</v>
      </c>
      <c r="I1018" t="s">
        <v>80</v>
      </c>
      <c r="J1018" t="s">
        <v>18</v>
      </c>
      <c r="K1018" t="s">
        <v>55</v>
      </c>
      <c r="L1018" s="2">
        <v>1111.5</v>
      </c>
      <c r="M1018" t="s">
        <v>138</v>
      </c>
    </row>
    <row r="1019" spans="1:13" x14ac:dyDescent="0.3">
      <c r="A1019" t="s">
        <v>1349</v>
      </c>
      <c r="B1019" s="1">
        <v>46185</v>
      </c>
      <c r="C1019" t="s">
        <v>444</v>
      </c>
      <c r="D1019" t="s">
        <v>77</v>
      </c>
      <c r="E1019" t="s">
        <v>46</v>
      </c>
      <c r="F1019">
        <v>4</v>
      </c>
      <c r="G1019" s="2">
        <v>7800</v>
      </c>
      <c r="H1019" s="3">
        <v>0</v>
      </c>
      <c r="I1019" t="s">
        <v>17</v>
      </c>
      <c r="J1019" t="s">
        <v>31</v>
      </c>
      <c r="K1019" t="s">
        <v>67</v>
      </c>
      <c r="L1019" s="2">
        <v>31200</v>
      </c>
      <c r="M1019" t="s">
        <v>138</v>
      </c>
    </row>
    <row r="1020" spans="1:13" x14ac:dyDescent="0.3">
      <c r="A1020" t="s">
        <v>1350</v>
      </c>
      <c r="B1020" s="1">
        <v>46146</v>
      </c>
      <c r="C1020" t="s">
        <v>221</v>
      </c>
      <c r="D1020" t="s">
        <v>40</v>
      </c>
      <c r="E1020" t="s">
        <v>183</v>
      </c>
      <c r="F1020">
        <v>2</v>
      </c>
      <c r="G1020" s="2">
        <v>3200</v>
      </c>
      <c r="H1020" s="3">
        <v>0</v>
      </c>
      <c r="I1020" t="s">
        <v>17</v>
      </c>
      <c r="J1020" t="s">
        <v>71</v>
      </c>
      <c r="K1020" t="s">
        <v>25</v>
      </c>
      <c r="L1020" s="2">
        <v>6400</v>
      </c>
      <c r="M1020" t="s">
        <v>20</v>
      </c>
    </row>
    <row r="1021" spans="1:13" x14ac:dyDescent="0.3">
      <c r="A1021" t="s">
        <v>1351</v>
      </c>
      <c r="B1021" s="1">
        <v>46160</v>
      </c>
      <c r="C1021" t="s">
        <v>65</v>
      </c>
      <c r="D1021" t="s">
        <v>168</v>
      </c>
      <c r="E1021" t="s">
        <v>51</v>
      </c>
      <c r="F1021">
        <v>2</v>
      </c>
      <c r="G1021" s="2">
        <v>18500</v>
      </c>
      <c r="H1021" s="3">
        <v>0</v>
      </c>
      <c r="I1021" t="s">
        <v>17</v>
      </c>
      <c r="J1021" t="s">
        <v>71</v>
      </c>
      <c r="K1021" t="s">
        <v>19</v>
      </c>
      <c r="L1021" s="2">
        <v>37000</v>
      </c>
      <c r="M1021" t="s">
        <v>138</v>
      </c>
    </row>
    <row r="1022" spans="1:13" x14ac:dyDescent="0.3">
      <c r="A1022" t="s">
        <v>1352</v>
      </c>
      <c r="B1022" s="1">
        <v>46058</v>
      </c>
      <c r="C1022" t="s">
        <v>332</v>
      </c>
      <c r="D1022" t="s">
        <v>23</v>
      </c>
      <c r="E1022" t="s">
        <v>63</v>
      </c>
      <c r="F1022">
        <v>3</v>
      </c>
      <c r="G1022" s="2">
        <v>2310</v>
      </c>
      <c r="H1022" s="3">
        <v>0</v>
      </c>
      <c r="I1022" t="s">
        <v>17</v>
      </c>
      <c r="J1022" t="s">
        <v>31</v>
      </c>
      <c r="K1022" t="s">
        <v>67</v>
      </c>
      <c r="L1022" s="2">
        <v>6930</v>
      </c>
      <c r="M1022" t="s">
        <v>82</v>
      </c>
    </row>
    <row r="1023" spans="1:13" x14ac:dyDescent="0.3">
      <c r="A1023" t="s">
        <v>1353</v>
      </c>
      <c r="B1023" s="1">
        <v>46189</v>
      </c>
      <c r="C1023" t="s">
        <v>801</v>
      </c>
      <c r="D1023" t="s">
        <v>45</v>
      </c>
      <c r="E1023" t="s">
        <v>46</v>
      </c>
      <c r="F1023">
        <v>4</v>
      </c>
      <c r="G1023" s="2">
        <v>8190</v>
      </c>
      <c r="H1023" s="3">
        <v>0.1</v>
      </c>
      <c r="I1023" t="s">
        <v>17</v>
      </c>
      <c r="J1023" t="s">
        <v>47</v>
      </c>
      <c r="K1023" t="s">
        <v>41</v>
      </c>
      <c r="L1023" s="2">
        <v>29484</v>
      </c>
      <c r="M1023" t="s">
        <v>52</v>
      </c>
    </row>
    <row r="1024" spans="1:13" x14ac:dyDescent="0.3">
      <c r="A1024" t="s">
        <v>1354</v>
      </c>
      <c r="B1024" s="1">
        <v>46198</v>
      </c>
      <c r="C1024" t="s">
        <v>165</v>
      </c>
      <c r="D1024" t="s">
        <v>90</v>
      </c>
      <c r="E1024" t="s">
        <v>85</v>
      </c>
      <c r="F1024">
        <v>1</v>
      </c>
      <c r="G1024" s="2">
        <v>48500</v>
      </c>
      <c r="H1024" s="3">
        <v>0.1</v>
      </c>
      <c r="I1024" t="s">
        <v>17</v>
      </c>
      <c r="J1024" t="s">
        <v>71</v>
      </c>
      <c r="K1024" t="s">
        <v>55</v>
      </c>
      <c r="L1024" s="2">
        <v>43650</v>
      </c>
      <c r="M1024" t="s">
        <v>32</v>
      </c>
    </row>
    <row r="1025" spans="1:13" x14ac:dyDescent="0.3">
      <c r="A1025" t="s">
        <v>1355</v>
      </c>
      <c r="B1025" s="1">
        <v>46137</v>
      </c>
      <c r="C1025" t="s">
        <v>522</v>
      </c>
      <c r="D1025" t="s">
        <v>70</v>
      </c>
      <c r="E1025" t="s">
        <v>183</v>
      </c>
      <c r="F1025">
        <v>4</v>
      </c>
      <c r="G1025" s="2">
        <v>3360</v>
      </c>
      <c r="H1025" s="3">
        <v>0.05</v>
      </c>
      <c r="I1025" t="s">
        <v>17</v>
      </c>
      <c r="J1025" t="s">
        <v>71</v>
      </c>
      <c r="K1025" t="s">
        <v>25</v>
      </c>
      <c r="L1025" s="2">
        <v>12768</v>
      </c>
      <c r="M1025" t="s">
        <v>138</v>
      </c>
    </row>
    <row r="1026" spans="1:13" x14ac:dyDescent="0.3">
      <c r="A1026" t="s">
        <v>1356</v>
      </c>
      <c r="B1026" s="1">
        <v>46118</v>
      </c>
      <c r="C1026" t="s">
        <v>700</v>
      </c>
      <c r="D1026" t="s">
        <v>77</v>
      </c>
      <c r="E1026" t="s">
        <v>74</v>
      </c>
      <c r="F1026">
        <v>4</v>
      </c>
      <c r="G1026" s="2">
        <v>2280</v>
      </c>
      <c r="H1026" s="3">
        <v>0.1</v>
      </c>
      <c r="I1026" t="s">
        <v>17</v>
      </c>
      <c r="J1026" t="s">
        <v>18</v>
      </c>
      <c r="K1026" t="s">
        <v>67</v>
      </c>
      <c r="L1026" s="2">
        <v>8208</v>
      </c>
      <c r="M1026" t="s">
        <v>48</v>
      </c>
    </row>
    <row r="1027" spans="1:13" x14ac:dyDescent="0.3">
      <c r="A1027" t="s">
        <v>1357</v>
      </c>
      <c r="B1027" s="1">
        <v>46188</v>
      </c>
      <c r="C1027" t="s">
        <v>522</v>
      </c>
      <c r="D1027" t="s">
        <v>152</v>
      </c>
      <c r="E1027" t="s">
        <v>36</v>
      </c>
      <c r="F1027">
        <v>2</v>
      </c>
      <c r="G1027" s="2">
        <v>1400</v>
      </c>
      <c r="H1027" s="3">
        <v>0</v>
      </c>
      <c r="I1027" t="s">
        <v>17</v>
      </c>
      <c r="J1027" t="s">
        <v>71</v>
      </c>
      <c r="K1027" t="s">
        <v>67</v>
      </c>
      <c r="L1027" s="2">
        <v>2800</v>
      </c>
      <c r="M1027" t="s">
        <v>52</v>
      </c>
    </row>
    <row r="1028" spans="1:13" x14ac:dyDescent="0.3">
      <c r="A1028" t="s">
        <v>1358</v>
      </c>
      <c r="B1028" s="1">
        <v>46041</v>
      </c>
      <c r="C1028" t="s">
        <v>111</v>
      </c>
      <c r="D1028" t="s">
        <v>23</v>
      </c>
      <c r="E1028" t="s">
        <v>74</v>
      </c>
      <c r="F1028">
        <v>2</v>
      </c>
      <c r="G1028" s="2">
        <v>2280</v>
      </c>
      <c r="H1028" s="3">
        <v>0</v>
      </c>
      <c r="I1028" t="s">
        <v>334</v>
      </c>
      <c r="J1028" t="s">
        <v>47</v>
      </c>
      <c r="K1028" t="s">
        <v>19</v>
      </c>
      <c r="L1028" s="2">
        <v>4560</v>
      </c>
      <c r="M1028" t="s">
        <v>138</v>
      </c>
    </row>
    <row r="1029" spans="1:13" x14ac:dyDescent="0.3">
      <c r="A1029" t="s">
        <v>1359</v>
      </c>
      <c r="B1029" s="1">
        <v>46077</v>
      </c>
      <c r="C1029" t="s">
        <v>321</v>
      </c>
      <c r="D1029" t="s">
        <v>62</v>
      </c>
      <c r="E1029" t="s">
        <v>183</v>
      </c>
      <c r="F1029">
        <v>4</v>
      </c>
      <c r="G1029" s="2">
        <v>3360</v>
      </c>
      <c r="H1029" s="3">
        <v>0</v>
      </c>
      <c r="I1029" t="s">
        <v>17</v>
      </c>
      <c r="J1029" t="s">
        <v>71</v>
      </c>
      <c r="K1029" t="s">
        <v>25</v>
      </c>
      <c r="L1029" s="2">
        <v>13440</v>
      </c>
      <c r="M1029" t="s">
        <v>52</v>
      </c>
    </row>
    <row r="1030" spans="1:13" x14ac:dyDescent="0.3">
      <c r="A1030" t="s">
        <v>1360</v>
      </c>
      <c r="B1030" s="1">
        <v>46049</v>
      </c>
      <c r="C1030" t="s">
        <v>607</v>
      </c>
      <c r="D1030" t="s">
        <v>152</v>
      </c>
      <c r="E1030" t="s">
        <v>135</v>
      </c>
      <c r="F1030">
        <v>3</v>
      </c>
      <c r="G1030" s="2">
        <v>17640</v>
      </c>
      <c r="H1030" s="3">
        <v>0.2</v>
      </c>
      <c r="I1030" t="s">
        <v>17</v>
      </c>
      <c r="J1030" t="s">
        <v>47</v>
      </c>
      <c r="K1030" t="s">
        <v>67</v>
      </c>
      <c r="L1030" s="2">
        <v>42336</v>
      </c>
      <c r="M1030" t="s">
        <v>52</v>
      </c>
    </row>
    <row r="1031" spans="1:13" x14ac:dyDescent="0.3">
      <c r="A1031" t="s">
        <v>1361</v>
      </c>
      <c r="B1031" s="1">
        <v>46073</v>
      </c>
      <c r="C1031" t="s">
        <v>84</v>
      </c>
      <c r="D1031" t="s">
        <v>168</v>
      </c>
      <c r="E1031" t="s">
        <v>46</v>
      </c>
      <c r="F1031">
        <v>2</v>
      </c>
      <c r="G1031" s="2">
        <v>7410</v>
      </c>
      <c r="H1031" s="3">
        <v>0.05</v>
      </c>
      <c r="I1031" t="s">
        <v>17</v>
      </c>
      <c r="J1031" t="s">
        <v>71</v>
      </c>
      <c r="K1031" t="s">
        <v>25</v>
      </c>
      <c r="L1031" s="2">
        <v>14079</v>
      </c>
      <c r="M1031" t="s">
        <v>138</v>
      </c>
    </row>
    <row r="1032" spans="1:13" x14ac:dyDescent="0.3">
      <c r="A1032" t="s">
        <v>1362</v>
      </c>
      <c r="B1032" s="1">
        <v>46174</v>
      </c>
      <c r="C1032" t="s">
        <v>224</v>
      </c>
      <c r="D1032" t="s">
        <v>70</v>
      </c>
      <c r="E1032" t="s">
        <v>24</v>
      </c>
      <c r="F1032">
        <v>3</v>
      </c>
      <c r="G1032" s="2">
        <v>10640</v>
      </c>
      <c r="H1032" s="3">
        <v>0.05</v>
      </c>
      <c r="I1032" t="s">
        <v>17</v>
      </c>
      <c r="J1032" t="s">
        <v>47</v>
      </c>
      <c r="K1032" t="s">
        <v>41</v>
      </c>
      <c r="L1032" s="2">
        <v>30324</v>
      </c>
      <c r="M1032" t="s">
        <v>32</v>
      </c>
    </row>
    <row r="1033" spans="1:13" x14ac:dyDescent="0.3">
      <c r="A1033" t="s">
        <v>1363</v>
      </c>
      <c r="B1033" s="1">
        <v>46032</v>
      </c>
      <c r="C1033" t="s">
        <v>113</v>
      </c>
      <c r="D1033" t="s">
        <v>77</v>
      </c>
      <c r="E1033" t="s">
        <v>51</v>
      </c>
      <c r="F1033">
        <v>5</v>
      </c>
      <c r="G1033" s="2">
        <v>17575</v>
      </c>
      <c r="H1033" s="3">
        <v>0</v>
      </c>
      <c r="I1033" t="s">
        <v>17</v>
      </c>
      <c r="J1033" t="s">
        <v>18</v>
      </c>
      <c r="K1033" t="s">
        <v>19</v>
      </c>
      <c r="L1033" s="2">
        <v>87875</v>
      </c>
      <c r="M1033" t="s">
        <v>32</v>
      </c>
    </row>
    <row r="1034" spans="1:13" x14ac:dyDescent="0.3">
      <c r="A1034" t="s">
        <v>1364</v>
      </c>
      <c r="B1034" s="1">
        <v>46100</v>
      </c>
      <c r="C1034" t="s">
        <v>851</v>
      </c>
      <c r="D1034" t="s">
        <v>45</v>
      </c>
      <c r="E1034" t="s">
        <v>36</v>
      </c>
      <c r="F1034">
        <v>4</v>
      </c>
      <c r="G1034" s="2">
        <v>1400</v>
      </c>
      <c r="H1034" s="3">
        <v>0.1</v>
      </c>
      <c r="I1034" t="s">
        <v>17</v>
      </c>
      <c r="J1034" t="s">
        <v>31</v>
      </c>
      <c r="K1034" t="s">
        <v>55</v>
      </c>
      <c r="L1034" s="2">
        <v>5040</v>
      </c>
      <c r="M1034" t="s">
        <v>26</v>
      </c>
    </row>
    <row r="1035" spans="1:13" x14ac:dyDescent="0.3">
      <c r="A1035" t="s">
        <v>1365</v>
      </c>
      <c r="B1035" s="1">
        <v>46201</v>
      </c>
      <c r="C1035" t="s">
        <v>378</v>
      </c>
      <c r="D1035" t="s">
        <v>62</v>
      </c>
      <c r="E1035" t="s">
        <v>46</v>
      </c>
      <c r="F1035">
        <v>4</v>
      </c>
      <c r="G1035" s="2">
        <v>7410</v>
      </c>
      <c r="H1035" s="3">
        <v>0</v>
      </c>
      <c r="I1035" t="s">
        <v>66</v>
      </c>
      <c r="J1035" t="s">
        <v>71</v>
      </c>
      <c r="K1035" t="s">
        <v>19</v>
      </c>
      <c r="L1035" s="2">
        <v>29640</v>
      </c>
      <c r="M1035" t="s">
        <v>20</v>
      </c>
    </row>
    <row r="1036" spans="1:13" x14ac:dyDescent="0.3">
      <c r="A1036" t="s">
        <v>1366</v>
      </c>
      <c r="B1036" s="1">
        <v>46058</v>
      </c>
      <c r="C1036" t="s">
        <v>304</v>
      </c>
      <c r="D1036" t="s">
        <v>15</v>
      </c>
      <c r="E1036" t="s">
        <v>36</v>
      </c>
      <c r="F1036">
        <v>5</v>
      </c>
      <c r="G1036" s="2">
        <v>1400</v>
      </c>
      <c r="H1036" s="3">
        <v>0.2</v>
      </c>
      <c r="I1036" t="s">
        <v>17</v>
      </c>
      <c r="J1036" t="s">
        <v>71</v>
      </c>
      <c r="K1036" t="s">
        <v>67</v>
      </c>
      <c r="L1036" s="2">
        <v>5600</v>
      </c>
      <c r="M1036" t="s">
        <v>82</v>
      </c>
    </row>
    <row r="1037" spans="1:13" x14ac:dyDescent="0.3">
      <c r="A1037" t="s">
        <v>1367</v>
      </c>
      <c r="B1037" s="1">
        <v>46024</v>
      </c>
      <c r="C1037" t="s">
        <v>294</v>
      </c>
      <c r="D1037" t="s">
        <v>77</v>
      </c>
      <c r="E1037" t="s">
        <v>85</v>
      </c>
      <c r="F1037">
        <v>5</v>
      </c>
      <c r="G1037" s="2">
        <v>46075</v>
      </c>
      <c r="H1037" s="3">
        <v>0.05</v>
      </c>
      <c r="I1037" t="s">
        <v>66</v>
      </c>
      <c r="J1037" t="s">
        <v>31</v>
      </c>
      <c r="K1037" t="s">
        <v>67</v>
      </c>
      <c r="L1037" s="2">
        <v>218856.25</v>
      </c>
      <c r="M1037" t="s">
        <v>42</v>
      </c>
    </row>
    <row r="1038" spans="1:13" x14ac:dyDescent="0.3">
      <c r="A1038" t="s">
        <v>1368</v>
      </c>
      <c r="B1038" s="1">
        <v>46090</v>
      </c>
      <c r="C1038" t="s">
        <v>363</v>
      </c>
      <c r="D1038" t="s">
        <v>35</v>
      </c>
      <c r="E1038" t="s">
        <v>85</v>
      </c>
      <c r="F1038">
        <v>3</v>
      </c>
      <c r="G1038" s="2">
        <v>48500</v>
      </c>
      <c r="H1038" s="3">
        <v>0.1</v>
      </c>
      <c r="I1038" t="s">
        <v>17</v>
      </c>
      <c r="J1038" t="s">
        <v>18</v>
      </c>
      <c r="K1038" t="s">
        <v>19</v>
      </c>
      <c r="L1038" s="2">
        <v>130950</v>
      </c>
      <c r="M1038" t="s">
        <v>59</v>
      </c>
    </row>
    <row r="1039" spans="1:13" x14ac:dyDescent="0.3">
      <c r="A1039" t="s">
        <v>1369</v>
      </c>
      <c r="B1039" s="1">
        <v>46104</v>
      </c>
      <c r="C1039" t="s">
        <v>388</v>
      </c>
      <c r="D1039" t="s">
        <v>90</v>
      </c>
      <c r="E1039" t="s">
        <v>30</v>
      </c>
      <c r="F1039">
        <v>4</v>
      </c>
      <c r="G1039" s="2">
        <v>1710</v>
      </c>
      <c r="H1039" s="3">
        <v>0.1</v>
      </c>
      <c r="I1039" t="s">
        <v>17</v>
      </c>
      <c r="J1039" t="s">
        <v>18</v>
      </c>
      <c r="K1039" t="s">
        <v>55</v>
      </c>
      <c r="L1039" s="2">
        <v>6156</v>
      </c>
      <c r="M1039" t="s">
        <v>26</v>
      </c>
    </row>
    <row r="1040" spans="1:13" x14ac:dyDescent="0.3">
      <c r="A1040" t="s">
        <v>1370</v>
      </c>
      <c r="B1040" s="1">
        <v>46105</v>
      </c>
      <c r="C1040" t="s">
        <v>1371</v>
      </c>
      <c r="D1040" t="s">
        <v>29</v>
      </c>
      <c r="E1040" t="s">
        <v>85</v>
      </c>
      <c r="F1040">
        <v>2</v>
      </c>
      <c r="G1040" s="2">
        <v>48500</v>
      </c>
      <c r="H1040" s="3">
        <v>0</v>
      </c>
      <c r="I1040" t="s">
        <v>17</v>
      </c>
      <c r="J1040" t="s">
        <v>1372</v>
      </c>
      <c r="K1040" t="s">
        <v>25</v>
      </c>
      <c r="L1040" s="2">
        <v>97000</v>
      </c>
      <c r="M1040" t="s">
        <v>52</v>
      </c>
    </row>
    <row r="1041" spans="1:13" x14ac:dyDescent="0.3">
      <c r="A1041" t="s">
        <v>1373</v>
      </c>
      <c r="B1041" s="1">
        <v>46191</v>
      </c>
      <c r="C1041" t="s">
        <v>99</v>
      </c>
      <c r="D1041" t="s">
        <v>95</v>
      </c>
      <c r="E1041" t="s">
        <v>85</v>
      </c>
      <c r="F1041">
        <v>5</v>
      </c>
      <c r="G1041" s="2">
        <v>50925</v>
      </c>
      <c r="H1041" s="3">
        <v>0.2</v>
      </c>
      <c r="I1041" t="s">
        <v>17</v>
      </c>
      <c r="J1041" t="s">
        <v>71</v>
      </c>
      <c r="K1041" t="s">
        <v>19</v>
      </c>
      <c r="L1041" s="2">
        <v>203700</v>
      </c>
      <c r="M1041" t="s">
        <v>52</v>
      </c>
    </row>
    <row r="1042" spans="1:13" x14ac:dyDescent="0.3">
      <c r="A1042" t="s">
        <v>1374</v>
      </c>
      <c r="B1042" s="1">
        <v>46142</v>
      </c>
      <c r="C1042" t="s">
        <v>781</v>
      </c>
      <c r="D1042" t="s">
        <v>90</v>
      </c>
      <c r="E1042" t="s">
        <v>161</v>
      </c>
      <c r="F1042">
        <v>1</v>
      </c>
      <c r="G1042" s="2">
        <v>2600</v>
      </c>
      <c r="H1042" s="3">
        <v>0</v>
      </c>
      <c r="I1042" t="s">
        <v>17</v>
      </c>
      <c r="J1042" t="s">
        <v>18</v>
      </c>
      <c r="K1042" t="s">
        <v>41</v>
      </c>
      <c r="L1042" s="2">
        <v>2600</v>
      </c>
      <c r="M1042" t="s">
        <v>82</v>
      </c>
    </row>
    <row r="1043" spans="1:13" x14ac:dyDescent="0.3">
      <c r="A1043" t="s">
        <v>1375</v>
      </c>
      <c r="B1043" s="1">
        <v>46050</v>
      </c>
      <c r="C1043" t="s">
        <v>724</v>
      </c>
      <c r="D1043" t="s">
        <v>77</v>
      </c>
      <c r="E1043" t="s">
        <v>30</v>
      </c>
      <c r="F1043">
        <v>1</v>
      </c>
      <c r="G1043" s="2">
        <v>1890</v>
      </c>
      <c r="H1043" s="3">
        <v>0.05</v>
      </c>
      <c r="I1043" t="s">
        <v>17</v>
      </c>
      <c r="J1043" t="s">
        <v>18</v>
      </c>
      <c r="K1043" t="s">
        <v>41</v>
      </c>
      <c r="L1043" s="2">
        <v>1795.5</v>
      </c>
      <c r="M1043" t="s">
        <v>42</v>
      </c>
    </row>
    <row r="1044" spans="1:13" x14ac:dyDescent="0.3">
      <c r="A1044" t="s">
        <v>1376</v>
      </c>
      <c r="B1044" s="1">
        <v>46094</v>
      </c>
      <c r="C1044" t="s">
        <v>224</v>
      </c>
      <c r="D1044" t="s">
        <v>70</v>
      </c>
      <c r="E1044" t="s">
        <v>30</v>
      </c>
      <c r="F1044">
        <v>3</v>
      </c>
      <c r="G1044" s="2">
        <v>1800</v>
      </c>
      <c r="H1044" s="3">
        <v>0.15</v>
      </c>
      <c r="I1044" t="s">
        <v>17</v>
      </c>
      <c r="J1044" t="s">
        <v>31</v>
      </c>
      <c r="K1044" t="s">
        <v>19</v>
      </c>
      <c r="L1044" s="2">
        <v>4590</v>
      </c>
      <c r="M1044" t="s">
        <v>52</v>
      </c>
    </row>
    <row r="1045" spans="1:13" x14ac:dyDescent="0.3">
      <c r="A1045" t="s">
        <v>1377</v>
      </c>
      <c r="B1045" s="1">
        <v>46027</v>
      </c>
      <c r="C1045" t="s">
        <v>581</v>
      </c>
      <c r="D1045" t="s">
        <v>77</v>
      </c>
      <c r="E1045" t="s">
        <v>46</v>
      </c>
      <c r="F1045">
        <v>1</v>
      </c>
      <c r="G1045" s="2">
        <v>8190</v>
      </c>
      <c r="H1045" s="3">
        <v>0</v>
      </c>
      <c r="I1045" t="s">
        <v>17</v>
      </c>
      <c r="J1045" t="s">
        <v>47</v>
      </c>
      <c r="K1045" t="s">
        <v>19</v>
      </c>
      <c r="L1045" s="2">
        <v>8190</v>
      </c>
      <c r="M1045" t="s">
        <v>82</v>
      </c>
    </row>
    <row r="1046" spans="1:13" x14ac:dyDescent="0.3">
      <c r="A1046" t="s">
        <v>1378</v>
      </c>
      <c r="B1046" s="1">
        <v>46044</v>
      </c>
      <c r="C1046" t="s">
        <v>196</v>
      </c>
      <c r="D1046" t="s">
        <v>35</v>
      </c>
      <c r="E1046" t="s">
        <v>161</v>
      </c>
      <c r="F1046">
        <v>1</v>
      </c>
      <c r="G1046" s="2">
        <v>2600</v>
      </c>
      <c r="H1046" s="3">
        <v>0.1</v>
      </c>
      <c r="I1046" t="s">
        <v>17</v>
      </c>
      <c r="J1046" t="s">
        <v>18</v>
      </c>
      <c r="K1046" t="s">
        <v>67</v>
      </c>
      <c r="L1046" s="2">
        <v>2340</v>
      </c>
      <c r="M1046" t="s">
        <v>138</v>
      </c>
    </row>
    <row r="1047" spans="1:13" x14ac:dyDescent="0.3">
      <c r="A1047" t="s">
        <v>1379</v>
      </c>
      <c r="B1047" s="1">
        <v>46048</v>
      </c>
      <c r="C1047" t="s">
        <v>106</v>
      </c>
      <c r="D1047" t="s">
        <v>168</v>
      </c>
      <c r="E1047" t="s">
        <v>74</v>
      </c>
      <c r="F1047">
        <v>2</v>
      </c>
      <c r="G1047" s="2">
        <v>2400</v>
      </c>
      <c r="H1047" s="3">
        <v>0.1</v>
      </c>
      <c r="I1047" t="s">
        <v>17</v>
      </c>
      <c r="J1047" t="s">
        <v>71</v>
      </c>
      <c r="K1047" t="s">
        <v>25</v>
      </c>
      <c r="L1047" s="2">
        <v>4320</v>
      </c>
      <c r="M1047" t="s">
        <v>26</v>
      </c>
    </row>
    <row r="1048" spans="1:13" x14ac:dyDescent="0.3">
      <c r="A1048" t="s">
        <v>1380</v>
      </c>
      <c r="B1048" s="1">
        <v>46158</v>
      </c>
      <c r="C1048" t="s">
        <v>294</v>
      </c>
      <c r="D1048" t="s">
        <v>40</v>
      </c>
      <c r="E1048" t="s">
        <v>46</v>
      </c>
      <c r="F1048">
        <v>2</v>
      </c>
      <c r="G1048" s="2">
        <v>7800</v>
      </c>
      <c r="H1048" s="3">
        <v>0</v>
      </c>
      <c r="I1048" t="s">
        <v>17</v>
      </c>
      <c r="J1048" t="s">
        <v>71</v>
      </c>
      <c r="K1048" t="s">
        <v>19</v>
      </c>
      <c r="L1048" s="2">
        <v>15600</v>
      </c>
      <c r="M1048" t="s">
        <v>20</v>
      </c>
    </row>
    <row r="1049" spans="1:13" x14ac:dyDescent="0.3">
      <c r="A1049" t="s">
        <v>1381</v>
      </c>
      <c r="B1049" s="1">
        <v>46032</v>
      </c>
      <c r="C1049" t="s">
        <v>1194</v>
      </c>
      <c r="D1049" t="s">
        <v>40</v>
      </c>
      <c r="E1049" t="s">
        <v>135</v>
      </c>
      <c r="F1049">
        <v>1</v>
      </c>
      <c r="G1049" s="2">
        <v>16800</v>
      </c>
      <c r="H1049" s="3">
        <v>0.15</v>
      </c>
      <c r="I1049" t="s">
        <v>17</v>
      </c>
      <c r="J1049" t="s">
        <v>18</v>
      </c>
      <c r="K1049" t="s">
        <v>55</v>
      </c>
      <c r="L1049" s="2">
        <v>14280</v>
      </c>
      <c r="M1049" t="s">
        <v>42</v>
      </c>
    </row>
    <row r="1050" spans="1:13" x14ac:dyDescent="0.3">
      <c r="A1050" t="s">
        <v>1382</v>
      </c>
      <c r="B1050" s="1">
        <v>46079</v>
      </c>
      <c r="C1050" t="s">
        <v>367</v>
      </c>
      <c r="D1050" t="s">
        <v>123</v>
      </c>
      <c r="E1050" t="s">
        <v>85</v>
      </c>
      <c r="F1050">
        <v>1</v>
      </c>
      <c r="G1050" s="2">
        <v>48500</v>
      </c>
      <c r="H1050" s="3">
        <v>0</v>
      </c>
      <c r="I1050" t="s">
        <v>17</v>
      </c>
      <c r="J1050" t="s">
        <v>47</v>
      </c>
      <c r="K1050" t="s">
        <v>25</v>
      </c>
      <c r="L1050" s="2">
        <v>48500</v>
      </c>
      <c r="M1050" t="s">
        <v>26</v>
      </c>
    </row>
    <row r="1051" spans="1:13" x14ac:dyDescent="0.3">
      <c r="A1051" t="s">
        <v>1383</v>
      </c>
      <c r="B1051" s="1">
        <v>46023</v>
      </c>
      <c r="C1051" t="s">
        <v>156</v>
      </c>
      <c r="D1051" t="s">
        <v>15</v>
      </c>
      <c r="E1051" t="s">
        <v>30</v>
      </c>
      <c r="F1051">
        <v>2</v>
      </c>
      <c r="G1051" s="2">
        <v>1800</v>
      </c>
      <c r="H1051" s="3">
        <v>0.2</v>
      </c>
      <c r="I1051" t="s">
        <v>17</v>
      </c>
      <c r="J1051" t="s">
        <v>71</v>
      </c>
      <c r="K1051" t="s">
        <v>67</v>
      </c>
      <c r="L1051" s="2">
        <v>2880</v>
      </c>
    </row>
    <row r="1052" spans="1:13" x14ac:dyDescent="0.3">
      <c r="A1052" t="s">
        <v>1384</v>
      </c>
      <c r="B1052" s="1">
        <v>46065</v>
      </c>
      <c r="C1052" t="s">
        <v>522</v>
      </c>
      <c r="D1052" t="s">
        <v>50</v>
      </c>
      <c r="E1052" t="s">
        <v>36</v>
      </c>
      <c r="F1052">
        <v>5</v>
      </c>
      <c r="G1052" s="2">
        <v>1470</v>
      </c>
      <c r="H1052" s="3">
        <v>0</v>
      </c>
      <c r="I1052" t="s">
        <v>116</v>
      </c>
      <c r="J1052" t="s">
        <v>47</v>
      </c>
      <c r="K1052" t="s">
        <v>19</v>
      </c>
      <c r="L1052" s="2">
        <v>7350</v>
      </c>
      <c r="M1052" t="s">
        <v>59</v>
      </c>
    </row>
    <row r="1053" spans="1:13" x14ac:dyDescent="0.3">
      <c r="A1053" t="s">
        <v>1385</v>
      </c>
      <c r="B1053" s="1">
        <v>46090</v>
      </c>
      <c r="C1053" t="s">
        <v>73</v>
      </c>
      <c r="D1053" t="s">
        <v>77</v>
      </c>
      <c r="E1053" t="s">
        <v>63</v>
      </c>
      <c r="F1053">
        <v>1</v>
      </c>
      <c r="G1053" s="2">
        <v>2310</v>
      </c>
      <c r="H1053" s="3">
        <v>0</v>
      </c>
      <c r="I1053" t="s">
        <v>17</v>
      </c>
      <c r="J1053" t="s">
        <v>18</v>
      </c>
      <c r="K1053" t="s">
        <v>41</v>
      </c>
      <c r="L1053" s="2">
        <v>2310</v>
      </c>
      <c r="M1053" t="s">
        <v>56</v>
      </c>
    </row>
    <row r="1054" spans="1:13" x14ac:dyDescent="0.3">
      <c r="A1054" t="s">
        <v>1386</v>
      </c>
      <c r="B1054" t="s">
        <v>1387</v>
      </c>
      <c r="C1054" t="s">
        <v>401</v>
      </c>
      <c r="D1054" t="s">
        <v>168</v>
      </c>
      <c r="E1054" t="s">
        <v>16</v>
      </c>
      <c r="F1054">
        <v>3</v>
      </c>
      <c r="G1054" s="2">
        <v>650</v>
      </c>
      <c r="H1054" s="3">
        <v>0.05</v>
      </c>
      <c r="I1054" t="s">
        <v>66</v>
      </c>
      <c r="J1054" t="s">
        <v>31</v>
      </c>
      <c r="K1054" t="s">
        <v>19</v>
      </c>
      <c r="L1054" s="2">
        <v>1852.5</v>
      </c>
      <c r="M1054" t="s">
        <v>26</v>
      </c>
    </row>
    <row r="1055" spans="1:13" x14ac:dyDescent="0.3">
      <c r="A1055" t="s">
        <v>1388</v>
      </c>
      <c r="B1055" s="1">
        <v>46108</v>
      </c>
      <c r="C1055" t="s">
        <v>700</v>
      </c>
      <c r="D1055" t="s">
        <v>62</v>
      </c>
      <c r="E1055" t="s">
        <v>46</v>
      </c>
      <c r="F1055">
        <v>4</v>
      </c>
      <c r="G1055" s="2">
        <v>8190</v>
      </c>
      <c r="H1055" s="3">
        <v>0.15</v>
      </c>
      <c r="I1055" t="s">
        <v>17</v>
      </c>
      <c r="J1055" t="s">
        <v>47</v>
      </c>
      <c r="K1055" t="s">
        <v>55</v>
      </c>
      <c r="L1055" s="2">
        <v>27846</v>
      </c>
      <c r="M1055" t="s">
        <v>20</v>
      </c>
    </row>
    <row r="1056" spans="1:13" x14ac:dyDescent="0.3">
      <c r="A1056" t="s">
        <v>1389</v>
      </c>
      <c r="B1056" s="1">
        <v>46113</v>
      </c>
      <c r="C1056" t="s">
        <v>655</v>
      </c>
      <c r="D1056" t="s">
        <v>45</v>
      </c>
      <c r="E1056" t="s">
        <v>85</v>
      </c>
      <c r="F1056">
        <v>2</v>
      </c>
      <c r="G1056" s="2">
        <v>50925</v>
      </c>
      <c r="H1056" s="3">
        <v>0.15</v>
      </c>
      <c r="I1056" t="s">
        <v>17</v>
      </c>
      <c r="J1056" t="s">
        <v>47</v>
      </c>
      <c r="K1056" t="s">
        <v>81</v>
      </c>
      <c r="L1056" s="2">
        <v>86572.5</v>
      </c>
      <c r="M1056" t="s">
        <v>20</v>
      </c>
    </row>
    <row r="1057" spans="1:13" x14ac:dyDescent="0.3">
      <c r="A1057" t="s">
        <v>1390</v>
      </c>
      <c r="B1057" s="1">
        <v>46060</v>
      </c>
      <c r="C1057" t="s">
        <v>446</v>
      </c>
      <c r="D1057" t="s">
        <v>70</v>
      </c>
      <c r="E1057" t="s">
        <v>24</v>
      </c>
      <c r="F1057">
        <v>3</v>
      </c>
      <c r="G1057" s="2">
        <v>10640</v>
      </c>
      <c r="H1057" s="3">
        <v>0</v>
      </c>
      <c r="I1057" t="s">
        <v>17</v>
      </c>
      <c r="J1057" t="s">
        <v>18</v>
      </c>
      <c r="K1057" t="s">
        <v>67</v>
      </c>
      <c r="L1057" s="2">
        <v>31920</v>
      </c>
      <c r="M1057" t="s">
        <v>52</v>
      </c>
    </row>
    <row r="1058" spans="1:13" x14ac:dyDescent="0.3">
      <c r="A1058" t="s">
        <v>1391</v>
      </c>
      <c r="B1058" s="1">
        <v>46045</v>
      </c>
      <c r="C1058" t="s">
        <v>298</v>
      </c>
      <c r="D1058" t="s">
        <v>23</v>
      </c>
      <c r="E1058" t="s">
        <v>161</v>
      </c>
      <c r="F1058">
        <v>3</v>
      </c>
      <c r="G1058" s="2">
        <v>2730</v>
      </c>
      <c r="H1058" s="3">
        <v>0.05</v>
      </c>
      <c r="I1058" t="s">
        <v>66</v>
      </c>
      <c r="J1058" t="s">
        <v>47</v>
      </c>
      <c r="K1058" t="s">
        <v>67</v>
      </c>
      <c r="L1058" s="2">
        <v>7780.5</v>
      </c>
      <c r="M1058" t="s">
        <v>138</v>
      </c>
    </row>
    <row r="1059" spans="1:13" x14ac:dyDescent="0.3">
      <c r="A1059" t="s">
        <v>1392</v>
      </c>
      <c r="B1059" s="1">
        <v>46123</v>
      </c>
      <c r="C1059" t="s">
        <v>118</v>
      </c>
      <c r="D1059" t="s">
        <v>40</v>
      </c>
      <c r="E1059" t="s">
        <v>161</v>
      </c>
      <c r="F1059">
        <v>8</v>
      </c>
      <c r="G1059" s="2">
        <v>2470</v>
      </c>
      <c r="H1059" s="3">
        <v>0.05</v>
      </c>
      <c r="I1059" t="s">
        <v>17</v>
      </c>
      <c r="J1059" t="s">
        <v>31</v>
      </c>
      <c r="K1059" t="s">
        <v>55</v>
      </c>
      <c r="L1059" s="2">
        <v>18772</v>
      </c>
      <c r="M1059" t="s">
        <v>56</v>
      </c>
    </row>
    <row r="1060" spans="1:13" x14ac:dyDescent="0.3">
      <c r="A1060" t="s">
        <v>1393</v>
      </c>
      <c r="B1060" s="1">
        <v>46168</v>
      </c>
      <c r="C1060" t="s">
        <v>144</v>
      </c>
      <c r="D1060" t="s">
        <v>29</v>
      </c>
      <c r="E1060" t="s">
        <v>36</v>
      </c>
      <c r="F1060">
        <v>1</v>
      </c>
      <c r="G1060" s="2">
        <v>1400</v>
      </c>
      <c r="H1060" s="3">
        <v>0</v>
      </c>
      <c r="I1060" t="s">
        <v>17</v>
      </c>
      <c r="J1060" t="s">
        <v>71</v>
      </c>
      <c r="K1060" t="s">
        <v>25</v>
      </c>
      <c r="L1060" s="2">
        <v>1400</v>
      </c>
      <c r="M1060" t="s">
        <v>26</v>
      </c>
    </row>
    <row r="1061" spans="1:13" x14ac:dyDescent="0.3">
      <c r="A1061" t="s">
        <v>1394</v>
      </c>
      <c r="B1061" s="1">
        <v>46182</v>
      </c>
      <c r="C1061" t="s">
        <v>234</v>
      </c>
      <c r="D1061" t="s">
        <v>152</v>
      </c>
      <c r="E1061" t="s">
        <v>74</v>
      </c>
      <c r="F1061">
        <v>1</v>
      </c>
      <c r="G1061" s="2">
        <v>2400</v>
      </c>
      <c r="H1061" s="3">
        <v>0.1</v>
      </c>
      <c r="I1061" t="s">
        <v>17</v>
      </c>
      <c r="J1061" t="s">
        <v>372</v>
      </c>
      <c r="K1061" t="s">
        <v>19</v>
      </c>
      <c r="L1061" s="2">
        <v>2160</v>
      </c>
      <c r="M1061" t="s">
        <v>52</v>
      </c>
    </row>
    <row r="1062" spans="1:13" x14ac:dyDescent="0.3">
      <c r="A1062" t="s">
        <v>1395</v>
      </c>
      <c r="B1062" s="1">
        <v>46095</v>
      </c>
      <c r="C1062" t="s">
        <v>581</v>
      </c>
      <c r="D1062" t="s">
        <v>90</v>
      </c>
      <c r="E1062" t="s">
        <v>183</v>
      </c>
      <c r="F1062">
        <v>1</v>
      </c>
      <c r="G1062" s="2">
        <v>3360</v>
      </c>
      <c r="H1062" s="3">
        <v>0.1</v>
      </c>
      <c r="I1062" t="s">
        <v>17</v>
      </c>
      <c r="J1062" t="s">
        <v>31</v>
      </c>
      <c r="K1062" t="s">
        <v>19</v>
      </c>
      <c r="L1062" s="2">
        <v>3024</v>
      </c>
      <c r="M1062" t="s">
        <v>26</v>
      </c>
    </row>
    <row r="1063" spans="1:13" x14ac:dyDescent="0.3">
      <c r="A1063" t="s">
        <v>1396</v>
      </c>
      <c r="B1063" s="1">
        <v>46058</v>
      </c>
      <c r="C1063" t="s">
        <v>14</v>
      </c>
      <c r="D1063" t="s">
        <v>35</v>
      </c>
      <c r="E1063" t="s">
        <v>135</v>
      </c>
      <c r="F1063">
        <v>4</v>
      </c>
      <c r="G1063" s="2">
        <v>16800</v>
      </c>
      <c r="H1063" s="3">
        <v>0.15</v>
      </c>
      <c r="I1063" t="s">
        <v>17</v>
      </c>
      <c r="J1063" t="s">
        <v>47</v>
      </c>
      <c r="K1063" t="s">
        <v>41</v>
      </c>
      <c r="L1063" s="2">
        <v>57120</v>
      </c>
      <c r="M1063" t="s">
        <v>52</v>
      </c>
    </row>
    <row r="1064" spans="1:13" x14ac:dyDescent="0.3">
      <c r="A1064" t="s">
        <v>1397</v>
      </c>
      <c r="B1064" s="1">
        <v>46133</v>
      </c>
      <c r="C1064" t="s">
        <v>747</v>
      </c>
      <c r="D1064" t="s">
        <v>40</v>
      </c>
      <c r="E1064" t="s">
        <v>63</v>
      </c>
      <c r="F1064">
        <v>1</v>
      </c>
      <c r="G1064" s="2">
        <v>2200</v>
      </c>
      <c r="H1064" s="3">
        <v>0</v>
      </c>
      <c r="I1064" t="s">
        <v>17</v>
      </c>
      <c r="J1064" t="s">
        <v>18</v>
      </c>
      <c r="K1064" t="s">
        <v>55</v>
      </c>
      <c r="L1064" s="2">
        <v>2200</v>
      </c>
      <c r="M1064" t="s">
        <v>32</v>
      </c>
    </row>
    <row r="1065" spans="1:13" x14ac:dyDescent="0.3">
      <c r="A1065" t="s">
        <v>1398</v>
      </c>
      <c r="B1065" s="1">
        <v>46048</v>
      </c>
      <c r="C1065" t="s">
        <v>271</v>
      </c>
      <c r="D1065" t="s">
        <v>77</v>
      </c>
      <c r="E1065" t="s">
        <v>135</v>
      </c>
      <c r="F1065">
        <v>8</v>
      </c>
      <c r="G1065" s="2">
        <v>17640</v>
      </c>
      <c r="H1065" s="3">
        <v>0.15</v>
      </c>
      <c r="I1065" t="s">
        <v>17</v>
      </c>
      <c r="J1065" t="s">
        <v>71</v>
      </c>
      <c r="K1065" t="s">
        <v>41</v>
      </c>
      <c r="L1065" s="2">
        <v>119952</v>
      </c>
      <c r="M1065" t="s">
        <v>26</v>
      </c>
    </row>
    <row r="1066" spans="1:13" x14ac:dyDescent="0.3">
      <c r="A1066" t="s">
        <v>1399</v>
      </c>
      <c r="B1066" s="1">
        <v>46057</v>
      </c>
      <c r="C1066" t="s">
        <v>348</v>
      </c>
      <c r="D1066" t="s">
        <v>70</v>
      </c>
      <c r="E1066" t="s">
        <v>51</v>
      </c>
      <c r="F1066">
        <v>1</v>
      </c>
      <c r="G1066" s="2">
        <v>19425</v>
      </c>
      <c r="H1066" s="3">
        <v>0.05</v>
      </c>
      <c r="I1066" t="s">
        <v>17</v>
      </c>
      <c r="J1066" t="s">
        <v>18</v>
      </c>
      <c r="K1066" t="s">
        <v>55</v>
      </c>
      <c r="L1066" s="2">
        <v>18453.75</v>
      </c>
      <c r="M1066" t="s">
        <v>42</v>
      </c>
    </row>
    <row r="1067" spans="1:13" x14ac:dyDescent="0.3">
      <c r="A1067" t="s">
        <v>1400</v>
      </c>
      <c r="B1067" s="1">
        <v>46058</v>
      </c>
      <c r="C1067" t="s">
        <v>798</v>
      </c>
      <c r="D1067" t="s">
        <v>152</v>
      </c>
      <c r="E1067" t="s">
        <v>46</v>
      </c>
      <c r="F1067">
        <v>3</v>
      </c>
      <c r="G1067" s="2">
        <v>7800</v>
      </c>
      <c r="H1067" s="3">
        <v>0.15</v>
      </c>
      <c r="I1067" t="s">
        <v>80</v>
      </c>
      <c r="J1067" t="s">
        <v>47</v>
      </c>
      <c r="K1067" t="s">
        <v>55</v>
      </c>
      <c r="L1067" s="2">
        <v>19890</v>
      </c>
      <c r="M1067" t="s">
        <v>56</v>
      </c>
    </row>
    <row r="1068" spans="1:13" x14ac:dyDescent="0.3">
      <c r="A1068" t="s">
        <v>1401</v>
      </c>
      <c r="B1068" s="1">
        <v>46130</v>
      </c>
      <c r="C1068" t="s">
        <v>304</v>
      </c>
      <c r="D1068" t="s">
        <v>70</v>
      </c>
      <c r="E1068" t="s">
        <v>46</v>
      </c>
      <c r="F1068">
        <v>1</v>
      </c>
      <c r="G1068" s="2">
        <v>8190</v>
      </c>
      <c r="H1068" s="3">
        <v>0.15</v>
      </c>
      <c r="I1068" t="s">
        <v>17</v>
      </c>
      <c r="J1068" t="s">
        <v>71</v>
      </c>
      <c r="K1068" t="s">
        <v>25</v>
      </c>
      <c r="L1068" s="2">
        <v>6961.5</v>
      </c>
      <c r="M1068" t="s">
        <v>26</v>
      </c>
    </row>
    <row r="1069" spans="1:13" x14ac:dyDescent="0.3">
      <c r="A1069" t="s">
        <v>1402</v>
      </c>
      <c r="B1069" s="1">
        <v>46085</v>
      </c>
      <c r="C1069" t="s">
        <v>196</v>
      </c>
      <c r="D1069" t="s">
        <v>40</v>
      </c>
      <c r="E1069" t="s">
        <v>51</v>
      </c>
      <c r="F1069">
        <v>2</v>
      </c>
      <c r="G1069" s="2">
        <v>18500</v>
      </c>
      <c r="H1069" s="3">
        <v>0.15</v>
      </c>
      <c r="I1069" t="s">
        <v>17</v>
      </c>
      <c r="J1069" t="s">
        <v>18</v>
      </c>
      <c r="K1069" t="s">
        <v>41</v>
      </c>
      <c r="L1069" s="2">
        <v>31450</v>
      </c>
      <c r="M1069" t="s">
        <v>32</v>
      </c>
    </row>
    <row r="1070" spans="1:13" x14ac:dyDescent="0.3">
      <c r="A1070" t="s">
        <v>1403</v>
      </c>
      <c r="B1070" s="1">
        <v>46194</v>
      </c>
      <c r="C1070" t="s">
        <v>480</v>
      </c>
      <c r="D1070" t="s">
        <v>168</v>
      </c>
      <c r="E1070" t="s">
        <v>46</v>
      </c>
      <c r="F1070">
        <v>4</v>
      </c>
      <c r="G1070" s="2">
        <v>7410</v>
      </c>
      <c r="H1070" s="3">
        <v>0.15</v>
      </c>
      <c r="I1070" t="s">
        <v>17</v>
      </c>
      <c r="J1070" t="s">
        <v>31</v>
      </c>
      <c r="K1070" t="s">
        <v>67</v>
      </c>
      <c r="L1070" s="2">
        <v>25194</v>
      </c>
      <c r="M1070" t="s">
        <v>42</v>
      </c>
    </row>
    <row r="1071" spans="1:13" x14ac:dyDescent="0.3">
      <c r="A1071" t="s">
        <v>1404</v>
      </c>
      <c r="B1071" s="1">
        <v>46108</v>
      </c>
      <c r="C1071" t="s">
        <v>426</v>
      </c>
      <c r="D1071" t="s">
        <v>40</v>
      </c>
      <c r="E1071" t="s">
        <v>63</v>
      </c>
      <c r="F1071">
        <v>4</v>
      </c>
      <c r="G1071" s="2">
        <v>2200</v>
      </c>
      <c r="H1071" s="3">
        <v>0.15</v>
      </c>
      <c r="I1071" t="s">
        <v>17</v>
      </c>
      <c r="J1071" t="s">
        <v>31</v>
      </c>
      <c r="K1071" t="s">
        <v>25</v>
      </c>
      <c r="L1071" s="2">
        <v>7480</v>
      </c>
      <c r="M1071" t="s">
        <v>82</v>
      </c>
    </row>
    <row r="1072" spans="1:13" x14ac:dyDescent="0.3">
      <c r="A1072" t="s">
        <v>1405</v>
      </c>
      <c r="B1072" s="1">
        <v>46036</v>
      </c>
      <c r="C1072" t="s">
        <v>167</v>
      </c>
      <c r="D1072" t="s">
        <v>123</v>
      </c>
      <c r="E1072" t="s">
        <v>24</v>
      </c>
      <c r="F1072">
        <v>2</v>
      </c>
      <c r="G1072" s="2">
        <v>11760</v>
      </c>
      <c r="H1072" s="3">
        <v>0.15</v>
      </c>
      <c r="I1072" t="s">
        <v>17</v>
      </c>
      <c r="J1072" t="s">
        <v>71</v>
      </c>
      <c r="K1072" t="s">
        <v>41</v>
      </c>
      <c r="L1072" s="2">
        <v>19992</v>
      </c>
      <c r="M1072" t="s">
        <v>26</v>
      </c>
    </row>
    <row r="1073" spans="1:13" x14ac:dyDescent="0.3">
      <c r="A1073" t="s">
        <v>1406</v>
      </c>
      <c r="B1073" s="1">
        <v>46183</v>
      </c>
      <c r="C1073" t="s">
        <v>65</v>
      </c>
      <c r="D1073" t="s">
        <v>45</v>
      </c>
      <c r="E1073" t="s">
        <v>85</v>
      </c>
      <c r="F1073">
        <v>10</v>
      </c>
      <c r="G1073" s="2">
        <v>48500</v>
      </c>
      <c r="H1073" s="3">
        <v>0</v>
      </c>
      <c r="I1073" t="s">
        <v>17</v>
      </c>
      <c r="J1073" t="s">
        <v>31</v>
      </c>
      <c r="K1073" t="s">
        <v>19</v>
      </c>
      <c r="L1073" s="2">
        <v>485000</v>
      </c>
      <c r="M1073" t="s">
        <v>59</v>
      </c>
    </row>
    <row r="1074" spans="1:13" x14ac:dyDescent="0.3">
      <c r="A1074" t="s">
        <v>1407</v>
      </c>
      <c r="B1074" s="1">
        <v>46177</v>
      </c>
      <c r="C1074" t="s">
        <v>922</v>
      </c>
      <c r="D1074" t="s">
        <v>77</v>
      </c>
      <c r="E1074" t="s">
        <v>63</v>
      </c>
      <c r="F1074">
        <v>2</v>
      </c>
      <c r="G1074" s="2">
        <v>2310</v>
      </c>
      <c r="H1074" s="3">
        <v>0</v>
      </c>
      <c r="I1074" t="s">
        <v>17</v>
      </c>
      <c r="J1074" t="s">
        <v>18</v>
      </c>
      <c r="K1074" t="s">
        <v>55</v>
      </c>
      <c r="L1074" s="2">
        <v>4620</v>
      </c>
    </row>
    <row r="1075" spans="1:13" x14ac:dyDescent="0.3">
      <c r="A1075" t="s">
        <v>1408</v>
      </c>
      <c r="B1075" s="1">
        <v>46054</v>
      </c>
      <c r="C1075" t="s">
        <v>696</v>
      </c>
      <c r="D1075" t="s">
        <v>45</v>
      </c>
      <c r="E1075" t="s">
        <v>161</v>
      </c>
      <c r="F1075">
        <v>2</v>
      </c>
      <c r="G1075" s="2">
        <v>2600</v>
      </c>
      <c r="H1075" s="3">
        <v>0</v>
      </c>
      <c r="I1075" t="s">
        <v>17</v>
      </c>
      <c r="J1075" t="s">
        <v>31</v>
      </c>
      <c r="K1075" t="s">
        <v>55</v>
      </c>
      <c r="L1075" s="2">
        <v>5200</v>
      </c>
      <c r="M1075" t="s">
        <v>59</v>
      </c>
    </row>
    <row r="1076" spans="1:13" x14ac:dyDescent="0.3">
      <c r="A1076" t="s">
        <v>1409</v>
      </c>
      <c r="B1076" s="1">
        <v>46185</v>
      </c>
      <c r="C1076" t="s">
        <v>332</v>
      </c>
      <c r="D1076" t="s">
        <v>168</v>
      </c>
      <c r="E1076" t="s">
        <v>30</v>
      </c>
      <c r="F1076">
        <v>1</v>
      </c>
      <c r="G1076" s="2">
        <v>1800</v>
      </c>
      <c r="H1076" s="3">
        <v>0.2</v>
      </c>
      <c r="I1076" t="s">
        <v>17</v>
      </c>
      <c r="J1076" t="s">
        <v>18</v>
      </c>
      <c r="K1076" t="s">
        <v>55</v>
      </c>
      <c r="L1076" s="2">
        <v>1440</v>
      </c>
      <c r="M1076" t="s">
        <v>26</v>
      </c>
    </row>
    <row r="1077" spans="1:13" x14ac:dyDescent="0.3">
      <c r="A1077" t="s">
        <v>1410</v>
      </c>
      <c r="B1077" s="1">
        <v>46097</v>
      </c>
      <c r="C1077" t="s">
        <v>1312</v>
      </c>
      <c r="D1077" t="s">
        <v>95</v>
      </c>
      <c r="E1077" t="s">
        <v>63</v>
      </c>
      <c r="F1077">
        <v>8</v>
      </c>
      <c r="G1077" s="2">
        <v>2200</v>
      </c>
      <c r="H1077" s="3">
        <v>0.1</v>
      </c>
      <c r="I1077" t="s">
        <v>17</v>
      </c>
      <c r="J1077" t="s">
        <v>18</v>
      </c>
      <c r="K1077" t="s">
        <v>19</v>
      </c>
      <c r="L1077" s="2">
        <v>15840</v>
      </c>
      <c r="M1077" t="s">
        <v>56</v>
      </c>
    </row>
    <row r="1078" spans="1:13" x14ac:dyDescent="0.3">
      <c r="A1078" t="s">
        <v>1411</v>
      </c>
      <c r="B1078" s="1">
        <v>46129</v>
      </c>
      <c r="C1078" t="s">
        <v>186</v>
      </c>
      <c r="D1078" t="s">
        <v>90</v>
      </c>
      <c r="E1078" t="s">
        <v>161</v>
      </c>
      <c r="F1078">
        <v>1</v>
      </c>
      <c r="G1078" s="2">
        <v>2730</v>
      </c>
      <c r="H1078" s="3">
        <v>0.05</v>
      </c>
      <c r="I1078" t="s">
        <v>17</v>
      </c>
      <c r="J1078" t="s">
        <v>47</v>
      </c>
      <c r="K1078" t="s">
        <v>19</v>
      </c>
      <c r="L1078" s="2">
        <v>2593.5</v>
      </c>
      <c r="M1078" t="s">
        <v>48</v>
      </c>
    </row>
    <row r="1079" spans="1:13" x14ac:dyDescent="0.3">
      <c r="A1079" t="s">
        <v>1412</v>
      </c>
      <c r="B1079" s="1">
        <v>46136</v>
      </c>
      <c r="C1079" t="s">
        <v>705</v>
      </c>
      <c r="D1079" t="s">
        <v>168</v>
      </c>
      <c r="E1079" t="s">
        <v>36</v>
      </c>
      <c r="F1079">
        <v>8</v>
      </c>
      <c r="G1079" s="2">
        <v>1470</v>
      </c>
      <c r="H1079" s="3">
        <v>0.1</v>
      </c>
      <c r="I1079" t="s">
        <v>66</v>
      </c>
      <c r="J1079" t="s">
        <v>31</v>
      </c>
      <c r="K1079" t="s">
        <v>41</v>
      </c>
      <c r="L1079" s="2">
        <v>10584</v>
      </c>
      <c r="M1079" t="s">
        <v>138</v>
      </c>
    </row>
    <row r="1080" spans="1:13" x14ac:dyDescent="0.3">
      <c r="A1080" t="s">
        <v>1413</v>
      </c>
      <c r="B1080" s="1">
        <v>46151</v>
      </c>
      <c r="C1080" t="s">
        <v>298</v>
      </c>
      <c r="D1080" t="s">
        <v>90</v>
      </c>
      <c r="E1080" t="s">
        <v>51</v>
      </c>
      <c r="F1080">
        <v>1</v>
      </c>
      <c r="G1080" s="2">
        <v>17575</v>
      </c>
      <c r="H1080" s="3">
        <v>0.2</v>
      </c>
      <c r="I1080" t="s">
        <v>17</v>
      </c>
      <c r="J1080" t="s">
        <v>71</v>
      </c>
      <c r="K1080" t="s">
        <v>67</v>
      </c>
      <c r="L1080" s="2">
        <v>14060</v>
      </c>
      <c r="M1080" t="s">
        <v>48</v>
      </c>
    </row>
    <row r="1081" spans="1:13" x14ac:dyDescent="0.3">
      <c r="A1081" t="s">
        <v>1414</v>
      </c>
      <c r="B1081" s="1">
        <v>46109</v>
      </c>
      <c r="C1081" t="s">
        <v>494</v>
      </c>
      <c r="D1081" t="s">
        <v>62</v>
      </c>
      <c r="E1081" t="s">
        <v>85</v>
      </c>
      <c r="F1081">
        <v>5</v>
      </c>
      <c r="G1081" s="2">
        <v>48500</v>
      </c>
      <c r="H1081" s="3">
        <v>0</v>
      </c>
      <c r="I1081" t="s">
        <v>17</v>
      </c>
      <c r="J1081" t="s">
        <v>31</v>
      </c>
      <c r="K1081" t="s">
        <v>55</v>
      </c>
      <c r="L1081" s="2">
        <v>242500</v>
      </c>
      <c r="M1081" t="s">
        <v>32</v>
      </c>
    </row>
    <row r="1082" spans="1:13" x14ac:dyDescent="0.3">
      <c r="A1082" t="s">
        <v>1415</v>
      </c>
      <c r="B1082" s="1">
        <v>46143</v>
      </c>
      <c r="C1082" t="s">
        <v>269</v>
      </c>
      <c r="D1082" t="s">
        <v>40</v>
      </c>
      <c r="E1082" t="s">
        <v>74</v>
      </c>
      <c r="F1082">
        <v>1</v>
      </c>
      <c r="G1082" s="2">
        <v>2400</v>
      </c>
      <c r="H1082" s="3">
        <v>0.2</v>
      </c>
      <c r="I1082" t="s">
        <v>80</v>
      </c>
      <c r="J1082" t="s">
        <v>47</v>
      </c>
      <c r="K1082" t="s">
        <v>25</v>
      </c>
      <c r="L1082" s="2">
        <v>1920</v>
      </c>
      <c r="M1082" t="s">
        <v>48</v>
      </c>
    </row>
    <row r="1083" spans="1:13" x14ac:dyDescent="0.3">
      <c r="A1083" t="s">
        <v>1416</v>
      </c>
      <c r="B1083" s="1">
        <v>46112</v>
      </c>
      <c r="C1083" t="s">
        <v>158</v>
      </c>
      <c r="D1083" t="s">
        <v>40</v>
      </c>
      <c r="E1083" t="s">
        <v>183</v>
      </c>
      <c r="F1083">
        <v>4</v>
      </c>
      <c r="G1083" s="2">
        <v>3200</v>
      </c>
      <c r="H1083" s="3">
        <v>0</v>
      </c>
      <c r="I1083" t="s">
        <v>17</v>
      </c>
      <c r="J1083" t="s">
        <v>31</v>
      </c>
      <c r="K1083" t="s">
        <v>19</v>
      </c>
      <c r="L1083" s="2">
        <v>12800</v>
      </c>
      <c r="M1083" t="s">
        <v>56</v>
      </c>
    </row>
    <row r="1084" spans="1:13" x14ac:dyDescent="0.3">
      <c r="A1084" t="s">
        <v>1417</v>
      </c>
      <c r="B1084" s="1">
        <v>46196</v>
      </c>
      <c r="C1084" t="s">
        <v>298</v>
      </c>
      <c r="D1084" t="s">
        <v>62</v>
      </c>
      <c r="E1084" t="s">
        <v>36</v>
      </c>
      <c r="F1084">
        <v>4</v>
      </c>
      <c r="G1084" s="2">
        <v>1330</v>
      </c>
      <c r="H1084" s="3">
        <v>0.2</v>
      </c>
      <c r="I1084" t="s">
        <v>17</v>
      </c>
      <c r="J1084" t="s">
        <v>18</v>
      </c>
      <c r="K1084" t="s">
        <v>55</v>
      </c>
      <c r="L1084" s="2">
        <v>4256</v>
      </c>
      <c r="M1084" t="s">
        <v>42</v>
      </c>
    </row>
    <row r="1085" spans="1:13" x14ac:dyDescent="0.3">
      <c r="A1085" t="s">
        <v>1418</v>
      </c>
      <c r="B1085" s="1">
        <v>46038</v>
      </c>
      <c r="C1085" t="s">
        <v>568</v>
      </c>
      <c r="D1085" t="s">
        <v>40</v>
      </c>
      <c r="E1085" t="s">
        <v>135</v>
      </c>
      <c r="F1085">
        <v>1</v>
      </c>
      <c r="G1085" s="2">
        <v>16800</v>
      </c>
      <c r="H1085" s="3">
        <v>0.2</v>
      </c>
      <c r="I1085" t="s">
        <v>17</v>
      </c>
      <c r="J1085" t="s">
        <v>71</v>
      </c>
      <c r="K1085" t="s">
        <v>67</v>
      </c>
      <c r="L1085" s="2">
        <v>13440</v>
      </c>
      <c r="M1085" t="s">
        <v>42</v>
      </c>
    </row>
    <row r="1086" spans="1:13" x14ac:dyDescent="0.3">
      <c r="A1086" t="s">
        <v>1419</v>
      </c>
      <c r="B1086" s="1">
        <v>46201</v>
      </c>
      <c r="C1086" t="s">
        <v>1420</v>
      </c>
      <c r="D1086" t="s">
        <v>62</v>
      </c>
      <c r="E1086" t="s">
        <v>161</v>
      </c>
      <c r="F1086">
        <v>1</v>
      </c>
      <c r="G1086" s="2">
        <v>2600</v>
      </c>
      <c r="H1086" s="3">
        <v>0.2</v>
      </c>
      <c r="I1086" t="s">
        <v>17</v>
      </c>
      <c r="J1086" t="s">
        <v>47</v>
      </c>
      <c r="K1086" t="s">
        <v>55</v>
      </c>
      <c r="L1086" s="2">
        <v>2080</v>
      </c>
      <c r="M1086" t="s">
        <v>56</v>
      </c>
    </row>
    <row r="1087" spans="1:13" x14ac:dyDescent="0.3">
      <c r="A1087" t="s">
        <v>1421</v>
      </c>
      <c r="B1087" s="1">
        <v>46196</v>
      </c>
      <c r="C1087" t="s">
        <v>14</v>
      </c>
      <c r="D1087" t="s">
        <v>45</v>
      </c>
      <c r="E1087" t="s">
        <v>24</v>
      </c>
      <c r="F1087">
        <v>1</v>
      </c>
      <c r="G1087" s="2">
        <v>11200</v>
      </c>
      <c r="H1087" s="3">
        <v>0</v>
      </c>
      <c r="I1087" t="s">
        <v>17</v>
      </c>
      <c r="J1087" t="s">
        <v>31</v>
      </c>
      <c r="K1087" t="s">
        <v>19</v>
      </c>
      <c r="L1087" s="2">
        <v>11200</v>
      </c>
      <c r="M1087" t="s">
        <v>52</v>
      </c>
    </row>
    <row r="1088" spans="1:13" x14ac:dyDescent="0.3">
      <c r="A1088" t="s">
        <v>1422</v>
      </c>
      <c r="B1088" s="1">
        <v>46031</v>
      </c>
      <c r="C1088" t="s">
        <v>227</v>
      </c>
      <c r="D1088" t="s">
        <v>29</v>
      </c>
      <c r="E1088" t="s">
        <v>30</v>
      </c>
      <c r="F1088">
        <v>5</v>
      </c>
      <c r="G1088" s="2">
        <v>1710</v>
      </c>
      <c r="H1088" s="3">
        <v>0.05</v>
      </c>
      <c r="I1088" t="s">
        <v>17</v>
      </c>
      <c r="J1088" t="s">
        <v>71</v>
      </c>
      <c r="K1088" t="s">
        <v>25</v>
      </c>
      <c r="L1088" s="2">
        <v>8122.5</v>
      </c>
      <c r="M1088" t="s">
        <v>56</v>
      </c>
    </row>
    <row r="1089" spans="1:13" x14ac:dyDescent="0.3">
      <c r="A1089" t="s">
        <v>1423</v>
      </c>
      <c r="B1089" s="1">
        <v>46071</v>
      </c>
      <c r="C1089" t="s">
        <v>363</v>
      </c>
      <c r="D1089" t="s">
        <v>90</v>
      </c>
      <c r="E1089" t="s">
        <v>24</v>
      </c>
      <c r="F1089">
        <v>3</v>
      </c>
      <c r="G1089" s="2">
        <v>11200</v>
      </c>
      <c r="H1089" s="3">
        <v>0.1</v>
      </c>
      <c r="I1089" t="s">
        <v>17</v>
      </c>
      <c r="J1089" t="s">
        <v>31</v>
      </c>
      <c r="K1089" t="s">
        <v>55</v>
      </c>
      <c r="L1089" s="2">
        <v>30240</v>
      </c>
      <c r="M1089" t="s">
        <v>32</v>
      </c>
    </row>
    <row r="1090" spans="1:13" x14ac:dyDescent="0.3">
      <c r="A1090" t="s">
        <v>1424</v>
      </c>
      <c r="B1090" s="1">
        <v>46183</v>
      </c>
      <c r="C1090" t="s">
        <v>194</v>
      </c>
      <c r="E1090" t="s">
        <v>63</v>
      </c>
      <c r="F1090">
        <v>3</v>
      </c>
      <c r="G1090" s="2">
        <v>2200</v>
      </c>
      <c r="H1090" s="3">
        <v>0</v>
      </c>
      <c r="I1090" t="s">
        <v>17</v>
      </c>
      <c r="J1090" t="s">
        <v>31</v>
      </c>
      <c r="K1090" t="s">
        <v>55</v>
      </c>
      <c r="L1090" s="2">
        <v>6600</v>
      </c>
      <c r="M1090" t="s">
        <v>52</v>
      </c>
    </row>
    <row r="1091" spans="1:13" x14ac:dyDescent="0.3">
      <c r="A1091" t="s">
        <v>1425</v>
      </c>
      <c r="B1091" s="1">
        <v>46036</v>
      </c>
      <c r="C1091" t="s">
        <v>767</v>
      </c>
      <c r="D1091" t="s">
        <v>40</v>
      </c>
      <c r="E1091" t="s">
        <v>51</v>
      </c>
      <c r="F1091">
        <v>2</v>
      </c>
      <c r="G1091" s="2">
        <v>18500</v>
      </c>
      <c r="H1091" s="3">
        <v>0</v>
      </c>
      <c r="I1091" t="s">
        <v>17</v>
      </c>
      <c r="J1091" t="s">
        <v>18</v>
      </c>
      <c r="K1091" t="s">
        <v>67</v>
      </c>
      <c r="L1091" s="2">
        <v>37000</v>
      </c>
      <c r="M1091" t="s">
        <v>42</v>
      </c>
    </row>
    <row r="1092" spans="1:13" x14ac:dyDescent="0.3">
      <c r="A1092" t="s">
        <v>1426</v>
      </c>
      <c r="B1092" s="1">
        <v>46063</v>
      </c>
      <c r="C1092" t="s">
        <v>58</v>
      </c>
      <c r="D1092" t="s">
        <v>45</v>
      </c>
      <c r="E1092" t="s">
        <v>63</v>
      </c>
      <c r="F1092">
        <v>2</v>
      </c>
      <c r="G1092" s="2">
        <v>2200</v>
      </c>
      <c r="H1092" s="3">
        <v>0</v>
      </c>
      <c r="I1092" t="s">
        <v>66</v>
      </c>
      <c r="J1092" t="s">
        <v>31</v>
      </c>
      <c r="K1092" t="s">
        <v>25</v>
      </c>
      <c r="L1092" s="2">
        <v>4400</v>
      </c>
      <c r="M1092" t="s">
        <v>42</v>
      </c>
    </row>
    <row r="1093" spans="1:13" x14ac:dyDescent="0.3">
      <c r="A1093" t="s">
        <v>1427</v>
      </c>
      <c r="B1093" s="1">
        <v>46172</v>
      </c>
      <c r="C1093" t="s">
        <v>332</v>
      </c>
      <c r="D1093" t="s">
        <v>62</v>
      </c>
      <c r="E1093" t="s">
        <v>135</v>
      </c>
      <c r="F1093">
        <v>3</v>
      </c>
      <c r="G1093" s="2">
        <v>16800</v>
      </c>
      <c r="H1093" s="3">
        <v>0</v>
      </c>
      <c r="I1093" t="s">
        <v>17</v>
      </c>
      <c r="J1093" t="s">
        <v>47</v>
      </c>
      <c r="K1093" t="s">
        <v>19</v>
      </c>
      <c r="L1093" s="2">
        <v>50400</v>
      </c>
      <c r="M1093" t="s">
        <v>59</v>
      </c>
    </row>
    <row r="1094" spans="1:13" x14ac:dyDescent="0.3">
      <c r="A1094" t="s">
        <v>1428</v>
      </c>
      <c r="B1094" s="1">
        <v>46075</v>
      </c>
      <c r="C1094" t="s">
        <v>264</v>
      </c>
      <c r="D1094" t="s">
        <v>152</v>
      </c>
      <c r="E1094" t="s">
        <v>85</v>
      </c>
      <c r="F1094">
        <v>2</v>
      </c>
      <c r="G1094" s="2">
        <v>46075</v>
      </c>
      <c r="H1094" s="3">
        <v>0.2</v>
      </c>
      <c r="I1094" t="s">
        <v>80</v>
      </c>
      <c r="J1094" t="s">
        <v>18</v>
      </c>
      <c r="K1094" t="s">
        <v>19</v>
      </c>
      <c r="L1094" s="2">
        <v>73720</v>
      </c>
      <c r="M1094" t="s">
        <v>48</v>
      </c>
    </row>
    <row r="1095" spans="1:13" x14ac:dyDescent="0.3">
      <c r="A1095" t="s">
        <v>1429</v>
      </c>
      <c r="B1095" s="1">
        <v>46179</v>
      </c>
      <c r="C1095" t="s">
        <v>457</v>
      </c>
      <c r="D1095" t="s">
        <v>123</v>
      </c>
      <c r="E1095" t="s">
        <v>16</v>
      </c>
      <c r="F1095">
        <v>2</v>
      </c>
      <c r="G1095" s="2">
        <v>617.5</v>
      </c>
      <c r="H1095" s="3">
        <v>0</v>
      </c>
      <c r="I1095" t="s">
        <v>752</v>
      </c>
      <c r="J1095" t="s">
        <v>71</v>
      </c>
      <c r="K1095" t="s">
        <v>67</v>
      </c>
      <c r="L1095" s="2">
        <v>1235</v>
      </c>
      <c r="M1095" t="s">
        <v>20</v>
      </c>
    </row>
    <row r="1096" spans="1:13" x14ac:dyDescent="0.3">
      <c r="A1096" t="s">
        <v>1430</v>
      </c>
      <c r="B1096" s="1">
        <v>46049</v>
      </c>
      <c r="C1096" t="s">
        <v>774</v>
      </c>
      <c r="D1096" t="s">
        <v>168</v>
      </c>
      <c r="E1096" t="s">
        <v>46</v>
      </c>
      <c r="F1096">
        <v>2</v>
      </c>
      <c r="G1096" s="2">
        <v>8190</v>
      </c>
      <c r="H1096" s="3">
        <v>0.2</v>
      </c>
      <c r="I1096" t="s">
        <v>17</v>
      </c>
      <c r="J1096" t="s">
        <v>71</v>
      </c>
      <c r="K1096" t="s">
        <v>19</v>
      </c>
      <c r="L1096" s="2">
        <v>13104</v>
      </c>
      <c r="M1096" t="s">
        <v>20</v>
      </c>
    </row>
    <row r="1097" spans="1:13" x14ac:dyDescent="0.3">
      <c r="A1097" t="s">
        <v>1431</v>
      </c>
      <c r="B1097" s="1">
        <v>46029</v>
      </c>
      <c r="C1097" t="s">
        <v>254</v>
      </c>
      <c r="D1097" t="s">
        <v>29</v>
      </c>
      <c r="F1097">
        <v>2</v>
      </c>
      <c r="G1097" s="2">
        <v>10640</v>
      </c>
      <c r="H1097" s="3">
        <v>0.1</v>
      </c>
      <c r="I1097" t="s">
        <v>17</v>
      </c>
      <c r="J1097" t="s">
        <v>31</v>
      </c>
      <c r="K1097" t="s">
        <v>55</v>
      </c>
      <c r="L1097" s="2">
        <v>19152</v>
      </c>
      <c r="M1097" t="s">
        <v>32</v>
      </c>
    </row>
    <row r="1098" spans="1:13" x14ac:dyDescent="0.3">
      <c r="A1098" t="s">
        <v>1432</v>
      </c>
      <c r="B1098" s="1">
        <v>46201</v>
      </c>
      <c r="C1098" t="s">
        <v>440</v>
      </c>
      <c r="D1098" t="s">
        <v>50</v>
      </c>
      <c r="E1098" t="s">
        <v>161</v>
      </c>
      <c r="F1098">
        <v>3</v>
      </c>
      <c r="G1098" s="2">
        <v>2730</v>
      </c>
      <c r="H1098" s="3">
        <v>0.15</v>
      </c>
      <c r="I1098" t="s">
        <v>17</v>
      </c>
      <c r="J1098" t="s">
        <v>47</v>
      </c>
      <c r="K1098" t="s">
        <v>67</v>
      </c>
      <c r="L1098" s="2">
        <v>6961.5</v>
      </c>
      <c r="M1098" t="s">
        <v>52</v>
      </c>
    </row>
    <row r="1099" spans="1:13" x14ac:dyDescent="0.3">
      <c r="A1099" t="s">
        <v>1433</v>
      </c>
      <c r="B1099" s="1">
        <v>46110</v>
      </c>
      <c r="C1099" t="s">
        <v>450</v>
      </c>
      <c r="D1099" t="s">
        <v>70</v>
      </c>
      <c r="E1099" t="s">
        <v>16</v>
      </c>
      <c r="F1099">
        <v>1</v>
      </c>
      <c r="G1099" s="2">
        <v>650</v>
      </c>
      <c r="H1099" s="3">
        <v>0</v>
      </c>
      <c r="I1099" t="s">
        <v>17</v>
      </c>
      <c r="J1099" t="s">
        <v>31</v>
      </c>
      <c r="K1099" t="s">
        <v>19</v>
      </c>
      <c r="L1099" s="2">
        <v>650</v>
      </c>
      <c r="M1099" t="s">
        <v>52</v>
      </c>
    </row>
    <row r="1100" spans="1:13" x14ac:dyDescent="0.3">
      <c r="A1100" t="s">
        <v>1434</v>
      </c>
      <c r="B1100" s="1">
        <v>46037</v>
      </c>
      <c r="C1100" t="s">
        <v>308</v>
      </c>
      <c r="D1100" t="s">
        <v>15</v>
      </c>
      <c r="E1100" t="s">
        <v>16</v>
      </c>
      <c r="F1100">
        <v>1</v>
      </c>
      <c r="G1100" s="2">
        <v>650</v>
      </c>
      <c r="H1100" s="3">
        <v>0</v>
      </c>
      <c r="I1100" t="s">
        <v>17</v>
      </c>
      <c r="J1100" t="s">
        <v>71</v>
      </c>
      <c r="K1100" t="s">
        <v>67</v>
      </c>
      <c r="L1100" s="2">
        <v>650</v>
      </c>
      <c r="M1100" t="s">
        <v>59</v>
      </c>
    </row>
    <row r="1101" spans="1:13" x14ac:dyDescent="0.3">
      <c r="A1101" t="s">
        <v>1435</v>
      </c>
      <c r="B1101" s="1">
        <v>46178</v>
      </c>
      <c r="C1101" t="s">
        <v>623</v>
      </c>
      <c r="D1101" t="s">
        <v>70</v>
      </c>
      <c r="E1101" t="s">
        <v>46</v>
      </c>
      <c r="F1101">
        <v>3</v>
      </c>
      <c r="G1101" s="2">
        <v>7800</v>
      </c>
      <c r="H1101" s="3">
        <v>0.2</v>
      </c>
      <c r="I1101" t="s">
        <v>17</v>
      </c>
      <c r="J1101" t="s">
        <v>18</v>
      </c>
      <c r="K1101" t="s">
        <v>67</v>
      </c>
      <c r="L1101" s="2">
        <v>18720</v>
      </c>
      <c r="M1101" t="s">
        <v>52</v>
      </c>
    </row>
    <row r="1102" spans="1:13" x14ac:dyDescent="0.3">
      <c r="A1102" t="s">
        <v>1436</v>
      </c>
      <c r="B1102" s="1">
        <v>46136</v>
      </c>
      <c r="C1102" t="s">
        <v>129</v>
      </c>
      <c r="D1102" t="s">
        <v>123</v>
      </c>
      <c r="E1102" t="s">
        <v>135</v>
      </c>
      <c r="F1102">
        <v>8</v>
      </c>
      <c r="G1102" s="2">
        <v>16800</v>
      </c>
      <c r="H1102" s="3">
        <v>0.15</v>
      </c>
      <c r="I1102" t="s">
        <v>17</v>
      </c>
      <c r="J1102" t="s">
        <v>47</v>
      </c>
      <c r="K1102" t="s">
        <v>25</v>
      </c>
      <c r="L1102" s="2">
        <v>114240</v>
      </c>
      <c r="M1102" t="s">
        <v>82</v>
      </c>
    </row>
    <row r="1103" spans="1:13" x14ac:dyDescent="0.3">
      <c r="A1103" t="s">
        <v>1437</v>
      </c>
      <c r="B1103" s="1">
        <v>46049</v>
      </c>
      <c r="C1103" t="s">
        <v>559</v>
      </c>
      <c r="D1103" t="s">
        <v>168</v>
      </c>
      <c r="E1103" t="s">
        <v>36</v>
      </c>
      <c r="F1103">
        <v>5</v>
      </c>
      <c r="G1103" s="2">
        <v>1470</v>
      </c>
      <c r="H1103" s="3">
        <v>0.2</v>
      </c>
      <c r="I1103" t="s">
        <v>80</v>
      </c>
      <c r="J1103" t="s">
        <v>31</v>
      </c>
      <c r="K1103" t="s">
        <v>41</v>
      </c>
      <c r="L1103" s="2">
        <v>5880</v>
      </c>
      <c r="M1103" t="s">
        <v>59</v>
      </c>
    </row>
    <row r="1104" spans="1:13" x14ac:dyDescent="0.3">
      <c r="A1104" t="s">
        <v>1438</v>
      </c>
      <c r="B1104" s="1">
        <v>46156</v>
      </c>
      <c r="C1104" t="s">
        <v>499</v>
      </c>
      <c r="D1104" t="s">
        <v>23</v>
      </c>
      <c r="E1104" t="s">
        <v>135</v>
      </c>
      <c r="F1104">
        <v>4</v>
      </c>
      <c r="G1104" s="2">
        <v>16800</v>
      </c>
      <c r="H1104" s="3">
        <v>0</v>
      </c>
      <c r="I1104" t="s">
        <v>17</v>
      </c>
      <c r="J1104" t="s">
        <v>71</v>
      </c>
      <c r="K1104" t="s">
        <v>55</v>
      </c>
      <c r="L1104" s="2">
        <v>67200</v>
      </c>
      <c r="M1104" t="s">
        <v>56</v>
      </c>
    </row>
    <row r="1105" spans="1:13" x14ac:dyDescent="0.3">
      <c r="A1105" t="s">
        <v>1439</v>
      </c>
      <c r="B1105" s="1">
        <v>46052</v>
      </c>
      <c r="C1105" t="s">
        <v>115</v>
      </c>
      <c r="D1105" t="s">
        <v>168</v>
      </c>
      <c r="E1105" t="s">
        <v>46</v>
      </c>
      <c r="F1105">
        <v>4</v>
      </c>
      <c r="G1105" s="2">
        <v>8190</v>
      </c>
      <c r="H1105" s="3">
        <v>0.05</v>
      </c>
      <c r="I1105" t="s">
        <v>17</v>
      </c>
      <c r="J1105" t="s">
        <v>31</v>
      </c>
      <c r="K1105" t="s">
        <v>19</v>
      </c>
      <c r="L1105" s="2">
        <v>31122</v>
      </c>
      <c r="M1105" t="s">
        <v>26</v>
      </c>
    </row>
    <row r="1106" spans="1:13" x14ac:dyDescent="0.3">
      <c r="A1106" t="s">
        <v>1440</v>
      </c>
      <c r="B1106" s="1">
        <v>46179</v>
      </c>
      <c r="C1106" t="s">
        <v>338</v>
      </c>
      <c r="D1106" t="s">
        <v>70</v>
      </c>
      <c r="E1106" t="s">
        <v>46</v>
      </c>
      <c r="F1106">
        <v>1</v>
      </c>
      <c r="G1106" s="2">
        <v>7410</v>
      </c>
      <c r="H1106" s="3">
        <v>0.1</v>
      </c>
      <c r="I1106" t="s">
        <v>17</v>
      </c>
      <c r="J1106" t="s">
        <v>71</v>
      </c>
      <c r="K1106" t="s">
        <v>55</v>
      </c>
      <c r="L1106" s="2">
        <v>6669</v>
      </c>
      <c r="M1106" t="s">
        <v>59</v>
      </c>
    </row>
    <row r="1107" spans="1:13" x14ac:dyDescent="0.3">
      <c r="A1107" t="s">
        <v>1441</v>
      </c>
      <c r="B1107" s="1">
        <v>46191</v>
      </c>
      <c r="C1107" t="s">
        <v>175</v>
      </c>
      <c r="D1107" t="s">
        <v>70</v>
      </c>
      <c r="E1107" t="s">
        <v>51</v>
      </c>
      <c r="F1107">
        <v>1</v>
      </c>
      <c r="G1107" s="2">
        <v>18500</v>
      </c>
      <c r="H1107" s="3">
        <v>0.05</v>
      </c>
      <c r="I1107" t="s">
        <v>17</v>
      </c>
      <c r="J1107" t="s">
        <v>47</v>
      </c>
      <c r="K1107" t="s">
        <v>67</v>
      </c>
      <c r="L1107" s="2">
        <v>17575</v>
      </c>
      <c r="M1107" t="s">
        <v>48</v>
      </c>
    </row>
    <row r="1108" spans="1:13" x14ac:dyDescent="0.3">
      <c r="A1108" t="s">
        <v>1442</v>
      </c>
      <c r="B1108" s="1">
        <v>46078</v>
      </c>
      <c r="C1108" t="s">
        <v>857</v>
      </c>
      <c r="D1108" t="s">
        <v>29</v>
      </c>
      <c r="E1108" t="s">
        <v>16</v>
      </c>
      <c r="F1108">
        <v>2</v>
      </c>
      <c r="G1108" s="2">
        <v>682.5</v>
      </c>
      <c r="H1108" s="3">
        <v>0.15</v>
      </c>
      <c r="I1108" t="s">
        <v>17</v>
      </c>
      <c r="J1108" t="s">
        <v>31</v>
      </c>
      <c r="K1108" t="s">
        <v>25</v>
      </c>
      <c r="L1108" s="2">
        <v>1160.25</v>
      </c>
      <c r="M1108" t="s">
        <v>32</v>
      </c>
    </row>
    <row r="1109" spans="1:13" x14ac:dyDescent="0.3">
      <c r="A1109" t="s">
        <v>1443</v>
      </c>
      <c r="B1109" s="1">
        <v>46196</v>
      </c>
      <c r="C1109" t="s">
        <v>848</v>
      </c>
      <c r="D1109" t="s">
        <v>45</v>
      </c>
      <c r="E1109" t="s">
        <v>51</v>
      </c>
      <c r="F1109">
        <v>2</v>
      </c>
      <c r="G1109" s="2">
        <v>18500</v>
      </c>
      <c r="H1109" s="3">
        <v>0.15</v>
      </c>
      <c r="I1109" t="s">
        <v>17</v>
      </c>
      <c r="J1109" t="s">
        <v>18</v>
      </c>
      <c r="K1109" t="s">
        <v>55</v>
      </c>
      <c r="L1109" s="2">
        <v>31450</v>
      </c>
      <c r="M1109" t="s">
        <v>52</v>
      </c>
    </row>
    <row r="1110" spans="1:13" x14ac:dyDescent="0.3">
      <c r="A1110" t="s">
        <v>1444</v>
      </c>
      <c r="B1110" s="1">
        <v>46056</v>
      </c>
      <c r="C1110" t="s">
        <v>747</v>
      </c>
      <c r="D1110" t="s">
        <v>77</v>
      </c>
      <c r="E1110" t="s">
        <v>16</v>
      </c>
      <c r="F1110">
        <v>1</v>
      </c>
      <c r="G1110" s="2">
        <v>617.5</v>
      </c>
      <c r="H1110" s="3">
        <v>0.2</v>
      </c>
      <c r="I1110" t="s">
        <v>80</v>
      </c>
      <c r="J1110" t="s">
        <v>47</v>
      </c>
      <c r="K1110" t="s">
        <v>67</v>
      </c>
      <c r="L1110" s="2">
        <v>494</v>
      </c>
      <c r="M1110" t="s">
        <v>48</v>
      </c>
    </row>
    <row r="1111" spans="1:13" x14ac:dyDescent="0.3">
      <c r="A1111" t="s">
        <v>1445</v>
      </c>
      <c r="B1111" s="1">
        <v>46124</v>
      </c>
      <c r="C1111" t="s">
        <v>669</v>
      </c>
      <c r="D1111" t="s">
        <v>168</v>
      </c>
      <c r="E1111" t="s">
        <v>183</v>
      </c>
      <c r="F1111">
        <v>1</v>
      </c>
      <c r="G1111" s="2">
        <v>3040</v>
      </c>
      <c r="H1111" s="3">
        <v>0.05</v>
      </c>
      <c r="I1111" t="s">
        <v>17</v>
      </c>
      <c r="J1111" t="s">
        <v>47</v>
      </c>
      <c r="K1111" t="s">
        <v>25</v>
      </c>
      <c r="L1111" s="2">
        <v>2888</v>
      </c>
      <c r="M1111" t="s">
        <v>138</v>
      </c>
    </row>
    <row r="1112" spans="1:13" x14ac:dyDescent="0.3">
      <c r="A1112" t="s">
        <v>1446</v>
      </c>
      <c r="B1112" s="1">
        <v>46090</v>
      </c>
      <c r="C1112" t="s">
        <v>499</v>
      </c>
      <c r="D1112" t="s">
        <v>90</v>
      </c>
      <c r="E1112" t="s">
        <v>30</v>
      </c>
      <c r="F1112">
        <v>2</v>
      </c>
      <c r="G1112" s="2">
        <v>1890</v>
      </c>
      <c r="H1112" s="3">
        <v>0</v>
      </c>
      <c r="I1112" t="s">
        <v>17</v>
      </c>
      <c r="J1112" t="s">
        <v>47</v>
      </c>
      <c r="K1112" t="s">
        <v>55</v>
      </c>
      <c r="L1112" s="2">
        <v>3780</v>
      </c>
      <c r="M1112" t="s">
        <v>82</v>
      </c>
    </row>
    <row r="1113" spans="1:13" x14ac:dyDescent="0.3">
      <c r="A1113" t="s">
        <v>1447</v>
      </c>
      <c r="B1113" s="1">
        <v>46078</v>
      </c>
      <c r="C1113" t="s">
        <v>260</v>
      </c>
      <c r="D1113" t="s">
        <v>70</v>
      </c>
      <c r="E1113" t="s">
        <v>16</v>
      </c>
      <c r="F1113">
        <v>3</v>
      </c>
      <c r="G1113" s="2">
        <v>650</v>
      </c>
      <c r="H1113" s="3">
        <v>0</v>
      </c>
      <c r="I1113" t="s">
        <v>17</v>
      </c>
      <c r="J1113" t="s">
        <v>18</v>
      </c>
      <c r="K1113" t="s">
        <v>41</v>
      </c>
      <c r="L1113" s="2">
        <v>1950</v>
      </c>
      <c r="M1113" t="s">
        <v>26</v>
      </c>
    </row>
    <row r="1114" spans="1:13" x14ac:dyDescent="0.3">
      <c r="A1114" t="s">
        <v>1448</v>
      </c>
      <c r="B1114" s="1">
        <v>46093</v>
      </c>
      <c r="C1114" t="s">
        <v>448</v>
      </c>
      <c r="D1114" t="s">
        <v>45</v>
      </c>
      <c r="E1114" t="s">
        <v>46</v>
      </c>
      <c r="F1114">
        <v>1</v>
      </c>
      <c r="G1114" s="2">
        <v>7410</v>
      </c>
      <c r="H1114" s="3">
        <v>0.2</v>
      </c>
      <c r="I1114" t="s">
        <v>17</v>
      </c>
      <c r="J1114" t="s">
        <v>31</v>
      </c>
      <c r="K1114" t="s">
        <v>19</v>
      </c>
      <c r="L1114" s="2">
        <v>5928</v>
      </c>
      <c r="M1114" t="s">
        <v>59</v>
      </c>
    </row>
    <row r="1115" spans="1:13" x14ac:dyDescent="0.3">
      <c r="A1115" t="s">
        <v>1449</v>
      </c>
      <c r="B1115" s="1">
        <v>46198</v>
      </c>
      <c r="C1115" t="s">
        <v>426</v>
      </c>
      <c r="D1115" t="s">
        <v>152</v>
      </c>
      <c r="E1115" t="s">
        <v>46</v>
      </c>
      <c r="F1115">
        <v>3</v>
      </c>
      <c r="G1115" s="2">
        <v>7800</v>
      </c>
      <c r="H1115" s="3">
        <v>0</v>
      </c>
      <c r="I1115" t="s">
        <v>17</v>
      </c>
      <c r="J1115" t="s">
        <v>47</v>
      </c>
      <c r="K1115" t="s">
        <v>67</v>
      </c>
      <c r="L1115" s="2">
        <v>23400</v>
      </c>
      <c r="M1115" t="s">
        <v>20</v>
      </c>
    </row>
    <row r="1116" spans="1:13" x14ac:dyDescent="0.3">
      <c r="A1116" t="s">
        <v>1450</v>
      </c>
      <c r="B1116" s="1">
        <v>46196</v>
      </c>
      <c r="C1116" t="s">
        <v>94</v>
      </c>
      <c r="D1116" t="s">
        <v>90</v>
      </c>
      <c r="E1116" t="s">
        <v>36</v>
      </c>
      <c r="F1116">
        <v>2</v>
      </c>
      <c r="G1116" s="2">
        <v>1400</v>
      </c>
      <c r="H1116" s="3">
        <v>0</v>
      </c>
      <c r="I1116" t="s">
        <v>17</v>
      </c>
      <c r="J1116" t="s">
        <v>31</v>
      </c>
      <c r="K1116" t="s">
        <v>25</v>
      </c>
      <c r="L1116" s="2">
        <v>2800</v>
      </c>
      <c r="M1116" t="s">
        <v>56</v>
      </c>
    </row>
    <row r="1117" spans="1:13" x14ac:dyDescent="0.3">
      <c r="A1117" t="s">
        <v>1451</v>
      </c>
      <c r="B1117" s="1">
        <v>46051</v>
      </c>
      <c r="C1117" t="s">
        <v>87</v>
      </c>
      <c r="D1117" t="s">
        <v>152</v>
      </c>
      <c r="E1117" t="s">
        <v>63</v>
      </c>
      <c r="F1117">
        <v>1</v>
      </c>
      <c r="G1117" s="2">
        <v>2310</v>
      </c>
      <c r="H1117" s="3">
        <v>0.05</v>
      </c>
      <c r="I1117" t="s">
        <v>17</v>
      </c>
      <c r="J1117" t="s">
        <v>18</v>
      </c>
      <c r="K1117" t="s">
        <v>67</v>
      </c>
      <c r="L1117" s="2">
        <v>2194.5</v>
      </c>
      <c r="M1117" t="s">
        <v>59</v>
      </c>
    </row>
    <row r="1118" spans="1:13" x14ac:dyDescent="0.3">
      <c r="A1118" t="s">
        <v>1452</v>
      </c>
      <c r="B1118" s="1">
        <v>46029</v>
      </c>
      <c r="C1118" t="s">
        <v>330</v>
      </c>
      <c r="D1118" t="s">
        <v>35</v>
      </c>
      <c r="E1118" t="s">
        <v>183</v>
      </c>
      <c r="F1118">
        <v>4</v>
      </c>
      <c r="G1118" s="2">
        <v>3200</v>
      </c>
      <c r="H1118" s="3">
        <v>0.05</v>
      </c>
      <c r="I1118" t="s">
        <v>116</v>
      </c>
      <c r="J1118" t="s">
        <v>47</v>
      </c>
      <c r="K1118" t="s">
        <v>25</v>
      </c>
      <c r="L1118" s="2">
        <v>12160</v>
      </c>
      <c r="M1118" t="s">
        <v>20</v>
      </c>
    </row>
    <row r="1119" spans="1:13" x14ac:dyDescent="0.3">
      <c r="A1119" t="s">
        <v>1453</v>
      </c>
      <c r="B1119" s="1">
        <v>46064</v>
      </c>
      <c r="C1119" t="s">
        <v>150</v>
      </c>
      <c r="D1119" t="s">
        <v>35</v>
      </c>
      <c r="E1119" t="s">
        <v>16</v>
      </c>
      <c r="F1119">
        <v>1</v>
      </c>
      <c r="G1119" s="2">
        <v>617.5</v>
      </c>
      <c r="H1119" s="3">
        <v>0</v>
      </c>
      <c r="I1119" t="s">
        <v>80</v>
      </c>
      <c r="J1119" t="s">
        <v>71</v>
      </c>
      <c r="K1119" t="s">
        <v>67</v>
      </c>
      <c r="L1119" s="2">
        <v>617.5</v>
      </c>
      <c r="M1119" t="s">
        <v>82</v>
      </c>
    </row>
    <row r="1120" spans="1:13" x14ac:dyDescent="0.3">
      <c r="A1120" t="s">
        <v>1454</v>
      </c>
      <c r="B1120" s="1">
        <v>46153</v>
      </c>
      <c r="C1120" t="s">
        <v>709</v>
      </c>
      <c r="D1120" t="s">
        <v>29</v>
      </c>
      <c r="E1120" t="s">
        <v>183</v>
      </c>
      <c r="F1120">
        <v>3</v>
      </c>
      <c r="G1120" s="2">
        <v>3040</v>
      </c>
      <c r="H1120" s="3">
        <v>0</v>
      </c>
      <c r="I1120" t="s">
        <v>17</v>
      </c>
      <c r="J1120" t="s">
        <v>18</v>
      </c>
      <c r="K1120" t="s">
        <v>19</v>
      </c>
      <c r="L1120" s="2">
        <v>9120</v>
      </c>
      <c r="M1120" t="s">
        <v>42</v>
      </c>
    </row>
    <row r="1121" spans="1:13" x14ac:dyDescent="0.3">
      <c r="A1121" t="s">
        <v>1455</v>
      </c>
      <c r="B1121" s="1">
        <v>46080</v>
      </c>
      <c r="C1121" t="s">
        <v>221</v>
      </c>
      <c r="D1121" t="s">
        <v>40</v>
      </c>
      <c r="E1121" t="s">
        <v>51</v>
      </c>
      <c r="F1121">
        <v>10</v>
      </c>
      <c r="G1121" s="2">
        <v>19425</v>
      </c>
      <c r="H1121" s="3">
        <v>0.2</v>
      </c>
      <c r="I1121" t="s">
        <v>17</v>
      </c>
      <c r="J1121" t="s">
        <v>31</v>
      </c>
      <c r="K1121" t="s">
        <v>25</v>
      </c>
      <c r="L1121" s="2">
        <v>155400</v>
      </c>
      <c r="M1121" t="s">
        <v>56</v>
      </c>
    </row>
    <row r="1122" spans="1:13" x14ac:dyDescent="0.3">
      <c r="A1122" t="s">
        <v>1456</v>
      </c>
      <c r="B1122" s="1">
        <v>46191</v>
      </c>
      <c r="C1122" t="s">
        <v>414</v>
      </c>
      <c r="D1122" t="s">
        <v>152</v>
      </c>
      <c r="E1122" t="s">
        <v>51</v>
      </c>
      <c r="F1122">
        <v>2</v>
      </c>
      <c r="G1122" s="2">
        <v>18500</v>
      </c>
      <c r="H1122" s="3">
        <v>0.05</v>
      </c>
      <c r="I1122" t="s">
        <v>17</v>
      </c>
      <c r="J1122" t="s">
        <v>47</v>
      </c>
      <c r="K1122" t="s">
        <v>41</v>
      </c>
      <c r="L1122" s="2">
        <v>35150</v>
      </c>
      <c r="M1122" t="s">
        <v>138</v>
      </c>
    </row>
    <row r="1123" spans="1:13" x14ac:dyDescent="0.3">
      <c r="A1123" t="s">
        <v>1457</v>
      </c>
      <c r="B1123" s="1">
        <v>46082</v>
      </c>
      <c r="C1123" t="s">
        <v>140</v>
      </c>
      <c r="D1123" t="s">
        <v>62</v>
      </c>
      <c r="E1123" t="s">
        <v>36</v>
      </c>
      <c r="F1123">
        <v>4</v>
      </c>
      <c r="G1123" s="2">
        <v>1470</v>
      </c>
      <c r="H1123" s="3">
        <v>0</v>
      </c>
      <c r="I1123" t="s">
        <v>17</v>
      </c>
      <c r="J1123" t="s">
        <v>47</v>
      </c>
      <c r="K1123" t="s">
        <v>19</v>
      </c>
      <c r="L1123" s="2">
        <v>5880</v>
      </c>
      <c r="M1123" t="s">
        <v>138</v>
      </c>
    </row>
    <row r="1124" spans="1:13" x14ac:dyDescent="0.3">
      <c r="A1124" t="s">
        <v>1458</v>
      </c>
      <c r="B1124" s="1">
        <v>46166</v>
      </c>
      <c r="C1124" t="s">
        <v>188</v>
      </c>
      <c r="D1124" t="s">
        <v>152</v>
      </c>
      <c r="E1124" t="s">
        <v>63</v>
      </c>
      <c r="F1124">
        <v>5</v>
      </c>
      <c r="G1124" s="2">
        <v>2200</v>
      </c>
      <c r="H1124" s="3">
        <v>0.2</v>
      </c>
      <c r="I1124" t="s">
        <v>17</v>
      </c>
      <c r="J1124" t="s">
        <v>18</v>
      </c>
      <c r="K1124" t="s">
        <v>41</v>
      </c>
      <c r="L1124" s="2">
        <v>8800</v>
      </c>
      <c r="M1124" t="s">
        <v>48</v>
      </c>
    </row>
    <row r="1125" spans="1:13" x14ac:dyDescent="0.3">
      <c r="A1125" t="s">
        <v>1459</v>
      </c>
      <c r="B1125" s="1">
        <v>46055</v>
      </c>
      <c r="C1125" t="s">
        <v>108</v>
      </c>
      <c r="D1125" t="s">
        <v>77</v>
      </c>
      <c r="E1125" t="s">
        <v>51</v>
      </c>
      <c r="F1125">
        <v>1</v>
      </c>
      <c r="G1125" s="2">
        <v>18500</v>
      </c>
      <c r="H1125" s="3">
        <v>0.1</v>
      </c>
      <c r="I1125" t="s">
        <v>17</v>
      </c>
      <c r="J1125" t="s">
        <v>47</v>
      </c>
      <c r="K1125" t="s">
        <v>67</v>
      </c>
      <c r="L1125" s="2">
        <v>16650</v>
      </c>
      <c r="M1125" t="s">
        <v>138</v>
      </c>
    </row>
    <row r="1126" spans="1:13" x14ac:dyDescent="0.3">
      <c r="A1126" t="s">
        <v>1460</v>
      </c>
      <c r="B1126" s="1">
        <v>46053</v>
      </c>
      <c r="C1126" t="s">
        <v>213</v>
      </c>
      <c r="D1126" t="s">
        <v>15</v>
      </c>
      <c r="E1126" t="s">
        <v>161</v>
      </c>
      <c r="F1126">
        <v>2</v>
      </c>
      <c r="G1126" s="2">
        <v>2600</v>
      </c>
      <c r="H1126" s="3">
        <v>0</v>
      </c>
      <c r="I1126" t="s">
        <v>17</v>
      </c>
      <c r="J1126" t="s">
        <v>18</v>
      </c>
      <c r="K1126" t="s">
        <v>19</v>
      </c>
      <c r="L1126" s="2">
        <v>5200</v>
      </c>
      <c r="M1126" t="s">
        <v>59</v>
      </c>
    </row>
    <row r="1127" spans="1:13" x14ac:dyDescent="0.3">
      <c r="A1127" t="s">
        <v>1461</v>
      </c>
      <c r="B1127" s="1">
        <v>46053</v>
      </c>
      <c r="C1127" t="s">
        <v>371</v>
      </c>
      <c r="D1127" t="s">
        <v>70</v>
      </c>
      <c r="E1127" t="s">
        <v>135</v>
      </c>
      <c r="F1127">
        <v>4</v>
      </c>
      <c r="G1127" s="2">
        <v>15960</v>
      </c>
      <c r="H1127" s="3">
        <v>0.2</v>
      </c>
      <c r="I1127" t="s">
        <v>80</v>
      </c>
      <c r="J1127" t="s">
        <v>31</v>
      </c>
      <c r="K1127" t="s">
        <v>55</v>
      </c>
      <c r="L1127" s="2">
        <v>51072</v>
      </c>
      <c r="M1127" t="s">
        <v>20</v>
      </c>
    </row>
    <row r="1128" spans="1:13" x14ac:dyDescent="0.3">
      <c r="A1128" t="s">
        <v>1462</v>
      </c>
      <c r="B1128" s="1">
        <v>46199</v>
      </c>
      <c r="C1128" t="s">
        <v>92</v>
      </c>
      <c r="D1128" t="s">
        <v>50</v>
      </c>
      <c r="E1128" t="s">
        <v>63</v>
      </c>
      <c r="F1128">
        <v>1</v>
      </c>
      <c r="G1128" s="2">
        <v>2310</v>
      </c>
      <c r="H1128" s="3">
        <v>0.15</v>
      </c>
      <c r="I1128" t="s">
        <v>80</v>
      </c>
      <c r="J1128" t="s">
        <v>71</v>
      </c>
      <c r="K1128" t="s">
        <v>55</v>
      </c>
      <c r="L1128" s="2">
        <v>1963.5</v>
      </c>
      <c r="M1128" t="s">
        <v>82</v>
      </c>
    </row>
    <row r="1129" spans="1:13" x14ac:dyDescent="0.3">
      <c r="A1129" t="s">
        <v>1463</v>
      </c>
      <c r="B1129" s="1">
        <v>46084</v>
      </c>
      <c r="C1129" t="s">
        <v>239</v>
      </c>
      <c r="D1129" t="s">
        <v>123</v>
      </c>
      <c r="E1129" t="s">
        <v>135</v>
      </c>
      <c r="F1129">
        <v>1</v>
      </c>
      <c r="G1129" s="2">
        <v>15960</v>
      </c>
      <c r="H1129" s="3">
        <v>0.05</v>
      </c>
      <c r="I1129" t="s">
        <v>17</v>
      </c>
      <c r="J1129" t="s">
        <v>31</v>
      </c>
      <c r="K1129" t="s">
        <v>67</v>
      </c>
      <c r="L1129" s="2">
        <v>15162</v>
      </c>
      <c r="M1129" t="s">
        <v>56</v>
      </c>
    </row>
    <row r="1130" spans="1:13" x14ac:dyDescent="0.3">
      <c r="A1130" t="s">
        <v>1464</v>
      </c>
      <c r="B1130" s="1">
        <v>46127</v>
      </c>
      <c r="C1130" t="s">
        <v>421</v>
      </c>
      <c r="D1130" t="s">
        <v>95</v>
      </c>
      <c r="E1130" t="s">
        <v>46</v>
      </c>
      <c r="F1130">
        <v>4</v>
      </c>
      <c r="G1130" s="2">
        <v>8190</v>
      </c>
      <c r="H1130" s="3">
        <v>0.1</v>
      </c>
      <c r="I1130" t="s">
        <v>17</v>
      </c>
      <c r="J1130" t="s">
        <v>71</v>
      </c>
      <c r="K1130" t="s">
        <v>25</v>
      </c>
      <c r="L1130" s="2">
        <v>29484</v>
      </c>
      <c r="M1130" t="s">
        <v>82</v>
      </c>
    </row>
    <row r="1131" spans="1:13" x14ac:dyDescent="0.3">
      <c r="A1131" t="s">
        <v>1465</v>
      </c>
      <c r="B1131" s="1">
        <v>46044</v>
      </c>
      <c r="C1131" t="s">
        <v>202</v>
      </c>
      <c r="D1131" t="s">
        <v>50</v>
      </c>
      <c r="E1131" t="s">
        <v>16</v>
      </c>
      <c r="F1131">
        <v>3</v>
      </c>
      <c r="G1131" s="2">
        <v>682.5</v>
      </c>
      <c r="H1131" s="3">
        <v>0.05</v>
      </c>
      <c r="I1131" t="s">
        <v>17</v>
      </c>
      <c r="J1131" t="s">
        <v>47</v>
      </c>
      <c r="K1131" t="s">
        <v>55</v>
      </c>
      <c r="L1131" s="2">
        <v>1945.12</v>
      </c>
      <c r="M1131" t="s">
        <v>59</v>
      </c>
    </row>
    <row r="1132" spans="1:13" x14ac:dyDescent="0.3">
      <c r="A1132" t="s">
        <v>1466</v>
      </c>
      <c r="B1132" s="1">
        <v>46153</v>
      </c>
      <c r="C1132" t="s">
        <v>227</v>
      </c>
      <c r="D1132" t="s">
        <v>123</v>
      </c>
      <c r="E1132" t="s">
        <v>183</v>
      </c>
      <c r="F1132">
        <v>1</v>
      </c>
      <c r="G1132" s="2">
        <v>3360</v>
      </c>
      <c r="H1132" s="3">
        <v>0</v>
      </c>
      <c r="I1132" t="s">
        <v>17</v>
      </c>
      <c r="J1132" t="s">
        <v>31</v>
      </c>
      <c r="K1132" t="s">
        <v>25</v>
      </c>
      <c r="L1132" s="2">
        <v>3360</v>
      </c>
      <c r="M1132" t="s">
        <v>82</v>
      </c>
    </row>
    <row r="1133" spans="1:13" x14ac:dyDescent="0.3">
      <c r="A1133" t="s">
        <v>1467</v>
      </c>
      <c r="B1133" s="1">
        <v>46157</v>
      </c>
      <c r="C1133" t="s">
        <v>1028</v>
      </c>
      <c r="D1133" t="s">
        <v>40</v>
      </c>
      <c r="E1133" t="s">
        <v>51</v>
      </c>
      <c r="F1133">
        <v>4</v>
      </c>
      <c r="G1133" s="2">
        <v>19425</v>
      </c>
      <c r="H1133" s="3">
        <v>0.1</v>
      </c>
      <c r="I1133" t="s">
        <v>17</v>
      </c>
      <c r="J1133" t="s">
        <v>71</v>
      </c>
      <c r="K1133" t="s">
        <v>41</v>
      </c>
      <c r="L1133" s="2">
        <v>69930</v>
      </c>
      <c r="M1133" t="s">
        <v>20</v>
      </c>
    </row>
    <row r="1134" spans="1:13" x14ac:dyDescent="0.3">
      <c r="A1134" t="s">
        <v>1468</v>
      </c>
      <c r="B1134" s="1">
        <v>46076</v>
      </c>
      <c r="C1134" t="s">
        <v>321</v>
      </c>
      <c r="D1134" t="s">
        <v>70</v>
      </c>
      <c r="E1134" t="s">
        <v>51</v>
      </c>
      <c r="F1134">
        <v>1</v>
      </c>
      <c r="G1134" s="2">
        <v>18500</v>
      </c>
      <c r="H1134" s="3">
        <v>0.15</v>
      </c>
      <c r="I1134" t="s">
        <v>17</v>
      </c>
      <c r="J1134" t="s">
        <v>71</v>
      </c>
      <c r="K1134" t="s">
        <v>19</v>
      </c>
      <c r="L1134" s="2">
        <v>15725</v>
      </c>
      <c r="M1134" t="s">
        <v>26</v>
      </c>
    </row>
    <row r="1135" spans="1:13" x14ac:dyDescent="0.3">
      <c r="A1135" t="s">
        <v>1469</v>
      </c>
      <c r="B1135" s="1">
        <v>46093</v>
      </c>
      <c r="C1135" t="s">
        <v>150</v>
      </c>
      <c r="D1135" t="s">
        <v>62</v>
      </c>
      <c r="E1135" t="s">
        <v>46</v>
      </c>
      <c r="F1135">
        <v>1</v>
      </c>
      <c r="G1135" s="2">
        <v>7800</v>
      </c>
      <c r="H1135" s="3">
        <v>0</v>
      </c>
      <c r="I1135" t="s">
        <v>17</v>
      </c>
      <c r="J1135" t="s">
        <v>71</v>
      </c>
      <c r="K1135" t="s">
        <v>67</v>
      </c>
      <c r="L1135" s="2">
        <v>7800</v>
      </c>
      <c r="M1135" t="s">
        <v>59</v>
      </c>
    </row>
    <row r="1136" spans="1:13" x14ac:dyDescent="0.3">
      <c r="A1136" t="s">
        <v>1470</v>
      </c>
      <c r="B1136" s="1">
        <v>46047</v>
      </c>
      <c r="C1136" t="s">
        <v>391</v>
      </c>
      <c r="D1136" t="s">
        <v>23</v>
      </c>
      <c r="E1136" t="s">
        <v>51</v>
      </c>
      <c r="F1136">
        <v>4</v>
      </c>
      <c r="G1136" s="2">
        <v>17575</v>
      </c>
      <c r="H1136" s="3">
        <v>0</v>
      </c>
      <c r="I1136" t="s">
        <v>17</v>
      </c>
      <c r="J1136" t="s">
        <v>31</v>
      </c>
      <c r="K1136" t="s">
        <v>55</v>
      </c>
      <c r="L1136" s="2">
        <v>70300</v>
      </c>
      <c r="M1136" t="s">
        <v>20</v>
      </c>
    </row>
    <row r="1137" spans="1:13" x14ac:dyDescent="0.3">
      <c r="A1137" t="s">
        <v>1471</v>
      </c>
      <c r="B1137" s="1">
        <v>46117</v>
      </c>
      <c r="C1137" t="s">
        <v>371</v>
      </c>
      <c r="D1137" t="s">
        <v>23</v>
      </c>
      <c r="E1137" t="s">
        <v>135</v>
      </c>
      <c r="F1137">
        <v>8</v>
      </c>
      <c r="G1137" s="2">
        <v>17640</v>
      </c>
      <c r="H1137" s="3">
        <v>0.15</v>
      </c>
      <c r="I1137" t="s">
        <v>17</v>
      </c>
      <c r="J1137" t="s">
        <v>18</v>
      </c>
      <c r="K1137" t="s">
        <v>67</v>
      </c>
      <c r="L1137" s="2">
        <v>119952</v>
      </c>
      <c r="M1137" t="s">
        <v>42</v>
      </c>
    </row>
    <row r="1138" spans="1:13" x14ac:dyDescent="0.3">
      <c r="A1138" t="s">
        <v>1472</v>
      </c>
      <c r="B1138" s="1">
        <v>46203</v>
      </c>
      <c r="C1138" t="s">
        <v>363</v>
      </c>
      <c r="D1138" t="s">
        <v>77</v>
      </c>
      <c r="E1138" t="s">
        <v>63</v>
      </c>
      <c r="F1138">
        <v>2</v>
      </c>
      <c r="G1138" s="2">
        <v>2090</v>
      </c>
      <c r="H1138" s="3">
        <v>0.1</v>
      </c>
      <c r="I1138" t="s">
        <v>17</v>
      </c>
      <c r="J1138" t="s">
        <v>47</v>
      </c>
      <c r="K1138" t="s">
        <v>19</v>
      </c>
      <c r="L1138" s="2">
        <v>3762</v>
      </c>
      <c r="M1138" t="s">
        <v>138</v>
      </c>
    </row>
    <row r="1139" spans="1:13" x14ac:dyDescent="0.3">
      <c r="A1139" t="s">
        <v>1473</v>
      </c>
      <c r="B1139" s="1">
        <v>46043</v>
      </c>
      <c r="C1139" t="s">
        <v>705</v>
      </c>
      <c r="D1139" t="s">
        <v>123</v>
      </c>
      <c r="E1139" t="s">
        <v>24</v>
      </c>
      <c r="F1139">
        <v>3</v>
      </c>
      <c r="G1139" s="2">
        <v>11200</v>
      </c>
      <c r="H1139" s="3">
        <v>0.05</v>
      </c>
      <c r="I1139" t="s">
        <v>17</v>
      </c>
      <c r="J1139" t="s">
        <v>18</v>
      </c>
      <c r="K1139" t="s">
        <v>25</v>
      </c>
      <c r="L1139" s="2">
        <v>31920</v>
      </c>
      <c r="M1139" t="s">
        <v>42</v>
      </c>
    </row>
    <row r="1140" spans="1:13" x14ac:dyDescent="0.3">
      <c r="A1140" t="s">
        <v>1474</v>
      </c>
      <c r="B1140" s="1">
        <v>46203</v>
      </c>
      <c r="C1140" t="s">
        <v>386</v>
      </c>
      <c r="D1140" t="s">
        <v>123</v>
      </c>
      <c r="E1140" t="s">
        <v>36</v>
      </c>
      <c r="F1140">
        <v>5</v>
      </c>
      <c r="G1140" s="2">
        <v>1400</v>
      </c>
      <c r="H1140" s="3">
        <v>0</v>
      </c>
      <c r="I1140" t="s">
        <v>17</v>
      </c>
      <c r="J1140" t="s">
        <v>31</v>
      </c>
      <c r="K1140" t="s">
        <v>19</v>
      </c>
      <c r="L1140" s="2">
        <v>7000</v>
      </c>
      <c r="M1140" t="s">
        <v>52</v>
      </c>
    </row>
    <row r="1141" spans="1:13" x14ac:dyDescent="0.3">
      <c r="A1141" t="s">
        <v>1475</v>
      </c>
      <c r="B1141" s="1">
        <v>46058</v>
      </c>
      <c r="C1141" t="s">
        <v>330</v>
      </c>
      <c r="D1141" t="s">
        <v>40</v>
      </c>
      <c r="E1141" t="s">
        <v>161</v>
      </c>
      <c r="F1141">
        <v>5</v>
      </c>
      <c r="G1141" s="2">
        <v>2600</v>
      </c>
      <c r="H1141" s="3">
        <v>0</v>
      </c>
      <c r="I1141" t="s">
        <v>17</v>
      </c>
      <c r="J1141" t="s">
        <v>71</v>
      </c>
      <c r="K1141" t="s">
        <v>55</v>
      </c>
      <c r="L1141" s="2">
        <v>13000</v>
      </c>
      <c r="M1141" t="s">
        <v>59</v>
      </c>
    </row>
    <row r="1142" spans="1:13" x14ac:dyDescent="0.3">
      <c r="A1142" t="s">
        <v>1476</v>
      </c>
      <c r="B1142" s="1">
        <v>46150</v>
      </c>
      <c r="C1142" t="s">
        <v>120</v>
      </c>
      <c r="D1142" t="s">
        <v>45</v>
      </c>
      <c r="E1142" t="s">
        <v>30</v>
      </c>
      <c r="F1142">
        <v>1</v>
      </c>
      <c r="G1142" s="2">
        <v>1800</v>
      </c>
      <c r="H1142" s="3">
        <v>0</v>
      </c>
      <c r="I1142" t="s">
        <v>80</v>
      </c>
      <c r="J1142" t="s">
        <v>18</v>
      </c>
      <c r="K1142" t="s">
        <v>19</v>
      </c>
      <c r="L1142" s="2">
        <v>1800</v>
      </c>
      <c r="M1142" t="s">
        <v>56</v>
      </c>
    </row>
    <row r="1143" spans="1:13" x14ac:dyDescent="0.3">
      <c r="A1143" t="s">
        <v>1477</v>
      </c>
      <c r="B1143" s="1">
        <v>46165</v>
      </c>
      <c r="C1143" t="s">
        <v>202</v>
      </c>
      <c r="D1143" t="s">
        <v>40</v>
      </c>
      <c r="E1143" t="s">
        <v>24</v>
      </c>
      <c r="F1143">
        <v>3</v>
      </c>
      <c r="G1143" s="2">
        <v>11200</v>
      </c>
      <c r="H1143" s="3">
        <v>0</v>
      </c>
      <c r="I1143" t="s">
        <v>17</v>
      </c>
      <c r="J1143" t="s">
        <v>71</v>
      </c>
      <c r="K1143" t="s">
        <v>67</v>
      </c>
      <c r="L1143" s="2">
        <v>33600</v>
      </c>
      <c r="M1143" t="s">
        <v>56</v>
      </c>
    </row>
    <row r="1144" spans="1:13" x14ac:dyDescent="0.3">
      <c r="A1144" t="s">
        <v>1478</v>
      </c>
      <c r="B1144" s="1">
        <v>46158</v>
      </c>
      <c r="C1144" t="s">
        <v>409</v>
      </c>
      <c r="D1144" t="s">
        <v>95</v>
      </c>
      <c r="E1144" t="s">
        <v>30</v>
      </c>
      <c r="F1144">
        <v>5</v>
      </c>
      <c r="G1144" s="2">
        <v>1890</v>
      </c>
      <c r="H1144" s="3">
        <v>0</v>
      </c>
      <c r="I1144" t="s">
        <v>66</v>
      </c>
      <c r="J1144" t="s">
        <v>18</v>
      </c>
      <c r="K1144" t="s">
        <v>25</v>
      </c>
      <c r="L1144" s="2">
        <v>9450</v>
      </c>
      <c r="M1144" t="s">
        <v>138</v>
      </c>
    </row>
    <row r="1145" spans="1:13" x14ac:dyDescent="0.3">
      <c r="A1145" t="s">
        <v>1479</v>
      </c>
      <c r="B1145" s="1">
        <v>46162</v>
      </c>
      <c r="C1145" t="s">
        <v>163</v>
      </c>
      <c r="D1145" t="s">
        <v>62</v>
      </c>
      <c r="E1145" t="s">
        <v>135</v>
      </c>
      <c r="F1145">
        <v>1</v>
      </c>
      <c r="G1145" s="2">
        <v>16800</v>
      </c>
      <c r="H1145" s="3">
        <v>0</v>
      </c>
      <c r="I1145" t="s">
        <v>116</v>
      </c>
      <c r="J1145" t="s">
        <v>18</v>
      </c>
      <c r="K1145" t="s">
        <v>67</v>
      </c>
      <c r="L1145" s="2">
        <v>16800</v>
      </c>
      <c r="M1145" t="s">
        <v>52</v>
      </c>
    </row>
    <row r="1146" spans="1:13" x14ac:dyDescent="0.3">
      <c r="A1146" t="s">
        <v>1480</v>
      </c>
      <c r="B1146" s="1">
        <v>46192</v>
      </c>
      <c r="C1146" t="s">
        <v>300</v>
      </c>
      <c r="D1146" t="s">
        <v>70</v>
      </c>
      <c r="E1146" t="s">
        <v>63</v>
      </c>
      <c r="F1146">
        <v>1</v>
      </c>
      <c r="G1146" s="2">
        <v>2200</v>
      </c>
      <c r="H1146" s="3">
        <v>0.05</v>
      </c>
      <c r="I1146" t="s">
        <v>17</v>
      </c>
      <c r="J1146" t="s">
        <v>71</v>
      </c>
      <c r="K1146" t="s">
        <v>55</v>
      </c>
      <c r="L1146" s="2">
        <v>2090</v>
      </c>
      <c r="M1146" t="s">
        <v>56</v>
      </c>
    </row>
    <row r="1147" spans="1:13" x14ac:dyDescent="0.3">
      <c r="A1147" t="s">
        <v>1481</v>
      </c>
      <c r="B1147" s="1">
        <v>46176</v>
      </c>
      <c r="C1147" t="s">
        <v>140</v>
      </c>
      <c r="D1147" t="s">
        <v>70</v>
      </c>
      <c r="E1147" t="s">
        <v>74</v>
      </c>
      <c r="F1147">
        <v>1</v>
      </c>
      <c r="G1147" s="2">
        <v>2400</v>
      </c>
      <c r="H1147" s="3">
        <v>0.05</v>
      </c>
      <c r="I1147" t="s">
        <v>17</v>
      </c>
      <c r="J1147" t="s">
        <v>31</v>
      </c>
      <c r="K1147" t="s">
        <v>25</v>
      </c>
      <c r="L1147" s="2">
        <v>2280</v>
      </c>
      <c r="M1147" t="s">
        <v>138</v>
      </c>
    </row>
    <row r="1148" spans="1:13" x14ac:dyDescent="0.3">
      <c r="A1148" t="s">
        <v>1482</v>
      </c>
      <c r="B1148" s="1">
        <v>46089</v>
      </c>
      <c r="C1148" t="s">
        <v>196</v>
      </c>
      <c r="D1148" t="s">
        <v>95</v>
      </c>
      <c r="E1148" t="s">
        <v>36</v>
      </c>
      <c r="F1148">
        <v>2</v>
      </c>
      <c r="G1148" s="2">
        <v>1400</v>
      </c>
      <c r="H1148" s="3">
        <v>0.1</v>
      </c>
      <c r="I1148" t="s">
        <v>17</v>
      </c>
      <c r="J1148" t="s">
        <v>47</v>
      </c>
      <c r="K1148" t="s">
        <v>55</v>
      </c>
      <c r="L1148" s="2">
        <v>2520</v>
      </c>
      <c r="M1148" t="s">
        <v>52</v>
      </c>
    </row>
    <row r="1149" spans="1:13" x14ac:dyDescent="0.3">
      <c r="A1149" t="s">
        <v>1483</v>
      </c>
      <c r="B1149" s="1">
        <v>46109</v>
      </c>
      <c r="C1149" t="s">
        <v>623</v>
      </c>
      <c r="D1149" t="s">
        <v>95</v>
      </c>
      <c r="E1149" t="s">
        <v>16</v>
      </c>
      <c r="F1149">
        <v>2</v>
      </c>
      <c r="G1149" s="2">
        <v>650</v>
      </c>
      <c r="H1149" s="3">
        <v>0.1</v>
      </c>
      <c r="I1149" t="s">
        <v>17</v>
      </c>
      <c r="J1149" t="s">
        <v>31</v>
      </c>
      <c r="K1149" t="s">
        <v>25</v>
      </c>
      <c r="L1149" s="2">
        <v>1170</v>
      </c>
      <c r="M1149" t="s">
        <v>48</v>
      </c>
    </row>
    <row r="1150" spans="1:13" x14ac:dyDescent="0.3">
      <c r="A1150" t="s">
        <v>1484</v>
      </c>
      <c r="B1150" s="1">
        <v>46107</v>
      </c>
      <c r="C1150" t="s">
        <v>843</v>
      </c>
      <c r="D1150" t="s">
        <v>50</v>
      </c>
      <c r="E1150" t="s">
        <v>183</v>
      </c>
      <c r="F1150">
        <v>2</v>
      </c>
      <c r="G1150" s="2">
        <v>3360</v>
      </c>
      <c r="H1150" s="3">
        <v>0.2</v>
      </c>
      <c r="I1150" t="s">
        <v>17</v>
      </c>
      <c r="J1150" t="s">
        <v>47</v>
      </c>
      <c r="K1150" t="s">
        <v>67</v>
      </c>
      <c r="L1150" s="2">
        <v>5376</v>
      </c>
      <c r="M1150" t="s">
        <v>82</v>
      </c>
    </row>
    <row r="1151" spans="1:13" x14ac:dyDescent="0.3">
      <c r="A1151" t="s">
        <v>1485</v>
      </c>
      <c r="B1151" s="1">
        <v>46039</v>
      </c>
      <c r="C1151" t="s">
        <v>411</v>
      </c>
      <c r="D1151" t="s">
        <v>95</v>
      </c>
      <c r="E1151" t="s">
        <v>16</v>
      </c>
      <c r="F1151">
        <v>2</v>
      </c>
      <c r="G1151" s="2">
        <v>650</v>
      </c>
      <c r="H1151" s="3">
        <v>0.05</v>
      </c>
      <c r="I1151" t="s">
        <v>17</v>
      </c>
      <c r="J1151" t="s">
        <v>71</v>
      </c>
      <c r="K1151" t="s">
        <v>67</v>
      </c>
      <c r="L1151" s="2">
        <v>1235</v>
      </c>
      <c r="M1151" t="s">
        <v>59</v>
      </c>
    </row>
    <row r="1152" spans="1:13" x14ac:dyDescent="0.3">
      <c r="A1152" t="s">
        <v>1486</v>
      </c>
      <c r="B1152" s="1">
        <v>46118</v>
      </c>
      <c r="C1152" t="s">
        <v>499</v>
      </c>
      <c r="D1152" t="s">
        <v>35</v>
      </c>
      <c r="E1152" t="s">
        <v>161</v>
      </c>
      <c r="F1152">
        <v>1</v>
      </c>
      <c r="G1152" s="2">
        <v>2470</v>
      </c>
      <c r="H1152" s="3">
        <v>0.2</v>
      </c>
      <c r="I1152" t="s">
        <v>17</v>
      </c>
      <c r="J1152" t="s">
        <v>31</v>
      </c>
      <c r="K1152" t="s">
        <v>25</v>
      </c>
      <c r="L1152" s="2">
        <v>1976</v>
      </c>
      <c r="M1152" t="s">
        <v>42</v>
      </c>
    </row>
    <row r="1153" spans="1:13" x14ac:dyDescent="0.3">
      <c r="A1153" t="s">
        <v>1487</v>
      </c>
      <c r="B1153" s="1">
        <v>46151</v>
      </c>
      <c r="C1153" t="s">
        <v>384</v>
      </c>
      <c r="D1153" t="s">
        <v>70</v>
      </c>
      <c r="E1153" t="s">
        <v>46</v>
      </c>
      <c r="F1153">
        <v>1</v>
      </c>
      <c r="G1153" s="2">
        <v>7800</v>
      </c>
      <c r="H1153" s="3">
        <v>0.05</v>
      </c>
      <c r="I1153" t="s">
        <v>17</v>
      </c>
      <c r="J1153" t="s">
        <v>31</v>
      </c>
      <c r="K1153" t="s">
        <v>67</v>
      </c>
      <c r="L1153" s="2">
        <v>7410</v>
      </c>
      <c r="M1153" t="s">
        <v>42</v>
      </c>
    </row>
    <row r="1154" spans="1:13" x14ac:dyDescent="0.3">
      <c r="A1154" t="s">
        <v>1488</v>
      </c>
      <c r="B1154" s="1">
        <v>46119</v>
      </c>
      <c r="C1154" t="s">
        <v>430</v>
      </c>
      <c r="D1154" t="s">
        <v>95</v>
      </c>
      <c r="E1154" t="s">
        <v>161</v>
      </c>
      <c r="F1154">
        <v>1</v>
      </c>
      <c r="G1154" s="2">
        <v>2470</v>
      </c>
      <c r="H1154" s="3">
        <v>0.2</v>
      </c>
      <c r="I1154" t="s">
        <v>66</v>
      </c>
      <c r="J1154" t="s">
        <v>31</v>
      </c>
      <c r="K1154" t="s">
        <v>25</v>
      </c>
      <c r="L1154" s="2">
        <v>1976</v>
      </c>
      <c r="M1154" t="s">
        <v>32</v>
      </c>
    </row>
    <row r="1155" spans="1:13" x14ac:dyDescent="0.3">
      <c r="A1155" t="s">
        <v>1489</v>
      </c>
      <c r="B1155" s="1">
        <v>46028</v>
      </c>
      <c r="C1155" t="s">
        <v>1312</v>
      </c>
      <c r="D1155" t="s">
        <v>168</v>
      </c>
      <c r="E1155" t="s">
        <v>85</v>
      </c>
      <c r="F1155">
        <v>4</v>
      </c>
      <c r="G1155" s="2">
        <v>46075</v>
      </c>
      <c r="H1155" s="3">
        <v>0.15</v>
      </c>
      <c r="I1155" t="s">
        <v>80</v>
      </c>
      <c r="J1155" t="s">
        <v>71</v>
      </c>
      <c r="K1155" t="s">
        <v>25</v>
      </c>
      <c r="L1155" s="2">
        <v>156655</v>
      </c>
      <c r="M1155" t="s">
        <v>26</v>
      </c>
    </row>
    <row r="1156" spans="1:13" x14ac:dyDescent="0.3">
      <c r="A1156" t="s">
        <v>1490</v>
      </c>
      <c r="B1156" s="1">
        <v>46105</v>
      </c>
      <c r="C1156" t="s">
        <v>194</v>
      </c>
      <c r="D1156" t="s">
        <v>70</v>
      </c>
      <c r="E1156" t="s">
        <v>51</v>
      </c>
      <c r="F1156">
        <v>4</v>
      </c>
      <c r="G1156" s="2">
        <v>18500</v>
      </c>
      <c r="H1156" s="3">
        <v>0.05</v>
      </c>
      <c r="I1156" t="s">
        <v>17</v>
      </c>
      <c r="J1156" t="s">
        <v>47</v>
      </c>
      <c r="K1156" t="s">
        <v>25</v>
      </c>
      <c r="L1156" s="2">
        <v>70300</v>
      </c>
      <c r="M1156" t="s">
        <v>56</v>
      </c>
    </row>
    <row r="1157" spans="1:13" x14ac:dyDescent="0.3">
      <c r="A1157" t="s">
        <v>1491</v>
      </c>
      <c r="B1157" s="1">
        <v>46119</v>
      </c>
      <c r="C1157" t="s">
        <v>321</v>
      </c>
      <c r="D1157" t="s">
        <v>45</v>
      </c>
      <c r="E1157" t="s">
        <v>161</v>
      </c>
      <c r="F1157">
        <v>1</v>
      </c>
      <c r="G1157" s="2">
        <v>2730</v>
      </c>
      <c r="H1157" s="3">
        <v>0.1</v>
      </c>
      <c r="I1157" t="s">
        <v>17</v>
      </c>
      <c r="J1157" t="s">
        <v>71</v>
      </c>
      <c r="K1157" t="s">
        <v>55</v>
      </c>
      <c r="L1157" s="2">
        <v>2457</v>
      </c>
      <c r="M1157" t="s">
        <v>20</v>
      </c>
    </row>
    <row r="1158" spans="1:13" x14ac:dyDescent="0.3">
      <c r="A1158" t="s">
        <v>1492</v>
      </c>
      <c r="B1158" s="1">
        <v>46150</v>
      </c>
      <c r="C1158" t="s">
        <v>338</v>
      </c>
      <c r="D1158" t="s">
        <v>123</v>
      </c>
      <c r="E1158" t="s">
        <v>161</v>
      </c>
      <c r="F1158">
        <v>8</v>
      </c>
      <c r="G1158" s="2">
        <v>2730</v>
      </c>
      <c r="H1158" s="3">
        <v>0.15</v>
      </c>
      <c r="I1158" t="s">
        <v>17</v>
      </c>
      <c r="J1158" t="s">
        <v>31</v>
      </c>
      <c r="K1158" t="s">
        <v>55</v>
      </c>
      <c r="L1158" s="2">
        <v>18564</v>
      </c>
      <c r="M1158" t="s">
        <v>52</v>
      </c>
    </row>
    <row r="1159" spans="1:13" x14ac:dyDescent="0.3">
      <c r="A1159" t="s">
        <v>1493</v>
      </c>
      <c r="B1159" s="1">
        <v>46137</v>
      </c>
      <c r="C1159" t="s">
        <v>1371</v>
      </c>
      <c r="D1159" t="s">
        <v>35</v>
      </c>
      <c r="E1159" t="s">
        <v>46</v>
      </c>
      <c r="F1159">
        <v>3</v>
      </c>
      <c r="G1159" s="2">
        <v>7800</v>
      </c>
      <c r="H1159" s="3">
        <v>0.2</v>
      </c>
      <c r="I1159" t="s">
        <v>17</v>
      </c>
      <c r="J1159" t="s">
        <v>31</v>
      </c>
      <c r="K1159" t="s">
        <v>25</v>
      </c>
      <c r="L1159" s="2">
        <v>18720</v>
      </c>
      <c r="M1159" t="s">
        <v>59</v>
      </c>
    </row>
    <row r="1160" spans="1:13" x14ac:dyDescent="0.3">
      <c r="A1160" t="s">
        <v>1494</v>
      </c>
      <c r="B1160" s="1">
        <v>46076</v>
      </c>
      <c r="C1160" t="s">
        <v>448</v>
      </c>
      <c r="D1160" t="s">
        <v>90</v>
      </c>
      <c r="E1160" t="s">
        <v>46</v>
      </c>
      <c r="F1160">
        <v>3</v>
      </c>
      <c r="G1160" s="2">
        <v>8190</v>
      </c>
      <c r="H1160" s="3">
        <v>0</v>
      </c>
      <c r="I1160" t="s">
        <v>17</v>
      </c>
      <c r="J1160" t="s">
        <v>31</v>
      </c>
      <c r="K1160" t="s">
        <v>55</v>
      </c>
      <c r="L1160" s="2">
        <v>24570</v>
      </c>
      <c r="M1160" t="s">
        <v>26</v>
      </c>
    </row>
    <row r="1161" spans="1:13" x14ac:dyDescent="0.3">
      <c r="A1161" t="s">
        <v>1495</v>
      </c>
      <c r="B1161" s="1">
        <v>46128</v>
      </c>
      <c r="C1161" t="s">
        <v>682</v>
      </c>
      <c r="D1161" t="s">
        <v>45</v>
      </c>
      <c r="E1161" t="s">
        <v>85</v>
      </c>
      <c r="F1161">
        <v>2</v>
      </c>
      <c r="G1161" s="2">
        <v>50925</v>
      </c>
      <c r="H1161" s="3">
        <v>0</v>
      </c>
      <c r="I1161" t="s">
        <v>17</v>
      </c>
      <c r="J1161" t="s">
        <v>47</v>
      </c>
      <c r="K1161" t="s">
        <v>41</v>
      </c>
      <c r="L1161" s="2">
        <v>101850</v>
      </c>
      <c r="M1161" t="s">
        <v>82</v>
      </c>
    </row>
    <row r="1162" spans="1:13" x14ac:dyDescent="0.3">
      <c r="A1162" t="s">
        <v>1496</v>
      </c>
      <c r="B1162" s="1">
        <v>46148</v>
      </c>
      <c r="C1162" t="s">
        <v>407</v>
      </c>
      <c r="D1162" t="s">
        <v>152</v>
      </c>
      <c r="E1162" t="s">
        <v>46</v>
      </c>
      <c r="F1162">
        <v>2</v>
      </c>
      <c r="G1162" s="2">
        <v>8190</v>
      </c>
      <c r="H1162" s="3">
        <v>0.2</v>
      </c>
      <c r="I1162" t="s">
        <v>17</v>
      </c>
      <c r="J1162" t="s">
        <v>31</v>
      </c>
      <c r="K1162" t="s">
        <v>19</v>
      </c>
      <c r="L1162" s="2">
        <v>13104</v>
      </c>
      <c r="M1162" t="s">
        <v>32</v>
      </c>
    </row>
    <row r="1163" spans="1:13" x14ac:dyDescent="0.3">
      <c r="A1163" t="s">
        <v>1497</v>
      </c>
      <c r="B1163" s="1">
        <v>46202</v>
      </c>
      <c r="C1163" t="s">
        <v>501</v>
      </c>
      <c r="D1163" t="s">
        <v>15</v>
      </c>
      <c r="E1163" t="s">
        <v>161</v>
      </c>
      <c r="F1163">
        <v>1</v>
      </c>
      <c r="G1163" s="2">
        <v>2470</v>
      </c>
      <c r="H1163" s="3">
        <v>0</v>
      </c>
      <c r="I1163" t="s">
        <v>17</v>
      </c>
      <c r="J1163" t="s">
        <v>71</v>
      </c>
      <c r="K1163" t="s">
        <v>55</v>
      </c>
      <c r="L1163" s="2">
        <v>2470</v>
      </c>
      <c r="M1163" t="s">
        <v>42</v>
      </c>
    </row>
    <row r="1164" spans="1:13" x14ac:dyDescent="0.3">
      <c r="A1164" t="s">
        <v>1498</v>
      </c>
      <c r="B1164" s="1">
        <v>46032</v>
      </c>
      <c r="C1164" t="s">
        <v>340</v>
      </c>
      <c r="D1164" t="s">
        <v>77</v>
      </c>
      <c r="E1164" t="s">
        <v>161</v>
      </c>
      <c r="F1164">
        <v>2</v>
      </c>
      <c r="G1164" s="2">
        <v>2730</v>
      </c>
      <c r="H1164" s="3">
        <v>0.2</v>
      </c>
      <c r="I1164" t="s">
        <v>17</v>
      </c>
      <c r="J1164" t="s">
        <v>18</v>
      </c>
      <c r="K1164" t="s">
        <v>55</v>
      </c>
      <c r="L1164" s="2">
        <v>4368</v>
      </c>
      <c r="M1164" t="s">
        <v>20</v>
      </c>
    </row>
    <row r="1165" spans="1:13" x14ac:dyDescent="0.3">
      <c r="A1165" t="s">
        <v>1499</v>
      </c>
      <c r="B1165" s="1">
        <v>46098</v>
      </c>
      <c r="C1165" t="s">
        <v>271</v>
      </c>
      <c r="D1165" t="s">
        <v>15</v>
      </c>
      <c r="E1165" t="s">
        <v>161</v>
      </c>
      <c r="F1165">
        <v>10</v>
      </c>
      <c r="G1165" s="2">
        <v>2600</v>
      </c>
      <c r="H1165" s="3">
        <v>0.2</v>
      </c>
      <c r="I1165" t="s">
        <v>80</v>
      </c>
      <c r="J1165" t="s">
        <v>47</v>
      </c>
      <c r="K1165" t="s">
        <v>25</v>
      </c>
      <c r="L1165" s="2">
        <v>20800</v>
      </c>
      <c r="M1165" t="s">
        <v>59</v>
      </c>
    </row>
    <row r="1166" spans="1:13" x14ac:dyDescent="0.3">
      <c r="A1166" t="s">
        <v>1500</v>
      </c>
      <c r="B1166" s="1">
        <v>46059</v>
      </c>
      <c r="C1166" t="s">
        <v>767</v>
      </c>
      <c r="D1166" t="s">
        <v>45</v>
      </c>
      <c r="E1166" t="s">
        <v>51</v>
      </c>
      <c r="F1166">
        <v>3</v>
      </c>
      <c r="G1166" s="2">
        <v>18500</v>
      </c>
      <c r="H1166" s="3">
        <v>0.15</v>
      </c>
      <c r="I1166" t="s">
        <v>80</v>
      </c>
      <c r="J1166" t="s">
        <v>18</v>
      </c>
      <c r="K1166" t="s">
        <v>55</v>
      </c>
      <c r="L1166" s="2">
        <v>47175</v>
      </c>
      <c r="M1166" t="s">
        <v>52</v>
      </c>
    </row>
    <row r="1167" spans="1:13" x14ac:dyDescent="0.3">
      <c r="A1167" t="s">
        <v>1501</v>
      </c>
      <c r="B1167" s="1">
        <v>46107</v>
      </c>
      <c r="C1167" t="s">
        <v>186</v>
      </c>
      <c r="D1167" t="s">
        <v>77</v>
      </c>
      <c r="E1167" t="s">
        <v>85</v>
      </c>
      <c r="F1167">
        <v>3</v>
      </c>
      <c r="G1167" s="2">
        <v>50925</v>
      </c>
      <c r="H1167" s="3">
        <v>0</v>
      </c>
      <c r="I1167" t="s">
        <v>17</v>
      </c>
      <c r="J1167" t="s">
        <v>47</v>
      </c>
      <c r="K1167" t="s">
        <v>55</v>
      </c>
      <c r="L1167" s="2">
        <v>152775</v>
      </c>
    </row>
    <row r="1168" spans="1:13" x14ac:dyDescent="0.3">
      <c r="A1168" t="s">
        <v>1502</v>
      </c>
      <c r="B1168" s="1">
        <v>46061</v>
      </c>
      <c r="C1168" t="s">
        <v>332</v>
      </c>
      <c r="D1168" t="s">
        <v>62</v>
      </c>
      <c r="E1168" t="s">
        <v>63</v>
      </c>
      <c r="F1168">
        <v>10</v>
      </c>
      <c r="G1168" s="2">
        <v>2200</v>
      </c>
      <c r="H1168" s="3">
        <v>0</v>
      </c>
      <c r="I1168" t="s">
        <v>17</v>
      </c>
      <c r="J1168" t="s">
        <v>31</v>
      </c>
      <c r="K1168" t="s">
        <v>25</v>
      </c>
      <c r="L1168" s="2">
        <v>22000</v>
      </c>
      <c r="M1168" t="s">
        <v>56</v>
      </c>
    </row>
    <row r="1169" spans="1:13" x14ac:dyDescent="0.3">
      <c r="A1169" t="s">
        <v>1503</v>
      </c>
      <c r="B1169" s="1">
        <v>46107</v>
      </c>
      <c r="C1169" t="s">
        <v>594</v>
      </c>
      <c r="D1169" t="s">
        <v>15</v>
      </c>
      <c r="E1169" t="s">
        <v>16</v>
      </c>
      <c r="F1169">
        <v>3</v>
      </c>
      <c r="G1169" s="2">
        <v>650</v>
      </c>
      <c r="H1169" s="3">
        <v>0.15</v>
      </c>
      <c r="I1169" t="s">
        <v>17</v>
      </c>
      <c r="J1169" t="s">
        <v>47</v>
      </c>
      <c r="K1169" t="s">
        <v>19</v>
      </c>
      <c r="L1169" s="2">
        <v>1657.5</v>
      </c>
      <c r="M1169" t="s">
        <v>52</v>
      </c>
    </row>
    <row r="1170" spans="1:13" x14ac:dyDescent="0.3">
      <c r="A1170" t="s">
        <v>1504</v>
      </c>
      <c r="B1170" s="1">
        <v>46093</v>
      </c>
      <c r="C1170" t="s">
        <v>243</v>
      </c>
      <c r="D1170" t="s">
        <v>45</v>
      </c>
      <c r="E1170" t="s">
        <v>161</v>
      </c>
      <c r="F1170">
        <v>3</v>
      </c>
      <c r="G1170" s="2">
        <v>2730</v>
      </c>
      <c r="H1170" s="3">
        <v>0.05</v>
      </c>
      <c r="I1170" t="s">
        <v>17</v>
      </c>
      <c r="J1170" t="s">
        <v>71</v>
      </c>
      <c r="K1170" t="s">
        <v>19</v>
      </c>
      <c r="L1170" s="2">
        <v>7780.5</v>
      </c>
      <c r="M1170" t="s">
        <v>48</v>
      </c>
    </row>
    <row r="1171" spans="1:13" x14ac:dyDescent="0.3">
      <c r="A1171" t="s">
        <v>1505</v>
      </c>
      <c r="B1171" t="s">
        <v>360</v>
      </c>
      <c r="C1171" t="s">
        <v>371</v>
      </c>
      <c r="D1171" t="s">
        <v>15</v>
      </c>
      <c r="E1171" t="s">
        <v>85</v>
      </c>
      <c r="F1171">
        <v>1</v>
      </c>
      <c r="G1171" s="2">
        <v>46075</v>
      </c>
      <c r="H1171" s="3">
        <v>0</v>
      </c>
      <c r="I1171" t="s">
        <v>17</v>
      </c>
      <c r="J1171" t="s">
        <v>18</v>
      </c>
      <c r="K1171" t="s">
        <v>67</v>
      </c>
      <c r="L1171" s="2">
        <v>46075</v>
      </c>
      <c r="M1171" t="s">
        <v>48</v>
      </c>
    </row>
    <row r="1172" spans="1:13" x14ac:dyDescent="0.3">
      <c r="A1172" t="s">
        <v>1506</v>
      </c>
      <c r="B1172" s="1">
        <v>46174</v>
      </c>
      <c r="C1172" t="s">
        <v>44</v>
      </c>
      <c r="D1172" t="s">
        <v>40</v>
      </c>
      <c r="E1172" t="s">
        <v>135</v>
      </c>
      <c r="F1172">
        <v>8</v>
      </c>
      <c r="G1172" s="2">
        <v>17640</v>
      </c>
      <c r="H1172" s="3">
        <v>0.2</v>
      </c>
      <c r="I1172" t="s">
        <v>66</v>
      </c>
      <c r="J1172" t="s">
        <v>71</v>
      </c>
      <c r="K1172" t="s">
        <v>19</v>
      </c>
      <c r="L1172" s="2">
        <v>112896</v>
      </c>
      <c r="M1172" t="s">
        <v>52</v>
      </c>
    </row>
    <row r="1173" spans="1:13" x14ac:dyDescent="0.3">
      <c r="A1173" t="s">
        <v>1507</v>
      </c>
      <c r="B1173" s="1">
        <v>46078</v>
      </c>
      <c r="C1173" t="s">
        <v>271</v>
      </c>
      <c r="D1173" t="s">
        <v>15</v>
      </c>
      <c r="E1173" t="s">
        <v>183</v>
      </c>
      <c r="F1173">
        <v>1</v>
      </c>
      <c r="G1173" s="2">
        <v>3040</v>
      </c>
      <c r="H1173" s="3">
        <v>0</v>
      </c>
      <c r="I1173" t="s">
        <v>17</v>
      </c>
      <c r="J1173" t="s">
        <v>31</v>
      </c>
      <c r="K1173" t="s">
        <v>19</v>
      </c>
      <c r="L1173" s="2">
        <v>3040</v>
      </c>
      <c r="M1173" t="s">
        <v>59</v>
      </c>
    </row>
    <row r="1174" spans="1:13" x14ac:dyDescent="0.3">
      <c r="A1174" t="s">
        <v>1508</v>
      </c>
      <c r="B1174" s="1">
        <v>46153</v>
      </c>
      <c r="C1174" t="s">
        <v>388</v>
      </c>
      <c r="D1174" t="s">
        <v>29</v>
      </c>
      <c r="E1174" t="s">
        <v>46</v>
      </c>
      <c r="F1174">
        <v>2</v>
      </c>
      <c r="G1174" s="2">
        <v>7410</v>
      </c>
      <c r="H1174" s="3">
        <v>0.1</v>
      </c>
      <c r="I1174" t="s">
        <v>17</v>
      </c>
      <c r="J1174" t="s">
        <v>18</v>
      </c>
      <c r="K1174" t="s">
        <v>55</v>
      </c>
      <c r="L1174" s="2">
        <v>13338</v>
      </c>
      <c r="M1174" t="s">
        <v>32</v>
      </c>
    </row>
    <row r="1175" spans="1:13" x14ac:dyDescent="0.3">
      <c r="A1175" t="s">
        <v>1509</v>
      </c>
      <c r="B1175" s="1">
        <v>46203</v>
      </c>
      <c r="C1175" t="s">
        <v>89</v>
      </c>
      <c r="D1175" t="s">
        <v>62</v>
      </c>
      <c r="E1175" t="s">
        <v>36</v>
      </c>
      <c r="F1175">
        <v>2</v>
      </c>
      <c r="G1175" s="2">
        <v>1330</v>
      </c>
      <c r="H1175" s="3">
        <v>0.15</v>
      </c>
      <c r="I1175" t="s">
        <v>17</v>
      </c>
      <c r="J1175" t="s">
        <v>71</v>
      </c>
      <c r="K1175" t="s">
        <v>67</v>
      </c>
      <c r="L1175" s="2">
        <v>2261</v>
      </c>
      <c r="M1175" t="s">
        <v>59</v>
      </c>
    </row>
    <row r="1176" spans="1:13" x14ac:dyDescent="0.3">
      <c r="A1176" t="s">
        <v>1510</v>
      </c>
      <c r="B1176" s="1">
        <v>46134</v>
      </c>
      <c r="C1176" t="s">
        <v>818</v>
      </c>
      <c r="D1176" t="s">
        <v>152</v>
      </c>
      <c r="E1176" t="s">
        <v>46</v>
      </c>
      <c r="F1176">
        <v>2</v>
      </c>
      <c r="G1176" s="2">
        <v>8190</v>
      </c>
      <c r="H1176" s="3">
        <v>0.05</v>
      </c>
      <c r="I1176" t="s">
        <v>17</v>
      </c>
      <c r="J1176" t="s">
        <v>71</v>
      </c>
      <c r="K1176" t="s">
        <v>19</v>
      </c>
      <c r="L1176" s="2">
        <v>15561</v>
      </c>
      <c r="M1176" t="s">
        <v>138</v>
      </c>
    </row>
    <row r="1177" spans="1:13" x14ac:dyDescent="0.3">
      <c r="A1177" t="s">
        <v>1511</v>
      </c>
      <c r="B1177" s="1">
        <v>46142</v>
      </c>
      <c r="C1177" t="s">
        <v>258</v>
      </c>
      <c r="D1177" t="s">
        <v>29</v>
      </c>
      <c r="E1177" t="s">
        <v>74</v>
      </c>
      <c r="F1177">
        <v>2</v>
      </c>
      <c r="G1177" s="2">
        <v>2400</v>
      </c>
      <c r="H1177" s="3">
        <v>0.1</v>
      </c>
      <c r="I1177" t="s">
        <v>17</v>
      </c>
      <c r="J1177" t="s">
        <v>47</v>
      </c>
      <c r="K1177" t="s">
        <v>41</v>
      </c>
      <c r="L1177" s="2">
        <v>4320</v>
      </c>
      <c r="M1177" t="s">
        <v>20</v>
      </c>
    </row>
    <row r="1178" spans="1:13" x14ac:dyDescent="0.3">
      <c r="A1178" t="s">
        <v>1512</v>
      </c>
      <c r="B1178" s="1">
        <v>46073</v>
      </c>
      <c r="C1178" t="s">
        <v>561</v>
      </c>
      <c r="D1178" t="s">
        <v>62</v>
      </c>
      <c r="E1178" t="s">
        <v>36</v>
      </c>
      <c r="F1178">
        <v>2</v>
      </c>
      <c r="G1178" s="2">
        <v>1400</v>
      </c>
      <c r="H1178" s="3">
        <v>0</v>
      </c>
      <c r="I1178" t="s">
        <v>17</v>
      </c>
      <c r="J1178" t="s">
        <v>104</v>
      </c>
      <c r="K1178" t="s">
        <v>67</v>
      </c>
      <c r="L1178" s="2">
        <v>2800</v>
      </c>
      <c r="M1178" t="s">
        <v>82</v>
      </c>
    </row>
    <row r="1179" spans="1:13" x14ac:dyDescent="0.3">
      <c r="A1179" t="s">
        <v>1513</v>
      </c>
      <c r="B1179" s="1">
        <v>46026</v>
      </c>
      <c r="C1179" t="s">
        <v>795</v>
      </c>
      <c r="D1179" t="s">
        <v>40</v>
      </c>
      <c r="E1179" t="s">
        <v>135</v>
      </c>
      <c r="F1179">
        <v>1</v>
      </c>
      <c r="G1179" s="2">
        <v>17640</v>
      </c>
      <c r="H1179" s="3">
        <v>0.05</v>
      </c>
      <c r="I1179" t="s">
        <v>17</v>
      </c>
      <c r="J1179" t="s">
        <v>47</v>
      </c>
      <c r="K1179" t="s">
        <v>67</v>
      </c>
      <c r="L1179" s="2">
        <v>16758</v>
      </c>
      <c r="M1179" t="s">
        <v>20</v>
      </c>
    </row>
    <row r="1180" spans="1:13" x14ac:dyDescent="0.3">
      <c r="A1180" t="s">
        <v>1514</v>
      </c>
      <c r="B1180" s="1">
        <v>46169</v>
      </c>
      <c r="C1180" t="s">
        <v>684</v>
      </c>
      <c r="D1180" t="s">
        <v>90</v>
      </c>
      <c r="E1180" t="s">
        <v>16</v>
      </c>
      <c r="F1180">
        <v>5</v>
      </c>
      <c r="G1180" s="2">
        <v>682.5</v>
      </c>
      <c r="H1180" s="3">
        <v>0.1</v>
      </c>
      <c r="I1180" t="s">
        <v>116</v>
      </c>
      <c r="J1180" t="s">
        <v>71</v>
      </c>
      <c r="K1180" t="s">
        <v>55</v>
      </c>
      <c r="L1180" s="2">
        <v>3071.25</v>
      </c>
      <c r="M1180" t="s">
        <v>82</v>
      </c>
    </row>
    <row r="1181" spans="1:13" x14ac:dyDescent="0.3">
      <c r="A1181" t="s">
        <v>1515</v>
      </c>
      <c r="B1181" s="1">
        <v>46049</v>
      </c>
      <c r="C1181" t="s">
        <v>326</v>
      </c>
      <c r="D1181" t="s">
        <v>168</v>
      </c>
      <c r="E1181" t="s">
        <v>36</v>
      </c>
      <c r="F1181">
        <v>1</v>
      </c>
      <c r="G1181" s="2">
        <v>1400</v>
      </c>
      <c r="H1181" s="3">
        <v>0.2</v>
      </c>
      <c r="I1181" t="s">
        <v>17</v>
      </c>
      <c r="J1181" t="s">
        <v>31</v>
      </c>
      <c r="K1181" t="s">
        <v>55</v>
      </c>
      <c r="L1181" s="2">
        <v>1120</v>
      </c>
      <c r="M1181" t="s">
        <v>42</v>
      </c>
    </row>
    <row r="1182" spans="1:13" x14ac:dyDescent="0.3">
      <c r="A1182" t="s">
        <v>1516</v>
      </c>
      <c r="B1182" s="1">
        <v>46037</v>
      </c>
      <c r="C1182" t="s">
        <v>391</v>
      </c>
      <c r="D1182" t="s">
        <v>62</v>
      </c>
      <c r="E1182" t="s">
        <v>74</v>
      </c>
      <c r="F1182">
        <v>3</v>
      </c>
      <c r="G1182" s="2">
        <v>2400</v>
      </c>
      <c r="H1182" s="3">
        <v>0.05</v>
      </c>
      <c r="I1182" t="s">
        <v>17</v>
      </c>
      <c r="J1182" t="s">
        <v>31</v>
      </c>
      <c r="K1182" t="s">
        <v>67</v>
      </c>
      <c r="L1182" s="2">
        <v>6840</v>
      </c>
      <c r="M1182" t="s">
        <v>138</v>
      </c>
    </row>
    <row r="1183" spans="1:13" x14ac:dyDescent="0.3">
      <c r="A1183" t="s">
        <v>1517</v>
      </c>
      <c r="B1183" s="1">
        <v>46066</v>
      </c>
      <c r="C1183" t="s">
        <v>302</v>
      </c>
      <c r="D1183" t="s">
        <v>77</v>
      </c>
      <c r="E1183" t="s">
        <v>183</v>
      </c>
      <c r="F1183">
        <v>3</v>
      </c>
      <c r="G1183" s="2">
        <v>3360</v>
      </c>
      <c r="H1183" s="3">
        <v>0.05</v>
      </c>
      <c r="I1183" t="s">
        <v>17</v>
      </c>
      <c r="J1183" t="s">
        <v>31</v>
      </c>
      <c r="K1183" t="s">
        <v>19</v>
      </c>
      <c r="L1183" s="2">
        <v>9576</v>
      </c>
      <c r="M1183" t="s">
        <v>52</v>
      </c>
    </row>
    <row r="1184" spans="1:13" x14ac:dyDescent="0.3">
      <c r="A1184" t="s">
        <v>1518</v>
      </c>
      <c r="B1184" s="1">
        <v>46151</v>
      </c>
      <c r="C1184" t="s">
        <v>1082</v>
      </c>
      <c r="D1184" t="s">
        <v>50</v>
      </c>
      <c r="E1184" t="s">
        <v>85</v>
      </c>
      <c r="F1184">
        <v>1</v>
      </c>
      <c r="G1184" s="2">
        <v>48500</v>
      </c>
      <c r="H1184" s="3">
        <v>0</v>
      </c>
      <c r="I1184" t="s">
        <v>17</v>
      </c>
      <c r="J1184" t="s">
        <v>18</v>
      </c>
      <c r="K1184" t="s">
        <v>41</v>
      </c>
      <c r="L1184" s="2">
        <v>48500</v>
      </c>
      <c r="M1184" t="s">
        <v>20</v>
      </c>
    </row>
    <row r="1185" spans="1:13" x14ac:dyDescent="0.3">
      <c r="A1185" t="s">
        <v>1519</v>
      </c>
      <c r="B1185" s="1">
        <v>46102</v>
      </c>
      <c r="C1185" t="s">
        <v>442</v>
      </c>
      <c r="D1185" t="s">
        <v>45</v>
      </c>
      <c r="E1185" t="s">
        <v>51</v>
      </c>
      <c r="F1185">
        <v>2</v>
      </c>
      <c r="G1185" s="2">
        <v>17575</v>
      </c>
      <c r="H1185" s="3">
        <v>0.05</v>
      </c>
      <c r="I1185" t="s">
        <v>17</v>
      </c>
      <c r="J1185" t="s">
        <v>31</v>
      </c>
      <c r="K1185" t="s">
        <v>19</v>
      </c>
      <c r="L1185" s="2">
        <v>33392.5</v>
      </c>
      <c r="M1185" t="s">
        <v>42</v>
      </c>
    </row>
    <row r="1186" spans="1:13" x14ac:dyDescent="0.3">
      <c r="A1186" t="s">
        <v>1520</v>
      </c>
      <c r="B1186" s="1">
        <v>46069</v>
      </c>
      <c r="C1186" t="s">
        <v>487</v>
      </c>
      <c r="D1186" t="s">
        <v>123</v>
      </c>
      <c r="E1186" t="s">
        <v>63</v>
      </c>
      <c r="F1186">
        <v>1</v>
      </c>
      <c r="G1186" s="2">
        <v>2090</v>
      </c>
      <c r="H1186" s="3">
        <v>0.15</v>
      </c>
      <c r="I1186" t="s">
        <v>17</v>
      </c>
      <c r="J1186" t="s">
        <v>31</v>
      </c>
      <c r="K1186" t="s">
        <v>41</v>
      </c>
      <c r="L1186" s="2">
        <v>1776.5</v>
      </c>
      <c r="M1186" t="s">
        <v>138</v>
      </c>
    </row>
    <row r="1187" spans="1:13" x14ac:dyDescent="0.3">
      <c r="A1187" t="s">
        <v>1521</v>
      </c>
      <c r="B1187" s="1">
        <v>46140</v>
      </c>
      <c r="C1187" t="s">
        <v>326</v>
      </c>
      <c r="D1187" t="s">
        <v>15</v>
      </c>
      <c r="E1187" t="s">
        <v>85</v>
      </c>
      <c r="F1187">
        <v>8</v>
      </c>
      <c r="G1187" s="2">
        <v>48500</v>
      </c>
      <c r="H1187" s="3">
        <v>0.05</v>
      </c>
      <c r="I1187" t="s">
        <v>66</v>
      </c>
      <c r="J1187" t="s">
        <v>47</v>
      </c>
      <c r="K1187" t="s">
        <v>19</v>
      </c>
      <c r="L1187" s="2">
        <v>368600</v>
      </c>
      <c r="M1187" t="s">
        <v>32</v>
      </c>
    </row>
    <row r="1188" spans="1:13" x14ac:dyDescent="0.3">
      <c r="A1188" t="s">
        <v>1522</v>
      </c>
      <c r="B1188" s="1">
        <v>46203</v>
      </c>
      <c r="C1188" t="s">
        <v>628</v>
      </c>
      <c r="D1188" t="s">
        <v>45</v>
      </c>
      <c r="E1188" t="s">
        <v>30</v>
      </c>
      <c r="F1188">
        <v>1</v>
      </c>
      <c r="G1188" s="2">
        <v>1800</v>
      </c>
      <c r="H1188" s="3">
        <v>0.15</v>
      </c>
      <c r="I1188" t="s">
        <v>17</v>
      </c>
      <c r="J1188" t="s">
        <v>47</v>
      </c>
      <c r="K1188" t="s">
        <v>41</v>
      </c>
      <c r="L1188" s="2">
        <v>1530</v>
      </c>
      <c r="M1188" t="s">
        <v>59</v>
      </c>
    </row>
    <row r="1189" spans="1:13" x14ac:dyDescent="0.3">
      <c r="A1189" t="s">
        <v>1523</v>
      </c>
      <c r="B1189" s="1">
        <v>46098</v>
      </c>
      <c r="C1189" t="s">
        <v>818</v>
      </c>
      <c r="D1189" t="s">
        <v>45</v>
      </c>
      <c r="E1189" t="s">
        <v>85</v>
      </c>
      <c r="F1189">
        <v>2</v>
      </c>
      <c r="G1189" s="2">
        <v>48500</v>
      </c>
      <c r="H1189" s="3">
        <v>0</v>
      </c>
      <c r="I1189" t="s">
        <v>17</v>
      </c>
      <c r="J1189" t="s">
        <v>18</v>
      </c>
      <c r="K1189" t="s">
        <v>41</v>
      </c>
      <c r="L1189" s="2">
        <v>97000</v>
      </c>
      <c r="M1189" t="s">
        <v>20</v>
      </c>
    </row>
    <row r="1190" spans="1:13" x14ac:dyDescent="0.3">
      <c r="A1190" t="s">
        <v>1524</v>
      </c>
      <c r="B1190" s="1">
        <v>46172</v>
      </c>
      <c r="C1190" t="s">
        <v>367</v>
      </c>
      <c r="D1190" t="s">
        <v>70</v>
      </c>
      <c r="E1190" t="s">
        <v>30</v>
      </c>
      <c r="F1190">
        <v>2</v>
      </c>
      <c r="G1190" s="2">
        <v>1890</v>
      </c>
      <c r="H1190" s="3">
        <v>0</v>
      </c>
      <c r="I1190" t="s">
        <v>116</v>
      </c>
      <c r="J1190" t="s">
        <v>47</v>
      </c>
      <c r="K1190" t="s">
        <v>41</v>
      </c>
      <c r="L1190" s="2">
        <v>3780</v>
      </c>
      <c r="M1190" t="s">
        <v>138</v>
      </c>
    </row>
    <row r="1191" spans="1:13" x14ac:dyDescent="0.3">
      <c r="A1191" t="s">
        <v>1525</v>
      </c>
      <c r="B1191" s="1">
        <v>46202</v>
      </c>
      <c r="C1191" t="s">
        <v>693</v>
      </c>
      <c r="D1191" t="s">
        <v>152</v>
      </c>
      <c r="E1191" t="s">
        <v>51</v>
      </c>
      <c r="F1191">
        <v>4</v>
      </c>
      <c r="G1191" s="2">
        <v>18500</v>
      </c>
      <c r="H1191" s="3">
        <v>0.05</v>
      </c>
      <c r="I1191" t="s">
        <v>17</v>
      </c>
      <c r="J1191" t="s">
        <v>71</v>
      </c>
      <c r="K1191" t="s">
        <v>55</v>
      </c>
      <c r="L1191" s="2">
        <v>70300</v>
      </c>
      <c r="M1191" t="s">
        <v>26</v>
      </c>
    </row>
    <row r="1192" spans="1:13" x14ac:dyDescent="0.3">
      <c r="A1192" t="s">
        <v>1526</v>
      </c>
      <c r="B1192" s="1">
        <v>46031</v>
      </c>
      <c r="C1192" t="s">
        <v>798</v>
      </c>
      <c r="D1192" t="s">
        <v>77</v>
      </c>
      <c r="E1192" t="s">
        <v>63</v>
      </c>
      <c r="F1192">
        <v>2</v>
      </c>
      <c r="G1192" s="2">
        <v>2200</v>
      </c>
      <c r="H1192" s="3">
        <v>0.2</v>
      </c>
      <c r="I1192" t="s">
        <v>17</v>
      </c>
      <c r="J1192" t="s">
        <v>47</v>
      </c>
      <c r="K1192" t="s">
        <v>67</v>
      </c>
      <c r="L1192" s="2">
        <v>3520</v>
      </c>
      <c r="M1192" t="s">
        <v>48</v>
      </c>
    </row>
    <row r="1193" spans="1:13" x14ac:dyDescent="0.3">
      <c r="A1193" t="s">
        <v>1527</v>
      </c>
      <c r="B1193" s="1">
        <v>46119</v>
      </c>
      <c r="C1193" t="s">
        <v>111</v>
      </c>
      <c r="D1193" t="s">
        <v>95</v>
      </c>
      <c r="E1193" t="s">
        <v>183</v>
      </c>
      <c r="F1193">
        <v>5</v>
      </c>
      <c r="G1193" s="2">
        <v>3200</v>
      </c>
      <c r="H1193" s="3">
        <v>0.05</v>
      </c>
      <c r="I1193" t="s">
        <v>17</v>
      </c>
      <c r="J1193" t="s">
        <v>71</v>
      </c>
      <c r="K1193" t="s">
        <v>55</v>
      </c>
      <c r="L1193" s="2">
        <v>15200</v>
      </c>
      <c r="M1193" t="s">
        <v>56</v>
      </c>
    </row>
    <row r="1194" spans="1:13" x14ac:dyDescent="0.3">
      <c r="A1194" t="s">
        <v>1528</v>
      </c>
      <c r="B1194" s="1">
        <v>46108</v>
      </c>
      <c r="C1194" t="s">
        <v>848</v>
      </c>
      <c r="D1194" t="s">
        <v>35</v>
      </c>
      <c r="E1194" t="s">
        <v>74</v>
      </c>
      <c r="F1194">
        <v>5</v>
      </c>
      <c r="G1194" s="2">
        <v>2400</v>
      </c>
      <c r="H1194" s="3">
        <v>0</v>
      </c>
      <c r="I1194" t="s">
        <v>80</v>
      </c>
      <c r="J1194" t="s">
        <v>18</v>
      </c>
      <c r="K1194" t="s">
        <v>25</v>
      </c>
      <c r="L1194" s="2">
        <v>12000</v>
      </c>
      <c r="M1194" t="s">
        <v>59</v>
      </c>
    </row>
    <row r="1195" spans="1:13" x14ac:dyDescent="0.3">
      <c r="A1195" t="s">
        <v>1529</v>
      </c>
      <c r="B1195" s="1">
        <v>46028</v>
      </c>
      <c r="C1195" t="s">
        <v>399</v>
      </c>
      <c r="D1195" t="s">
        <v>62</v>
      </c>
      <c r="E1195" t="s">
        <v>183</v>
      </c>
      <c r="F1195">
        <v>2</v>
      </c>
      <c r="G1195" s="2">
        <v>3360</v>
      </c>
      <c r="H1195" s="3">
        <v>0.15</v>
      </c>
      <c r="I1195" t="s">
        <v>17</v>
      </c>
      <c r="J1195" t="s">
        <v>71</v>
      </c>
      <c r="K1195" t="s">
        <v>67</v>
      </c>
      <c r="L1195" s="2">
        <v>5712</v>
      </c>
      <c r="M1195" t="s">
        <v>138</v>
      </c>
    </row>
    <row r="1196" spans="1:13" x14ac:dyDescent="0.3">
      <c r="A1196" t="s">
        <v>1530</v>
      </c>
      <c r="B1196" s="1">
        <v>46176</v>
      </c>
      <c r="C1196" t="s">
        <v>179</v>
      </c>
      <c r="D1196" t="s">
        <v>35</v>
      </c>
      <c r="E1196" t="s">
        <v>46</v>
      </c>
      <c r="F1196">
        <v>3</v>
      </c>
      <c r="G1196" s="2">
        <v>7800</v>
      </c>
      <c r="H1196" s="3">
        <v>0.05</v>
      </c>
      <c r="I1196" t="s">
        <v>17</v>
      </c>
      <c r="J1196" t="s">
        <v>31</v>
      </c>
      <c r="K1196" t="s">
        <v>55</v>
      </c>
      <c r="L1196" s="2">
        <v>22230</v>
      </c>
      <c r="M1196" t="s">
        <v>32</v>
      </c>
    </row>
    <row r="1197" spans="1:13" x14ac:dyDescent="0.3">
      <c r="A1197" t="s">
        <v>1531</v>
      </c>
      <c r="B1197" s="1">
        <v>46091</v>
      </c>
      <c r="C1197" t="s">
        <v>1082</v>
      </c>
      <c r="D1197" t="s">
        <v>40</v>
      </c>
      <c r="E1197" t="s">
        <v>161</v>
      </c>
      <c r="F1197">
        <v>3</v>
      </c>
      <c r="G1197" s="2">
        <v>2600</v>
      </c>
      <c r="H1197" s="3">
        <v>0</v>
      </c>
      <c r="I1197" t="s">
        <v>17</v>
      </c>
      <c r="J1197" t="s">
        <v>71</v>
      </c>
      <c r="K1197" t="s">
        <v>41</v>
      </c>
      <c r="L1197" s="2">
        <v>7800</v>
      </c>
      <c r="M1197" t="s">
        <v>138</v>
      </c>
    </row>
    <row r="1198" spans="1:13" x14ac:dyDescent="0.3">
      <c r="A1198" t="s">
        <v>1532</v>
      </c>
      <c r="B1198" s="1">
        <v>46036</v>
      </c>
      <c r="C1198" t="s">
        <v>411</v>
      </c>
      <c r="D1198" t="s">
        <v>15</v>
      </c>
      <c r="E1198" t="s">
        <v>135</v>
      </c>
      <c r="F1198">
        <v>4</v>
      </c>
      <c r="G1198" s="2">
        <v>17640</v>
      </c>
      <c r="H1198" s="3">
        <v>0</v>
      </c>
      <c r="I1198" t="s">
        <v>17</v>
      </c>
      <c r="J1198" t="s">
        <v>71</v>
      </c>
      <c r="K1198" t="s">
        <v>55</v>
      </c>
      <c r="L1198" s="2">
        <v>70560</v>
      </c>
      <c r="M1198" t="s">
        <v>20</v>
      </c>
    </row>
    <row r="1199" spans="1:13" x14ac:dyDescent="0.3">
      <c r="A1199" t="s">
        <v>1533</v>
      </c>
      <c r="B1199" s="1">
        <v>46191</v>
      </c>
      <c r="C1199" t="s">
        <v>264</v>
      </c>
      <c r="D1199" t="s">
        <v>50</v>
      </c>
      <c r="E1199" t="s">
        <v>24</v>
      </c>
      <c r="F1199">
        <v>5</v>
      </c>
      <c r="G1199" s="2">
        <v>11200</v>
      </c>
      <c r="H1199" s="3">
        <v>0.05</v>
      </c>
      <c r="I1199" t="s">
        <v>17</v>
      </c>
      <c r="J1199" t="s">
        <v>71</v>
      </c>
      <c r="K1199" t="s">
        <v>55</v>
      </c>
      <c r="L1199" s="2">
        <v>53200</v>
      </c>
      <c r="M1199" t="s">
        <v>42</v>
      </c>
    </row>
    <row r="1200" spans="1:13" x14ac:dyDescent="0.3">
      <c r="A1200" t="s">
        <v>1534</v>
      </c>
      <c r="B1200" s="1">
        <v>46085</v>
      </c>
      <c r="C1200" t="s">
        <v>190</v>
      </c>
      <c r="D1200" t="s">
        <v>50</v>
      </c>
      <c r="E1200" t="s">
        <v>74</v>
      </c>
      <c r="F1200">
        <v>3</v>
      </c>
      <c r="G1200" s="2">
        <v>2400</v>
      </c>
      <c r="H1200" s="3">
        <v>0.05</v>
      </c>
      <c r="I1200" t="s">
        <v>17</v>
      </c>
      <c r="J1200" t="s">
        <v>31</v>
      </c>
      <c r="K1200" t="s">
        <v>55</v>
      </c>
      <c r="L1200" s="2">
        <v>6840</v>
      </c>
      <c r="M1200" t="s">
        <v>82</v>
      </c>
    </row>
    <row r="1201" spans="1:13" x14ac:dyDescent="0.3">
      <c r="A1201" t="s">
        <v>1535</v>
      </c>
      <c r="B1201" s="1">
        <v>46198</v>
      </c>
      <c r="C1201" t="s">
        <v>414</v>
      </c>
      <c r="D1201" t="s">
        <v>70</v>
      </c>
      <c r="E1201" t="s">
        <v>85</v>
      </c>
      <c r="F1201">
        <v>1</v>
      </c>
      <c r="G1201" s="2">
        <v>50925</v>
      </c>
      <c r="H1201" s="3">
        <v>0.1</v>
      </c>
      <c r="I1201" t="s">
        <v>17</v>
      </c>
      <c r="J1201" t="s">
        <v>31</v>
      </c>
      <c r="K1201" t="s">
        <v>55</v>
      </c>
      <c r="L1201" s="2">
        <v>45832.5</v>
      </c>
      <c r="M1201" t="s">
        <v>59</v>
      </c>
    </row>
    <row r="1202" spans="1:13" x14ac:dyDescent="0.3">
      <c r="A1202" t="s">
        <v>293</v>
      </c>
      <c r="B1202" s="1">
        <v>46178</v>
      </c>
      <c r="C1202" t="s">
        <v>294</v>
      </c>
      <c r="D1202" t="s">
        <v>62</v>
      </c>
      <c r="E1202" t="s">
        <v>161</v>
      </c>
      <c r="F1202">
        <v>1</v>
      </c>
      <c r="G1202" s="2">
        <v>2730</v>
      </c>
      <c r="H1202" s="3">
        <v>0.15</v>
      </c>
      <c r="I1202" t="s">
        <v>17</v>
      </c>
      <c r="J1202" t="s">
        <v>47</v>
      </c>
      <c r="K1202" t="s">
        <v>25</v>
      </c>
      <c r="L1202" s="2">
        <v>2320.5</v>
      </c>
      <c r="M1202" t="s">
        <v>56</v>
      </c>
    </row>
    <row r="1203" spans="1:13" x14ac:dyDescent="0.3">
      <c r="A1203" t="s">
        <v>1368</v>
      </c>
      <c r="B1203" s="1">
        <v>46090</v>
      </c>
      <c r="C1203" t="s">
        <v>363</v>
      </c>
      <c r="D1203" t="s">
        <v>35</v>
      </c>
      <c r="E1203" t="s">
        <v>85</v>
      </c>
      <c r="F1203">
        <v>3</v>
      </c>
      <c r="G1203" s="2">
        <v>48500</v>
      </c>
      <c r="H1203" s="3">
        <v>0.1</v>
      </c>
      <c r="I1203" t="s">
        <v>17</v>
      </c>
      <c r="J1203" t="s">
        <v>18</v>
      </c>
      <c r="K1203" t="s">
        <v>19</v>
      </c>
      <c r="L1203" s="2">
        <v>130950</v>
      </c>
      <c r="M1203" t="s">
        <v>59</v>
      </c>
    </row>
    <row r="1204" spans="1:13" x14ac:dyDescent="0.3">
      <c r="A1204" t="s">
        <v>1366</v>
      </c>
      <c r="B1204" s="1">
        <v>46058</v>
      </c>
      <c r="C1204" t="s">
        <v>304</v>
      </c>
      <c r="D1204" t="s">
        <v>15</v>
      </c>
      <c r="E1204" t="s">
        <v>36</v>
      </c>
      <c r="F1204">
        <v>5</v>
      </c>
      <c r="G1204" s="2">
        <v>1400</v>
      </c>
      <c r="H1204" s="3">
        <v>0.2</v>
      </c>
      <c r="I1204" t="s">
        <v>17</v>
      </c>
      <c r="J1204" t="s">
        <v>71</v>
      </c>
      <c r="K1204" t="s">
        <v>67</v>
      </c>
      <c r="L1204" s="2">
        <v>5600</v>
      </c>
      <c r="M1204" t="s">
        <v>82</v>
      </c>
    </row>
    <row r="1205" spans="1:13" x14ac:dyDescent="0.3">
      <c r="A1205" t="s">
        <v>716</v>
      </c>
      <c r="B1205" s="1">
        <v>46147</v>
      </c>
      <c r="C1205" t="s">
        <v>491</v>
      </c>
      <c r="D1205" t="s">
        <v>29</v>
      </c>
      <c r="E1205" t="s">
        <v>46</v>
      </c>
      <c r="F1205">
        <v>5</v>
      </c>
      <c r="G1205" s="2">
        <v>7800</v>
      </c>
      <c r="H1205" s="3">
        <v>0</v>
      </c>
      <c r="I1205" t="s">
        <v>17</v>
      </c>
      <c r="J1205" t="s">
        <v>71</v>
      </c>
      <c r="K1205" t="s">
        <v>41</v>
      </c>
      <c r="L1205" s="2">
        <v>39000</v>
      </c>
      <c r="M1205" t="s">
        <v>42</v>
      </c>
    </row>
    <row r="1206" spans="1:13" x14ac:dyDescent="0.3">
      <c r="A1206" t="s">
        <v>1050</v>
      </c>
      <c r="B1206" s="1">
        <v>46074</v>
      </c>
      <c r="C1206" t="s">
        <v>843</v>
      </c>
      <c r="D1206" t="s">
        <v>62</v>
      </c>
      <c r="E1206" t="s">
        <v>46</v>
      </c>
      <c r="F1206">
        <v>5</v>
      </c>
      <c r="G1206" s="2">
        <v>8190</v>
      </c>
      <c r="H1206" s="3">
        <v>0.1</v>
      </c>
      <c r="I1206" t="s">
        <v>17</v>
      </c>
      <c r="J1206" t="s">
        <v>18</v>
      </c>
      <c r="K1206" t="s">
        <v>67</v>
      </c>
      <c r="L1206" s="2">
        <v>36855</v>
      </c>
      <c r="M1206" t="s">
        <v>48</v>
      </c>
    </row>
    <row r="1207" spans="1:13" x14ac:dyDescent="0.3">
      <c r="A1207" t="s">
        <v>816</v>
      </c>
      <c r="B1207" s="1">
        <v>46073</v>
      </c>
      <c r="C1207" t="s">
        <v>414</v>
      </c>
      <c r="D1207" t="s">
        <v>62</v>
      </c>
      <c r="E1207" t="s">
        <v>161</v>
      </c>
      <c r="F1207">
        <v>3</v>
      </c>
      <c r="G1207" s="2">
        <v>2600</v>
      </c>
      <c r="H1207" s="3">
        <v>0</v>
      </c>
      <c r="I1207" t="s">
        <v>17</v>
      </c>
      <c r="J1207" t="s">
        <v>31</v>
      </c>
      <c r="K1207" t="s">
        <v>67</v>
      </c>
      <c r="L1207" s="2">
        <v>7800</v>
      </c>
      <c r="M1207" t="s">
        <v>32</v>
      </c>
    </row>
    <row r="1208" spans="1:13" x14ac:dyDescent="0.3">
      <c r="A1208" t="s">
        <v>786</v>
      </c>
      <c r="B1208" s="1">
        <v>46036</v>
      </c>
      <c r="C1208" t="s">
        <v>405</v>
      </c>
      <c r="D1208" t="s">
        <v>90</v>
      </c>
      <c r="E1208" t="s">
        <v>74</v>
      </c>
      <c r="F1208">
        <v>1</v>
      </c>
      <c r="G1208" s="2">
        <v>2520</v>
      </c>
      <c r="H1208" s="3">
        <v>0</v>
      </c>
      <c r="I1208" t="s">
        <v>17</v>
      </c>
      <c r="J1208" t="s">
        <v>31</v>
      </c>
      <c r="K1208" t="s">
        <v>41</v>
      </c>
      <c r="L1208" s="2">
        <v>2520</v>
      </c>
      <c r="M1208" t="s">
        <v>26</v>
      </c>
    </row>
    <row r="1209" spans="1:13" x14ac:dyDescent="0.3">
      <c r="A1209" t="s">
        <v>195</v>
      </c>
      <c r="B1209" s="1">
        <v>46115</v>
      </c>
      <c r="C1209" t="s">
        <v>196</v>
      </c>
      <c r="D1209" t="s">
        <v>50</v>
      </c>
      <c r="E1209" t="s">
        <v>135</v>
      </c>
      <c r="F1209">
        <v>1</v>
      </c>
      <c r="G1209" s="2">
        <v>15960</v>
      </c>
      <c r="H1209" s="3">
        <v>0.15</v>
      </c>
      <c r="I1209" t="s">
        <v>17</v>
      </c>
      <c r="J1209" t="s">
        <v>47</v>
      </c>
      <c r="K1209" t="s">
        <v>41</v>
      </c>
      <c r="L1209" s="2">
        <v>13566</v>
      </c>
      <c r="M1209" t="s">
        <v>56</v>
      </c>
    </row>
    <row r="1210" spans="1:13" x14ac:dyDescent="0.3">
      <c r="A1210" t="s">
        <v>918</v>
      </c>
      <c r="B1210" s="1">
        <v>46126</v>
      </c>
      <c r="C1210" t="s">
        <v>230</v>
      </c>
      <c r="D1210" t="s">
        <v>90</v>
      </c>
      <c r="E1210" t="s">
        <v>85</v>
      </c>
      <c r="F1210">
        <v>4</v>
      </c>
      <c r="G1210" s="2">
        <v>46075</v>
      </c>
      <c r="H1210" s="3">
        <v>0</v>
      </c>
      <c r="I1210" t="s">
        <v>17</v>
      </c>
      <c r="J1210" t="s">
        <v>18</v>
      </c>
      <c r="K1210" t="s">
        <v>19</v>
      </c>
      <c r="L1210" s="2">
        <v>184300</v>
      </c>
      <c r="M1210" t="s">
        <v>48</v>
      </c>
    </row>
    <row r="1211" spans="1:13" x14ac:dyDescent="0.3">
      <c r="A1211" t="s">
        <v>1167</v>
      </c>
      <c r="B1211" s="1">
        <v>46164</v>
      </c>
      <c r="C1211" t="s">
        <v>140</v>
      </c>
      <c r="D1211" t="s">
        <v>15</v>
      </c>
      <c r="E1211" t="s">
        <v>36</v>
      </c>
      <c r="F1211">
        <v>1</v>
      </c>
      <c r="G1211" s="2">
        <v>1400</v>
      </c>
      <c r="H1211" s="3">
        <v>0</v>
      </c>
      <c r="I1211" t="s">
        <v>17</v>
      </c>
      <c r="J1211" t="s">
        <v>18</v>
      </c>
      <c r="K1211" t="s">
        <v>41</v>
      </c>
      <c r="L1211" s="2">
        <v>1400</v>
      </c>
      <c r="M1211" t="s">
        <v>26</v>
      </c>
    </row>
    <row r="1212" spans="1:13" x14ac:dyDescent="0.3">
      <c r="A1212" t="s">
        <v>231</v>
      </c>
      <c r="B1212" s="1">
        <v>46104</v>
      </c>
      <c r="C1212" t="s">
        <v>232</v>
      </c>
      <c r="D1212" t="s">
        <v>123</v>
      </c>
      <c r="E1212" t="s">
        <v>46</v>
      </c>
      <c r="F1212">
        <v>3</v>
      </c>
      <c r="G1212" s="2">
        <v>7800</v>
      </c>
      <c r="H1212" s="3">
        <v>0.1</v>
      </c>
      <c r="I1212" t="s">
        <v>17</v>
      </c>
      <c r="J1212" t="s">
        <v>31</v>
      </c>
      <c r="K1212" t="s">
        <v>41</v>
      </c>
      <c r="L1212" s="2">
        <v>21060</v>
      </c>
      <c r="M1212" t="s">
        <v>82</v>
      </c>
    </row>
    <row r="1213" spans="1:13" x14ac:dyDescent="0.3">
      <c r="A1213" t="s">
        <v>1271</v>
      </c>
      <c r="B1213" s="1">
        <v>46121</v>
      </c>
      <c r="C1213" t="s">
        <v>386</v>
      </c>
      <c r="D1213" t="s">
        <v>15</v>
      </c>
      <c r="E1213" t="s">
        <v>63</v>
      </c>
      <c r="F1213">
        <v>1</v>
      </c>
      <c r="G1213" s="2">
        <v>2090</v>
      </c>
      <c r="H1213" s="3">
        <v>0.2</v>
      </c>
      <c r="I1213" t="s">
        <v>17</v>
      </c>
      <c r="J1213" t="s">
        <v>71</v>
      </c>
      <c r="K1213" t="s">
        <v>55</v>
      </c>
      <c r="L1213" s="2">
        <v>1672</v>
      </c>
      <c r="M1213" t="s">
        <v>42</v>
      </c>
    </row>
    <row r="1214" spans="1:13" x14ac:dyDescent="0.3">
      <c r="A1214" t="s">
        <v>713</v>
      </c>
      <c r="B1214" s="1">
        <v>46034</v>
      </c>
      <c r="C1214" t="s">
        <v>714</v>
      </c>
      <c r="D1214" t="s">
        <v>168</v>
      </c>
      <c r="E1214" t="s">
        <v>74</v>
      </c>
      <c r="F1214">
        <v>3</v>
      </c>
      <c r="G1214" s="2">
        <v>2400</v>
      </c>
      <c r="H1214" s="3">
        <v>0.2</v>
      </c>
      <c r="I1214" t="s">
        <v>116</v>
      </c>
      <c r="J1214" t="s">
        <v>71</v>
      </c>
      <c r="K1214" t="s">
        <v>55</v>
      </c>
      <c r="L1214" s="2">
        <v>5760</v>
      </c>
      <c r="M1214" t="s">
        <v>32</v>
      </c>
    </row>
    <row r="1215" spans="1:13" x14ac:dyDescent="0.3">
      <c r="A1215" t="s">
        <v>136</v>
      </c>
      <c r="B1215" s="1">
        <v>46071</v>
      </c>
      <c r="C1215" t="s">
        <v>137</v>
      </c>
      <c r="D1215" t="s">
        <v>45</v>
      </c>
      <c r="E1215" t="s">
        <v>16</v>
      </c>
      <c r="F1215">
        <v>4</v>
      </c>
      <c r="G1215" s="2">
        <v>650</v>
      </c>
      <c r="H1215" s="3">
        <v>0</v>
      </c>
      <c r="I1215" t="s">
        <v>17</v>
      </c>
      <c r="J1215" t="s">
        <v>18</v>
      </c>
      <c r="K1215" t="s">
        <v>19</v>
      </c>
      <c r="L1215" s="2">
        <v>2600</v>
      </c>
      <c r="M1215" t="s">
        <v>138</v>
      </c>
    </row>
    <row r="1216" spans="1:13" x14ac:dyDescent="0.3">
      <c r="A1216" t="s">
        <v>1175</v>
      </c>
      <c r="B1216" s="1">
        <v>46034</v>
      </c>
      <c r="C1216" t="s">
        <v>204</v>
      </c>
      <c r="D1216" t="s">
        <v>70</v>
      </c>
      <c r="E1216" t="s">
        <v>51</v>
      </c>
      <c r="F1216">
        <v>2</v>
      </c>
      <c r="G1216" s="2">
        <v>18500</v>
      </c>
      <c r="H1216" s="3">
        <v>0.05</v>
      </c>
      <c r="I1216" t="s">
        <v>17</v>
      </c>
      <c r="J1216" t="s">
        <v>18</v>
      </c>
      <c r="K1216" t="s">
        <v>55</v>
      </c>
      <c r="L1216" s="2">
        <v>35150</v>
      </c>
      <c r="M1216" t="s">
        <v>42</v>
      </c>
    </row>
    <row r="1217" spans="1:13" x14ac:dyDescent="0.3">
      <c r="A1217" t="s">
        <v>516</v>
      </c>
      <c r="B1217" s="1">
        <v>46152</v>
      </c>
      <c r="C1217" t="s">
        <v>409</v>
      </c>
      <c r="D1217" t="s">
        <v>95</v>
      </c>
      <c r="E1217" t="s">
        <v>46</v>
      </c>
      <c r="F1217">
        <v>3</v>
      </c>
      <c r="G1217" s="2">
        <v>8190</v>
      </c>
      <c r="H1217" s="3">
        <v>0.1</v>
      </c>
      <c r="I1217" t="s">
        <v>17</v>
      </c>
      <c r="J1217" t="s">
        <v>71</v>
      </c>
      <c r="K1217" t="s">
        <v>19</v>
      </c>
      <c r="L1217" s="2">
        <v>22113</v>
      </c>
      <c r="M1217" t="s">
        <v>48</v>
      </c>
    </row>
    <row r="1218" spans="1:13" x14ac:dyDescent="0.3">
      <c r="A1218" t="s">
        <v>880</v>
      </c>
      <c r="B1218" s="1">
        <v>46069</v>
      </c>
      <c r="C1218" t="s">
        <v>690</v>
      </c>
      <c r="D1218" t="s">
        <v>123</v>
      </c>
      <c r="E1218" t="s">
        <v>74</v>
      </c>
      <c r="F1218">
        <v>2</v>
      </c>
      <c r="G1218" s="2">
        <v>2280</v>
      </c>
      <c r="H1218" s="3">
        <v>0.05</v>
      </c>
      <c r="I1218" t="s">
        <v>17</v>
      </c>
      <c r="J1218" t="s">
        <v>18</v>
      </c>
      <c r="K1218" t="s">
        <v>19</v>
      </c>
      <c r="L1218" s="2">
        <v>4332</v>
      </c>
      <c r="M1218" t="s">
        <v>138</v>
      </c>
    </row>
    <row r="1219" spans="1:13" x14ac:dyDescent="0.3">
      <c r="A1219" t="s">
        <v>862</v>
      </c>
      <c r="B1219" s="1">
        <v>46152</v>
      </c>
      <c r="C1219" t="s">
        <v>411</v>
      </c>
      <c r="D1219" t="s">
        <v>152</v>
      </c>
      <c r="E1219" t="s">
        <v>36</v>
      </c>
      <c r="F1219">
        <v>5</v>
      </c>
      <c r="G1219" s="2">
        <v>1400</v>
      </c>
      <c r="H1219" s="3">
        <v>0</v>
      </c>
      <c r="I1219" t="s">
        <v>17</v>
      </c>
      <c r="J1219" t="s">
        <v>31</v>
      </c>
      <c r="K1219" t="s">
        <v>41</v>
      </c>
      <c r="L1219" s="2">
        <v>7000</v>
      </c>
      <c r="M1219" t="s">
        <v>52</v>
      </c>
    </row>
    <row r="1220" spans="1:13" x14ac:dyDescent="0.3">
      <c r="A1220" t="s">
        <v>1278</v>
      </c>
      <c r="B1220" s="1">
        <v>46154</v>
      </c>
      <c r="C1220" t="s">
        <v>246</v>
      </c>
      <c r="D1220" t="s">
        <v>62</v>
      </c>
      <c r="E1220" t="s">
        <v>51</v>
      </c>
      <c r="F1220">
        <v>4</v>
      </c>
      <c r="G1220" s="2">
        <v>18500</v>
      </c>
      <c r="H1220" s="3">
        <v>0.15</v>
      </c>
      <c r="I1220" t="s">
        <v>17</v>
      </c>
      <c r="J1220" t="s">
        <v>47</v>
      </c>
      <c r="K1220" t="s">
        <v>25</v>
      </c>
      <c r="L1220" s="2">
        <v>62900</v>
      </c>
      <c r="M1220" t="s">
        <v>42</v>
      </c>
    </row>
    <row r="1221" spans="1:13" x14ac:dyDescent="0.3">
      <c r="A1221" t="s">
        <v>974</v>
      </c>
      <c r="B1221" s="1">
        <v>46148</v>
      </c>
      <c r="C1221" t="s">
        <v>851</v>
      </c>
      <c r="D1221" t="s">
        <v>77</v>
      </c>
      <c r="E1221" t="s">
        <v>85</v>
      </c>
      <c r="F1221">
        <v>4</v>
      </c>
      <c r="G1221" s="2">
        <v>48500</v>
      </c>
      <c r="H1221" s="3">
        <v>0</v>
      </c>
      <c r="I1221" t="s">
        <v>173</v>
      </c>
      <c r="J1221" t="s">
        <v>31</v>
      </c>
      <c r="K1221" t="s">
        <v>25</v>
      </c>
      <c r="L1221" s="2">
        <v>194000</v>
      </c>
      <c r="M1221" t="s">
        <v>138</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6"/>
  <sheetViews>
    <sheetView workbookViewId="0">
      <pane ySplit="1" topLeftCell="A2" activePane="bottomLeft" state="frozen"/>
      <selection pane="bottomLeft" activeCell="C11" sqref="C11"/>
    </sheetView>
  </sheetViews>
  <sheetFormatPr defaultRowHeight="14.4" x14ac:dyDescent="0.3"/>
  <cols>
    <col min="1" max="1" width="14" customWidth="1"/>
    <col min="2" max="2" width="17.21875" customWidth="1"/>
    <col min="3" max="3" width="12" customWidth="1"/>
    <col min="4" max="4" width="13" customWidth="1"/>
    <col min="5" max="5" width="17" customWidth="1"/>
  </cols>
  <sheetData>
    <row r="1" spans="1:5" ht="31.95" customHeight="1" x14ac:dyDescent="0.3">
      <c r="A1" s="5" t="s">
        <v>3</v>
      </c>
      <c r="B1" s="5" t="s">
        <v>1536</v>
      </c>
      <c r="C1" s="5" t="s">
        <v>1537</v>
      </c>
      <c r="D1" s="5" t="s">
        <v>1538</v>
      </c>
      <c r="E1" s="5" t="s">
        <v>1539</v>
      </c>
    </row>
    <row r="2" spans="1:5" x14ac:dyDescent="0.3">
      <c r="A2" t="s">
        <v>168</v>
      </c>
      <c r="B2" t="s">
        <v>1540</v>
      </c>
      <c r="C2" t="s">
        <v>1541</v>
      </c>
      <c r="D2" t="s">
        <v>20</v>
      </c>
      <c r="E2" t="s">
        <v>1542</v>
      </c>
    </row>
    <row r="3" spans="1:5" x14ac:dyDescent="0.3">
      <c r="A3" t="s">
        <v>15</v>
      </c>
      <c r="B3" t="s">
        <v>1543</v>
      </c>
      <c r="C3" t="s">
        <v>1541</v>
      </c>
      <c r="D3" t="s">
        <v>52</v>
      </c>
      <c r="E3" t="s">
        <v>1542</v>
      </c>
    </row>
    <row r="4" spans="1:5" x14ac:dyDescent="0.3">
      <c r="A4" t="s">
        <v>50</v>
      </c>
      <c r="B4" t="s">
        <v>1544</v>
      </c>
      <c r="C4" t="s">
        <v>1541</v>
      </c>
      <c r="D4" t="s">
        <v>26</v>
      </c>
      <c r="E4" t="s">
        <v>1542</v>
      </c>
    </row>
    <row r="5" spans="1:5" x14ac:dyDescent="0.3">
      <c r="A5" t="s">
        <v>23</v>
      </c>
      <c r="B5" t="s">
        <v>1545</v>
      </c>
      <c r="C5" t="s">
        <v>1541</v>
      </c>
      <c r="D5" t="s">
        <v>1546</v>
      </c>
      <c r="E5" t="s">
        <v>1542</v>
      </c>
    </row>
    <row r="6" spans="1:5" x14ac:dyDescent="0.3">
      <c r="A6" t="s">
        <v>45</v>
      </c>
      <c r="B6" t="s">
        <v>1547</v>
      </c>
      <c r="C6" t="s">
        <v>1541</v>
      </c>
      <c r="D6" t="s">
        <v>56</v>
      </c>
      <c r="E6" t="s">
        <v>1542</v>
      </c>
    </row>
    <row r="7" spans="1:5" x14ac:dyDescent="0.3">
      <c r="A7" t="s">
        <v>35</v>
      </c>
      <c r="B7" t="s">
        <v>1548</v>
      </c>
      <c r="C7" t="s">
        <v>1549</v>
      </c>
      <c r="D7" t="s">
        <v>42</v>
      </c>
      <c r="E7" t="s">
        <v>1542</v>
      </c>
    </row>
    <row r="8" spans="1:5" x14ac:dyDescent="0.3">
      <c r="A8" t="s">
        <v>70</v>
      </c>
      <c r="B8" t="s">
        <v>1550</v>
      </c>
      <c r="C8" t="s">
        <v>1549</v>
      </c>
      <c r="D8" t="s">
        <v>32</v>
      </c>
      <c r="E8" t="s">
        <v>1542</v>
      </c>
    </row>
    <row r="9" spans="1:5" x14ac:dyDescent="0.3">
      <c r="A9" t="s">
        <v>62</v>
      </c>
      <c r="B9" t="s">
        <v>1551</v>
      </c>
      <c r="C9" t="s">
        <v>1549</v>
      </c>
      <c r="D9" t="s">
        <v>1552</v>
      </c>
      <c r="E9" t="s">
        <v>1542</v>
      </c>
    </row>
    <row r="10" spans="1:5" x14ac:dyDescent="0.3">
      <c r="A10" t="s">
        <v>152</v>
      </c>
      <c r="B10" t="s">
        <v>1553</v>
      </c>
      <c r="C10" t="s">
        <v>1554</v>
      </c>
      <c r="D10" t="s">
        <v>59</v>
      </c>
      <c r="E10" t="s">
        <v>1542</v>
      </c>
    </row>
    <row r="11" spans="1:5" x14ac:dyDescent="0.3">
      <c r="A11" t="s">
        <v>40</v>
      </c>
      <c r="B11" t="s">
        <v>1555</v>
      </c>
      <c r="C11" t="s">
        <v>1554</v>
      </c>
      <c r="D11" t="s">
        <v>82</v>
      </c>
      <c r="E11" t="s">
        <v>1542</v>
      </c>
    </row>
    <row r="12" spans="1:5" x14ac:dyDescent="0.3">
      <c r="A12" t="s">
        <v>95</v>
      </c>
      <c r="B12" t="s">
        <v>1556</v>
      </c>
      <c r="C12" t="s">
        <v>1554</v>
      </c>
      <c r="D12" t="s">
        <v>1557</v>
      </c>
      <c r="E12" t="s">
        <v>1542</v>
      </c>
    </row>
    <row r="13" spans="1:5" x14ac:dyDescent="0.3">
      <c r="A13" t="s">
        <v>123</v>
      </c>
      <c r="B13" t="s">
        <v>1558</v>
      </c>
      <c r="C13" t="s">
        <v>1559</v>
      </c>
      <c r="D13" t="s">
        <v>138</v>
      </c>
      <c r="E13" t="s">
        <v>1542</v>
      </c>
    </row>
    <row r="14" spans="1:5" x14ac:dyDescent="0.3">
      <c r="A14" t="s">
        <v>29</v>
      </c>
      <c r="B14" t="s">
        <v>1560</v>
      </c>
      <c r="C14" t="s">
        <v>1559</v>
      </c>
      <c r="D14" t="s">
        <v>1561</v>
      </c>
      <c r="E14" t="s">
        <v>1542</v>
      </c>
    </row>
    <row r="15" spans="1:5" x14ac:dyDescent="0.3">
      <c r="A15" t="s">
        <v>90</v>
      </c>
      <c r="B15" t="s">
        <v>1562</v>
      </c>
      <c r="C15" t="s">
        <v>1563</v>
      </c>
      <c r="D15" t="s">
        <v>48</v>
      </c>
      <c r="E15" t="s">
        <v>1542</v>
      </c>
    </row>
    <row r="16" spans="1:5" x14ac:dyDescent="0.3">
      <c r="A16" t="s">
        <v>77</v>
      </c>
      <c r="B16" t="s">
        <v>1564</v>
      </c>
      <c r="C16" t="s">
        <v>1563</v>
      </c>
      <c r="D16" t="s">
        <v>1565</v>
      </c>
      <c r="E16" t="s">
        <v>1542</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9B465-030A-4B23-9B31-37F0CC48A87C}">
  <dimension ref="A3:AD45"/>
  <sheetViews>
    <sheetView topLeftCell="I1" workbookViewId="0">
      <selection activeCell="O5" sqref="O5"/>
    </sheetView>
  </sheetViews>
  <sheetFormatPr defaultRowHeight="14.4" x14ac:dyDescent="0.3"/>
  <cols>
    <col min="1" max="2" width="12.5546875" bestFit="1" customWidth="1"/>
    <col min="3" max="3" width="11.33203125" bestFit="1" customWidth="1"/>
    <col min="8" max="9" width="12.5546875" bestFit="1" customWidth="1"/>
    <col min="15" max="16" width="12.5546875" bestFit="1" customWidth="1"/>
    <col min="21" max="22" width="12.5546875" bestFit="1" customWidth="1"/>
    <col min="23" max="23" width="11.33203125" bestFit="1" customWidth="1"/>
    <col min="28" max="29" width="12.5546875" bestFit="1" customWidth="1"/>
    <col min="30" max="30" width="11.33203125" bestFit="1" customWidth="1"/>
  </cols>
  <sheetData>
    <row r="3" spans="1:30" x14ac:dyDescent="0.3">
      <c r="A3" s="6" t="s">
        <v>1704</v>
      </c>
      <c r="B3" t="s">
        <v>1709</v>
      </c>
      <c r="C3" t="s">
        <v>1707</v>
      </c>
      <c r="H3" s="6" t="s">
        <v>1704</v>
      </c>
      <c r="I3" t="s">
        <v>1709</v>
      </c>
      <c r="O3" s="6" t="s">
        <v>1704</v>
      </c>
      <c r="P3" t="s">
        <v>1709</v>
      </c>
      <c r="U3" s="6" t="s">
        <v>1704</v>
      </c>
      <c r="V3" t="s">
        <v>1709</v>
      </c>
      <c r="W3" t="s">
        <v>1707</v>
      </c>
      <c r="AB3" s="6" t="s">
        <v>1704</v>
      </c>
      <c r="AC3" t="s">
        <v>1709</v>
      </c>
      <c r="AD3" t="s">
        <v>1707</v>
      </c>
    </row>
    <row r="4" spans="1:30" x14ac:dyDescent="0.3">
      <c r="A4" s="7" t="s">
        <v>1563</v>
      </c>
      <c r="B4" s="8">
        <v>4370241.75</v>
      </c>
      <c r="C4" s="8">
        <v>151</v>
      </c>
      <c r="H4" s="7" t="s">
        <v>1716</v>
      </c>
      <c r="I4" s="8">
        <v>26774832.25</v>
      </c>
      <c r="O4" s="7" t="s">
        <v>1571</v>
      </c>
      <c r="P4" s="8">
        <v>1859432.5</v>
      </c>
      <c r="U4" s="7" t="s">
        <v>1558</v>
      </c>
      <c r="V4" s="8">
        <v>1164413.5</v>
      </c>
      <c r="W4" s="8">
        <v>83</v>
      </c>
      <c r="AB4" s="7" t="s">
        <v>80</v>
      </c>
      <c r="AC4" s="8">
        <v>0</v>
      </c>
      <c r="AD4" s="8">
        <v>80</v>
      </c>
    </row>
    <row r="5" spans="1:30" x14ac:dyDescent="0.3">
      <c r="A5" s="7" t="s">
        <v>1559</v>
      </c>
      <c r="B5" s="8">
        <v>2639017</v>
      </c>
      <c r="C5" s="8">
        <v>172</v>
      </c>
      <c r="H5" s="10" t="s">
        <v>1710</v>
      </c>
      <c r="I5" s="8">
        <v>4143422.5</v>
      </c>
      <c r="O5" s="7" t="s">
        <v>1583</v>
      </c>
      <c r="P5" s="8">
        <v>1219442</v>
      </c>
      <c r="U5" s="7" t="s">
        <v>1543</v>
      </c>
      <c r="V5" s="8">
        <v>1257554.125</v>
      </c>
      <c r="W5" s="8">
        <v>82</v>
      </c>
      <c r="AB5" s="7" t="s">
        <v>17</v>
      </c>
      <c r="AC5" s="8">
        <v>26865227.25</v>
      </c>
      <c r="AD5" s="8">
        <v>1003</v>
      </c>
    </row>
    <row r="6" spans="1:30" x14ac:dyDescent="0.3">
      <c r="A6" s="7" t="s">
        <v>1554</v>
      </c>
      <c r="B6" s="8">
        <v>4900214.25</v>
      </c>
      <c r="C6" s="8">
        <v>232</v>
      </c>
      <c r="H6" s="10" t="s">
        <v>1711</v>
      </c>
      <c r="I6" s="8">
        <v>4029896.625</v>
      </c>
      <c r="O6" s="7" t="s">
        <v>1586</v>
      </c>
      <c r="P6" s="8">
        <v>12349191.25</v>
      </c>
      <c r="U6" s="7" t="s">
        <v>1550</v>
      </c>
      <c r="V6" s="8">
        <v>1342518.75</v>
      </c>
      <c r="W6" s="8">
        <v>87</v>
      </c>
      <c r="AB6" s="7" t="s">
        <v>66</v>
      </c>
      <c r="AC6" s="8">
        <v>0</v>
      </c>
      <c r="AD6" s="8">
        <v>76</v>
      </c>
    </row>
    <row r="7" spans="1:30" x14ac:dyDescent="0.3">
      <c r="A7" s="7" t="s">
        <v>1541</v>
      </c>
      <c r="B7" s="8">
        <v>10315707.125</v>
      </c>
      <c r="C7" s="8">
        <v>387</v>
      </c>
      <c r="H7" s="10" t="s">
        <v>1712</v>
      </c>
      <c r="I7" s="8">
        <v>4637574.25</v>
      </c>
      <c r="O7" s="7" t="s">
        <v>1575</v>
      </c>
      <c r="P7" s="8">
        <v>5542432</v>
      </c>
      <c r="U7" s="7" t="s">
        <v>1553</v>
      </c>
      <c r="V7" s="8">
        <v>1469130.125</v>
      </c>
      <c r="W7" s="8">
        <v>73</v>
      </c>
      <c r="AB7" s="7" t="s">
        <v>116</v>
      </c>
      <c r="AC7" s="8">
        <v>0</v>
      </c>
      <c r="AD7" s="8">
        <v>49</v>
      </c>
    </row>
    <row r="8" spans="1:30" x14ac:dyDescent="0.3">
      <c r="A8" s="7" t="s">
        <v>1549</v>
      </c>
      <c r="B8" s="8">
        <v>4618642.625</v>
      </c>
      <c r="C8" s="8">
        <v>260</v>
      </c>
      <c r="H8" s="10" t="s">
        <v>1713</v>
      </c>
      <c r="I8" s="8">
        <v>3699690</v>
      </c>
      <c r="O8" s="7" t="s">
        <v>1580</v>
      </c>
      <c r="P8" s="8">
        <v>5794501</v>
      </c>
      <c r="U8" s="7" t="s">
        <v>1560</v>
      </c>
      <c r="V8" s="8">
        <v>1474603.5</v>
      </c>
      <c r="W8" s="8">
        <v>89</v>
      </c>
      <c r="AB8" s="7" t="s">
        <v>1706</v>
      </c>
      <c r="AC8" s="8">
        <v>26865227.25</v>
      </c>
      <c r="AD8" s="8">
        <v>1208</v>
      </c>
    </row>
    <row r="9" spans="1:30" x14ac:dyDescent="0.3">
      <c r="A9" s="7" t="s">
        <v>1705</v>
      </c>
      <c r="B9" s="8">
        <v>21404.5</v>
      </c>
      <c r="C9" s="8">
        <v>6</v>
      </c>
      <c r="H9" s="10" t="s">
        <v>1714</v>
      </c>
      <c r="I9" s="8">
        <v>4796024.75</v>
      </c>
      <c r="O9" s="7" t="s">
        <v>1705</v>
      </c>
      <c r="P9" s="8">
        <v>100228.5</v>
      </c>
      <c r="U9" s="7" t="s">
        <v>1548</v>
      </c>
      <c r="V9" s="8">
        <v>1494630.875</v>
      </c>
      <c r="W9" s="8">
        <v>78</v>
      </c>
    </row>
    <row r="10" spans="1:30" x14ac:dyDescent="0.3">
      <c r="A10" s="7" t="s">
        <v>1706</v>
      </c>
      <c r="B10" s="8">
        <v>26865227.25</v>
      </c>
      <c r="C10" s="8">
        <v>1208</v>
      </c>
      <c r="H10" s="10" t="s">
        <v>1715</v>
      </c>
      <c r="I10" s="8">
        <v>5468224.125</v>
      </c>
      <c r="O10" s="7" t="s">
        <v>1706</v>
      </c>
      <c r="P10" s="8">
        <v>26865227.25</v>
      </c>
      <c r="U10" s="7" t="s">
        <v>1555</v>
      </c>
      <c r="V10" s="8">
        <v>1660441.875</v>
      </c>
      <c r="W10" s="8">
        <v>81</v>
      </c>
    </row>
    <row r="11" spans="1:30" x14ac:dyDescent="0.3">
      <c r="H11" s="7" t="s">
        <v>1706</v>
      </c>
      <c r="I11" s="8">
        <v>26774832.25</v>
      </c>
      <c r="U11" s="7" t="s">
        <v>1540</v>
      </c>
      <c r="V11" s="8">
        <v>1753312.25</v>
      </c>
      <c r="W11" s="8">
        <v>79</v>
      </c>
    </row>
    <row r="12" spans="1:30" x14ac:dyDescent="0.3">
      <c r="U12" s="7" t="s">
        <v>1556</v>
      </c>
      <c r="V12" s="8">
        <v>1770642.25</v>
      </c>
      <c r="W12" s="8">
        <v>78</v>
      </c>
    </row>
    <row r="13" spans="1:30" x14ac:dyDescent="0.3">
      <c r="U13" s="7" t="s">
        <v>1551</v>
      </c>
      <c r="V13" s="8">
        <v>1781493</v>
      </c>
      <c r="W13" s="8">
        <v>95</v>
      </c>
    </row>
    <row r="14" spans="1:30" x14ac:dyDescent="0.3">
      <c r="U14" s="7" t="s">
        <v>1545</v>
      </c>
      <c r="V14" s="8">
        <v>2083587.125</v>
      </c>
      <c r="W14" s="8">
        <v>71</v>
      </c>
    </row>
    <row r="15" spans="1:30" x14ac:dyDescent="0.3">
      <c r="U15" s="7" t="s">
        <v>1562</v>
      </c>
      <c r="V15" s="8">
        <v>2150158.75</v>
      </c>
      <c r="W15" s="8">
        <v>81</v>
      </c>
    </row>
    <row r="16" spans="1:30" x14ac:dyDescent="0.3">
      <c r="U16" s="7" t="s">
        <v>1564</v>
      </c>
      <c r="V16" s="8">
        <v>2220083</v>
      </c>
      <c r="W16" s="8">
        <v>70</v>
      </c>
    </row>
    <row r="17" spans="21:23" x14ac:dyDescent="0.3">
      <c r="U17" s="7" t="s">
        <v>1544</v>
      </c>
      <c r="V17" s="8">
        <v>2513276.375</v>
      </c>
      <c r="W17" s="8">
        <v>74</v>
      </c>
    </row>
    <row r="18" spans="21:23" x14ac:dyDescent="0.3">
      <c r="U18" s="7" t="s">
        <v>1547</v>
      </c>
      <c r="V18" s="8">
        <v>2707977.25</v>
      </c>
      <c r="W18" s="8">
        <v>81</v>
      </c>
    </row>
    <row r="19" spans="21:23" x14ac:dyDescent="0.3">
      <c r="U19" s="7" t="s">
        <v>1706</v>
      </c>
      <c r="V19" s="8">
        <v>26843822.75</v>
      </c>
      <c r="W19" s="8">
        <v>1202</v>
      </c>
    </row>
    <row r="36" spans="1:2" x14ac:dyDescent="0.3">
      <c r="A36" t="s">
        <v>1718</v>
      </c>
      <c r="B36">
        <f>SUM(fact_Sales_Clean!X:X)</f>
        <v>26743594.25</v>
      </c>
    </row>
    <row r="37" spans="1:2" x14ac:dyDescent="0.3">
      <c r="A37" t="s">
        <v>1719</v>
      </c>
      <c r="B37">
        <f>COUNTA(fact_Sales_Clean__2[Order_ID])</f>
        <v>1197</v>
      </c>
    </row>
    <row r="38" spans="1:2" x14ac:dyDescent="0.3">
      <c r="A38" t="s">
        <v>1720</v>
      </c>
      <c r="B38" s="11">
        <f>B36/B37</f>
        <v>22342.184001670845</v>
      </c>
    </row>
    <row r="39" spans="1:2" x14ac:dyDescent="0.3">
      <c r="A39" t="s">
        <v>1721</v>
      </c>
      <c r="B39">
        <f>SUM(fact_Sales_Clean!Y:Y)/SUM(fact_Sales_Clean!X:X)</f>
        <v>-8.6183535333886549E-3</v>
      </c>
    </row>
    <row r="40" spans="1:2" x14ac:dyDescent="0.3">
      <c r="A40" t="s">
        <v>1724</v>
      </c>
      <c r="B40" s="11">
        <f>(SUM(fact_Sales_Clean!X:X)/SUM(Sales_Targets!C:C))*100</f>
        <v>55.923514295822066</v>
      </c>
    </row>
    <row r="41" spans="1:2" x14ac:dyDescent="0.3">
      <c r="A41" t="s">
        <v>1722</v>
      </c>
      <c r="B41" s="11">
        <f>(A45/B37)*100</f>
        <v>8.3542188805346695E-2</v>
      </c>
    </row>
    <row r="42" spans="1:2" x14ac:dyDescent="0.3">
      <c r="A42" t="s">
        <v>1723</v>
      </c>
      <c r="B42">
        <f>COUNTIF(fact_Sales_Clean!I:I,"Pending")</f>
        <v>76</v>
      </c>
    </row>
    <row r="45" spans="1:2" x14ac:dyDescent="0.3">
      <c r="A45">
        <f>COUNTA(#REF!)</f>
        <v>1</v>
      </c>
    </row>
  </sheetData>
  <pageMargins left="0.7" right="0.7" top="0.75" bottom="0.75" header="0.3" footer="0.3"/>
  <pageSetup orientation="portrait"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3"/>
  <sheetViews>
    <sheetView workbookViewId="0">
      <pane ySplit="1" topLeftCell="A2" activePane="bottomLeft" state="frozen"/>
      <selection pane="bottomLeft" activeCell="C4" sqref="C4"/>
    </sheetView>
  </sheetViews>
  <sheetFormatPr defaultRowHeight="14.4" x14ac:dyDescent="0.3"/>
  <cols>
    <col min="1" max="1" width="12.33203125" customWidth="1"/>
    <col min="2" max="2" width="21" customWidth="1"/>
    <col min="3" max="3" width="13" customWidth="1"/>
    <col min="4" max="4" width="16" customWidth="1"/>
    <col min="5" max="5" width="15.109375" customWidth="1"/>
  </cols>
  <sheetData>
    <row r="1" spans="1:5" ht="31.95" customHeight="1" x14ac:dyDescent="0.3">
      <c r="A1" s="5" t="s">
        <v>4</v>
      </c>
      <c r="B1" s="5" t="s">
        <v>1566</v>
      </c>
      <c r="C1" s="5" t="s">
        <v>1567</v>
      </c>
      <c r="D1" s="5" t="s">
        <v>1568</v>
      </c>
      <c r="E1" s="5" t="s">
        <v>1569</v>
      </c>
    </row>
    <row r="2" spans="1:5" x14ac:dyDescent="0.3">
      <c r="A2" t="s">
        <v>16</v>
      </c>
      <c r="B2" t="s">
        <v>1570</v>
      </c>
      <c r="C2" t="s">
        <v>1571</v>
      </c>
      <c r="D2" s="4">
        <v>650</v>
      </c>
      <c r="E2" s="4">
        <v>390</v>
      </c>
    </row>
    <row r="3" spans="1:5" x14ac:dyDescent="0.3">
      <c r="A3" t="s">
        <v>63</v>
      </c>
      <c r="B3" t="s">
        <v>1572</v>
      </c>
      <c r="C3" t="s">
        <v>1571</v>
      </c>
      <c r="D3" s="4">
        <v>2200</v>
      </c>
      <c r="E3" s="4">
        <v>1450</v>
      </c>
    </row>
    <row r="4" spans="1:5" x14ac:dyDescent="0.3">
      <c r="A4" t="s">
        <v>30</v>
      </c>
      <c r="B4" t="s">
        <v>1573</v>
      </c>
      <c r="C4" t="s">
        <v>1571</v>
      </c>
      <c r="D4" s="4">
        <v>1800</v>
      </c>
      <c r="E4" s="4">
        <v>1120</v>
      </c>
    </row>
    <row r="5" spans="1:5" x14ac:dyDescent="0.3">
      <c r="A5" t="s">
        <v>24</v>
      </c>
      <c r="B5" t="s">
        <v>1574</v>
      </c>
      <c r="C5" t="s">
        <v>1575</v>
      </c>
      <c r="D5" s="4">
        <v>11200</v>
      </c>
      <c r="E5" s="4">
        <v>8300</v>
      </c>
    </row>
    <row r="6" spans="1:5" x14ac:dyDescent="0.3">
      <c r="A6" t="s">
        <v>135</v>
      </c>
      <c r="B6" t="s">
        <v>1576</v>
      </c>
      <c r="C6" t="s">
        <v>1575</v>
      </c>
      <c r="D6" s="4">
        <v>16800</v>
      </c>
      <c r="E6" s="4">
        <v>12600</v>
      </c>
    </row>
    <row r="7" spans="1:5" x14ac:dyDescent="0.3">
      <c r="A7" t="s">
        <v>36</v>
      </c>
      <c r="B7" t="s">
        <v>1577</v>
      </c>
      <c r="C7" t="s">
        <v>1571</v>
      </c>
      <c r="D7" s="4">
        <v>1400</v>
      </c>
      <c r="E7" s="4">
        <v>780</v>
      </c>
    </row>
    <row r="8" spans="1:5" x14ac:dyDescent="0.3">
      <c r="A8" t="s">
        <v>161</v>
      </c>
      <c r="B8" t="s">
        <v>1578</v>
      </c>
      <c r="C8" t="s">
        <v>1571</v>
      </c>
      <c r="D8" s="4">
        <v>2600</v>
      </c>
      <c r="E8" s="4">
        <v>1750</v>
      </c>
    </row>
    <row r="9" spans="1:5" x14ac:dyDescent="0.3">
      <c r="A9" t="s">
        <v>46</v>
      </c>
      <c r="B9" t="s">
        <v>1579</v>
      </c>
      <c r="C9" t="s">
        <v>1580</v>
      </c>
      <c r="D9" s="4">
        <v>7800</v>
      </c>
      <c r="E9" s="4">
        <v>5200</v>
      </c>
    </row>
    <row r="10" spans="1:5" x14ac:dyDescent="0.3">
      <c r="A10" t="s">
        <v>51</v>
      </c>
      <c r="B10" t="s">
        <v>1581</v>
      </c>
      <c r="C10" t="s">
        <v>1580</v>
      </c>
      <c r="D10" s="4">
        <v>18500</v>
      </c>
      <c r="E10" s="4">
        <v>13900</v>
      </c>
    </row>
    <row r="11" spans="1:5" x14ac:dyDescent="0.3">
      <c r="A11" t="s">
        <v>183</v>
      </c>
      <c r="B11" t="s">
        <v>1582</v>
      </c>
      <c r="C11" t="s">
        <v>1583</v>
      </c>
      <c r="D11" s="4">
        <v>3200</v>
      </c>
      <c r="E11" s="4">
        <v>2050</v>
      </c>
    </row>
    <row r="12" spans="1:5" x14ac:dyDescent="0.3">
      <c r="A12" t="s">
        <v>74</v>
      </c>
      <c r="B12" t="s">
        <v>1584</v>
      </c>
      <c r="C12" t="s">
        <v>1583</v>
      </c>
      <c r="D12" s="4">
        <v>2400</v>
      </c>
      <c r="E12" s="4">
        <v>1480</v>
      </c>
    </row>
    <row r="13" spans="1:5" x14ac:dyDescent="0.3">
      <c r="A13" t="s">
        <v>85</v>
      </c>
      <c r="B13" t="s">
        <v>1585</v>
      </c>
      <c r="C13" t="s">
        <v>1586</v>
      </c>
      <c r="D13" s="4">
        <v>48500</v>
      </c>
      <c r="E13" s="4">
        <v>41200</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1"/>
  <sheetViews>
    <sheetView workbookViewId="0">
      <pane ySplit="1" topLeftCell="A21" activePane="bottomLeft" state="frozen"/>
      <selection pane="bottomLeft" activeCell="F7" sqref="F7"/>
    </sheetView>
  </sheetViews>
  <sheetFormatPr defaultRowHeight="14.4" x14ac:dyDescent="0.3"/>
  <cols>
    <col min="1" max="1" width="15" customWidth="1"/>
    <col min="2" max="2" width="14" customWidth="1"/>
    <col min="3" max="3" width="26" customWidth="1"/>
    <col min="4" max="4" width="23" customWidth="1"/>
  </cols>
  <sheetData>
    <row r="1" spans="1:4" ht="31.95" customHeight="1" x14ac:dyDescent="0.3">
      <c r="A1" s="5" t="s">
        <v>1587</v>
      </c>
      <c r="B1" s="5" t="s">
        <v>3</v>
      </c>
      <c r="C1" s="5" t="s">
        <v>1588</v>
      </c>
      <c r="D1" s="5" t="s">
        <v>1589</v>
      </c>
    </row>
    <row r="2" spans="1:4" x14ac:dyDescent="0.3">
      <c r="A2" t="s">
        <v>1590</v>
      </c>
      <c r="B2" t="s">
        <v>168</v>
      </c>
      <c r="C2" s="12">
        <v>458228</v>
      </c>
      <c r="D2">
        <v>84</v>
      </c>
    </row>
    <row r="3" spans="1:4" x14ac:dyDescent="0.3">
      <c r="A3" t="s">
        <v>1590</v>
      </c>
      <c r="B3" t="s">
        <v>15</v>
      </c>
      <c r="C3" s="12">
        <v>428689</v>
      </c>
      <c r="D3">
        <v>87</v>
      </c>
    </row>
    <row r="4" spans="1:4" x14ac:dyDescent="0.3">
      <c r="A4" t="s">
        <v>1590</v>
      </c>
      <c r="B4" t="s">
        <v>50</v>
      </c>
      <c r="C4" s="12">
        <v>669103</v>
      </c>
      <c r="D4">
        <v>119</v>
      </c>
    </row>
    <row r="5" spans="1:4" x14ac:dyDescent="0.3">
      <c r="A5" t="s">
        <v>1590</v>
      </c>
      <c r="B5" t="s">
        <v>23</v>
      </c>
      <c r="C5" s="12">
        <v>412700</v>
      </c>
      <c r="D5">
        <v>111</v>
      </c>
    </row>
    <row r="6" spans="1:4" x14ac:dyDescent="0.3">
      <c r="A6" t="s">
        <v>1590</v>
      </c>
      <c r="B6" t="s">
        <v>45</v>
      </c>
      <c r="C6" s="12">
        <v>453254</v>
      </c>
      <c r="D6">
        <v>92</v>
      </c>
    </row>
    <row r="7" spans="1:4" x14ac:dyDescent="0.3">
      <c r="A7" t="s">
        <v>1590</v>
      </c>
      <c r="B7" t="s">
        <v>35</v>
      </c>
      <c r="C7" s="12">
        <v>611509</v>
      </c>
      <c r="D7">
        <v>99</v>
      </c>
    </row>
    <row r="8" spans="1:4" x14ac:dyDescent="0.3">
      <c r="A8" t="s">
        <v>1590</v>
      </c>
      <c r="B8" t="s">
        <v>70</v>
      </c>
      <c r="C8" s="12">
        <v>648533</v>
      </c>
      <c r="D8">
        <v>110</v>
      </c>
    </row>
    <row r="9" spans="1:4" x14ac:dyDescent="0.3">
      <c r="A9" t="s">
        <v>1590</v>
      </c>
      <c r="B9" t="s">
        <v>62</v>
      </c>
      <c r="C9" s="12">
        <v>356396</v>
      </c>
      <c r="D9">
        <v>117</v>
      </c>
    </row>
    <row r="10" spans="1:4" x14ac:dyDescent="0.3">
      <c r="A10" t="s">
        <v>1590</v>
      </c>
      <c r="B10" t="s">
        <v>152</v>
      </c>
      <c r="C10" s="12">
        <v>624788</v>
      </c>
      <c r="D10">
        <v>84</v>
      </c>
    </row>
    <row r="11" spans="1:4" x14ac:dyDescent="0.3">
      <c r="A11" t="s">
        <v>1590</v>
      </c>
      <c r="B11" t="s">
        <v>40</v>
      </c>
      <c r="C11" s="12">
        <v>456184</v>
      </c>
      <c r="D11">
        <v>93</v>
      </c>
    </row>
    <row r="12" spans="1:4" x14ac:dyDescent="0.3">
      <c r="A12" t="s">
        <v>1590</v>
      </c>
      <c r="B12" t="s">
        <v>95</v>
      </c>
      <c r="C12" s="12">
        <v>698255</v>
      </c>
      <c r="D12">
        <v>72</v>
      </c>
    </row>
    <row r="13" spans="1:4" x14ac:dyDescent="0.3">
      <c r="A13" t="s">
        <v>1590</v>
      </c>
      <c r="B13" t="s">
        <v>123</v>
      </c>
      <c r="C13" s="12">
        <v>558924</v>
      </c>
      <c r="D13">
        <v>110</v>
      </c>
    </row>
    <row r="14" spans="1:4" x14ac:dyDescent="0.3">
      <c r="A14" t="s">
        <v>1590</v>
      </c>
      <c r="B14" t="s">
        <v>29</v>
      </c>
      <c r="C14" s="12">
        <v>401820</v>
      </c>
      <c r="D14">
        <v>91</v>
      </c>
    </row>
    <row r="15" spans="1:4" x14ac:dyDescent="0.3">
      <c r="A15" t="s">
        <v>1590</v>
      </c>
      <c r="B15" t="s">
        <v>90</v>
      </c>
      <c r="C15" s="12">
        <v>616032</v>
      </c>
      <c r="D15">
        <v>74</v>
      </c>
    </row>
    <row r="16" spans="1:4" x14ac:dyDescent="0.3">
      <c r="A16" t="s">
        <v>1590</v>
      </c>
      <c r="B16" t="s">
        <v>77</v>
      </c>
      <c r="C16" s="12">
        <v>492330</v>
      </c>
      <c r="D16">
        <v>105</v>
      </c>
    </row>
    <row r="17" spans="1:4" x14ac:dyDescent="0.3">
      <c r="A17" t="s">
        <v>1591</v>
      </c>
      <c r="B17" t="s">
        <v>168</v>
      </c>
      <c r="C17" s="12">
        <v>630365</v>
      </c>
      <c r="D17">
        <v>117</v>
      </c>
    </row>
    <row r="18" spans="1:4" x14ac:dyDescent="0.3">
      <c r="A18" t="s">
        <v>1591</v>
      </c>
      <c r="B18" t="s">
        <v>15</v>
      </c>
      <c r="C18" s="12">
        <v>631924</v>
      </c>
      <c r="D18">
        <v>75</v>
      </c>
    </row>
    <row r="19" spans="1:4" x14ac:dyDescent="0.3">
      <c r="A19" t="s">
        <v>1591</v>
      </c>
      <c r="B19" t="s">
        <v>50</v>
      </c>
      <c r="C19" s="12">
        <v>379346</v>
      </c>
      <c r="D19">
        <v>98</v>
      </c>
    </row>
    <row r="20" spans="1:4" x14ac:dyDescent="0.3">
      <c r="A20" t="s">
        <v>1591</v>
      </c>
      <c r="B20" t="s">
        <v>23</v>
      </c>
      <c r="C20" s="12">
        <v>647115</v>
      </c>
      <c r="D20">
        <v>103</v>
      </c>
    </row>
    <row r="21" spans="1:4" x14ac:dyDescent="0.3">
      <c r="A21" t="s">
        <v>1591</v>
      </c>
      <c r="B21" t="s">
        <v>45</v>
      </c>
      <c r="C21" s="12">
        <v>480008</v>
      </c>
      <c r="D21">
        <v>85</v>
      </c>
    </row>
    <row r="22" spans="1:4" x14ac:dyDescent="0.3">
      <c r="A22" t="s">
        <v>1591</v>
      </c>
      <c r="B22" t="s">
        <v>35</v>
      </c>
      <c r="C22" s="12">
        <v>484255</v>
      </c>
      <c r="D22">
        <v>117</v>
      </c>
    </row>
    <row r="23" spans="1:4" x14ac:dyDescent="0.3">
      <c r="A23" t="s">
        <v>1591</v>
      </c>
      <c r="B23" t="s">
        <v>70</v>
      </c>
      <c r="C23" s="12">
        <v>445779</v>
      </c>
      <c r="D23">
        <v>114</v>
      </c>
    </row>
    <row r="24" spans="1:4" x14ac:dyDescent="0.3">
      <c r="A24" t="s">
        <v>1591</v>
      </c>
      <c r="B24" t="s">
        <v>62</v>
      </c>
      <c r="C24" s="12">
        <v>691210</v>
      </c>
      <c r="D24">
        <v>85</v>
      </c>
    </row>
    <row r="25" spans="1:4" x14ac:dyDescent="0.3">
      <c r="A25" t="s">
        <v>1591</v>
      </c>
      <c r="B25" t="s">
        <v>152</v>
      </c>
      <c r="C25" s="12">
        <v>469715</v>
      </c>
      <c r="D25">
        <v>114</v>
      </c>
    </row>
    <row r="26" spans="1:4" x14ac:dyDescent="0.3">
      <c r="A26" t="s">
        <v>1591</v>
      </c>
      <c r="B26" t="s">
        <v>40</v>
      </c>
      <c r="C26" s="12">
        <v>589109</v>
      </c>
      <c r="D26">
        <v>81</v>
      </c>
    </row>
    <row r="27" spans="1:4" x14ac:dyDescent="0.3">
      <c r="A27" t="s">
        <v>1591</v>
      </c>
      <c r="B27" t="s">
        <v>95</v>
      </c>
      <c r="C27" s="12">
        <v>371093</v>
      </c>
      <c r="D27">
        <v>108</v>
      </c>
    </row>
    <row r="28" spans="1:4" x14ac:dyDescent="0.3">
      <c r="A28" t="s">
        <v>1591</v>
      </c>
      <c r="B28" t="s">
        <v>123</v>
      </c>
      <c r="C28" s="12">
        <v>489336</v>
      </c>
      <c r="D28">
        <v>105</v>
      </c>
    </row>
    <row r="29" spans="1:4" x14ac:dyDescent="0.3">
      <c r="A29" t="s">
        <v>1591</v>
      </c>
      <c r="B29" t="s">
        <v>29</v>
      </c>
      <c r="C29" s="12">
        <v>495477</v>
      </c>
      <c r="D29">
        <v>75</v>
      </c>
    </row>
    <row r="30" spans="1:4" x14ac:dyDescent="0.3">
      <c r="A30" t="s">
        <v>1591</v>
      </c>
      <c r="B30" t="s">
        <v>90</v>
      </c>
      <c r="C30" s="12">
        <v>449622</v>
      </c>
      <c r="D30">
        <v>116</v>
      </c>
    </row>
    <row r="31" spans="1:4" x14ac:dyDescent="0.3">
      <c r="A31" t="s">
        <v>1591</v>
      </c>
      <c r="B31" t="s">
        <v>77</v>
      </c>
      <c r="C31" s="12">
        <v>383380</v>
      </c>
      <c r="D31">
        <v>78</v>
      </c>
    </row>
    <row r="32" spans="1:4" x14ac:dyDescent="0.3">
      <c r="A32" t="s">
        <v>1592</v>
      </c>
      <c r="B32" t="s">
        <v>168</v>
      </c>
      <c r="C32" s="12">
        <v>623970</v>
      </c>
      <c r="D32">
        <v>89</v>
      </c>
    </row>
    <row r="33" spans="1:4" x14ac:dyDescent="0.3">
      <c r="A33" t="s">
        <v>1592</v>
      </c>
      <c r="B33" t="s">
        <v>15</v>
      </c>
      <c r="C33" s="12">
        <v>381910</v>
      </c>
      <c r="D33">
        <v>83</v>
      </c>
    </row>
    <row r="34" spans="1:4" x14ac:dyDescent="0.3">
      <c r="A34" t="s">
        <v>1592</v>
      </c>
      <c r="B34" t="s">
        <v>50</v>
      </c>
      <c r="C34" s="12">
        <v>469320</v>
      </c>
      <c r="D34">
        <v>85</v>
      </c>
    </row>
    <row r="35" spans="1:4" x14ac:dyDescent="0.3">
      <c r="A35" t="s">
        <v>1592</v>
      </c>
      <c r="B35" t="s">
        <v>23</v>
      </c>
      <c r="C35" s="12">
        <v>657063</v>
      </c>
      <c r="D35">
        <v>118</v>
      </c>
    </row>
    <row r="36" spans="1:4" x14ac:dyDescent="0.3">
      <c r="A36" t="s">
        <v>1592</v>
      </c>
      <c r="B36" t="s">
        <v>45</v>
      </c>
      <c r="C36" s="12">
        <v>654753</v>
      </c>
      <c r="D36">
        <v>100</v>
      </c>
    </row>
    <row r="37" spans="1:4" x14ac:dyDescent="0.3">
      <c r="A37" t="s">
        <v>1592</v>
      </c>
      <c r="B37" t="s">
        <v>35</v>
      </c>
      <c r="C37" s="12">
        <v>593411</v>
      </c>
      <c r="D37">
        <v>76</v>
      </c>
    </row>
    <row r="38" spans="1:4" x14ac:dyDescent="0.3">
      <c r="A38" t="s">
        <v>1592</v>
      </c>
      <c r="B38" t="s">
        <v>70</v>
      </c>
      <c r="C38" s="12">
        <v>631507</v>
      </c>
      <c r="D38">
        <v>120</v>
      </c>
    </row>
    <row r="39" spans="1:4" x14ac:dyDescent="0.3">
      <c r="A39" t="s">
        <v>1592</v>
      </c>
      <c r="B39" t="s">
        <v>62</v>
      </c>
      <c r="C39" s="12">
        <v>376782</v>
      </c>
      <c r="D39">
        <v>90</v>
      </c>
    </row>
    <row r="40" spans="1:4" x14ac:dyDescent="0.3">
      <c r="A40" t="s">
        <v>1592</v>
      </c>
      <c r="B40" t="s">
        <v>152</v>
      </c>
      <c r="C40" s="12">
        <v>682349</v>
      </c>
      <c r="D40">
        <v>74</v>
      </c>
    </row>
    <row r="41" spans="1:4" x14ac:dyDescent="0.3">
      <c r="A41" t="s">
        <v>1592</v>
      </c>
      <c r="B41" t="s">
        <v>40</v>
      </c>
      <c r="C41" s="12">
        <v>452983</v>
      </c>
      <c r="D41">
        <v>100</v>
      </c>
    </row>
    <row r="42" spans="1:4" x14ac:dyDescent="0.3">
      <c r="A42" t="s">
        <v>1592</v>
      </c>
      <c r="B42" t="s">
        <v>95</v>
      </c>
      <c r="C42" s="12">
        <v>411030</v>
      </c>
      <c r="D42">
        <v>98</v>
      </c>
    </row>
    <row r="43" spans="1:4" x14ac:dyDescent="0.3">
      <c r="A43" t="s">
        <v>1592</v>
      </c>
      <c r="B43" t="s">
        <v>123</v>
      </c>
      <c r="C43" s="12">
        <v>393718</v>
      </c>
      <c r="D43">
        <v>100</v>
      </c>
    </row>
    <row r="44" spans="1:4" x14ac:dyDescent="0.3">
      <c r="A44" t="s">
        <v>1592</v>
      </c>
      <c r="B44" t="s">
        <v>29</v>
      </c>
      <c r="C44" s="12">
        <v>453492</v>
      </c>
      <c r="D44">
        <v>76</v>
      </c>
    </row>
    <row r="45" spans="1:4" x14ac:dyDescent="0.3">
      <c r="A45" t="s">
        <v>1592</v>
      </c>
      <c r="B45" t="s">
        <v>90</v>
      </c>
      <c r="C45" s="12">
        <v>634357</v>
      </c>
      <c r="D45">
        <v>107</v>
      </c>
    </row>
    <row r="46" spans="1:4" x14ac:dyDescent="0.3">
      <c r="A46" t="s">
        <v>1592</v>
      </c>
      <c r="B46" t="s">
        <v>77</v>
      </c>
      <c r="C46" s="12">
        <v>462718</v>
      </c>
      <c r="D46">
        <v>108</v>
      </c>
    </row>
    <row r="47" spans="1:4" x14ac:dyDescent="0.3">
      <c r="A47" t="s">
        <v>1593</v>
      </c>
      <c r="B47" t="s">
        <v>168</v>
      </c>
      <c r="C47" s="12">
        <v>605449</v>
      </c>
      <c r="D47">
        <v>89</v>
      </c>
    </row>
    <row r="48" spans="1:4" x14ac:dyDescent="0.3">
      <c r="A48" t="s">
        <v>1593</v>
      </c>
      <c r="B48" t="s">
        <v>15</v>
      </c>
      <c r="C48" s="12">
        <v>648492</v>
      </c>
      <c r="D48">
        <v>70</v>
      </c>
    </row>
    <row r="49" spans="1:4" x14ac:dyDescent="0.3">
      <c r="A49" t="s">
        <v>1593</v>
      </c>
      <c r="B49" t="s">
        <v>50</v>
      </c>
      <c r="C49" s="12">
        <v>654985</v>
      </c>
      <c r="D49">
        <v>97</v>
      </c>
    </row>
    <row r="50" spans="1:4" x14ac:dyDescent="0.3">
      <c r="A50" t="s">
        <v>1593</v>
      </c>
      <c r="B50" t="s">
        <v>23</v>
      </c>
      <c r="C50" s="12">
        <v>408470</v>
      </c>
      <c r="D50">
        <v>116</v>
      </c>
    </row>
    <row r="51" spans="1:4" x14ac:dyDescent="0.3">
      <c r="A51" t="s">
        <v>1593</v>
      </c>
      <c r="B51" t="s">
        <v>45</v>
      </c>
      <c r="C51" s="12">
        <v>582071</v>
      </c>
      <c r="D51">
        <v>119</v>
      </c>
    </row>
    <row r="52" spans="1:4" x14ac:dyDescent="0.3">
      <c r="A52" t="s">
        <v>1593</v>
      </c>
      <c r="B52" t="s">
        <v>35</v>
      </c>
      <c r="C52" s="12">
        <v>686921</v>
      </c>
      <c r="D52">
        <v>82</v>
      </c>
    </row>
    <row r="53" spans="1:4" x14ac:dyDescent="0.3">
      <c r="A53" t="s">
        <v>1593</v>
      </c>
      <c r="B53" t="s">
        <v>70</v>
      </c>
      <c r="C53" s="12">
        <v>658772</v>
      </c>
      <c r="D53">
        <v>110</v>
      </c>
    </row>
    <row r="54" spans="1:4" x14ac:dyDescent="0.3">
      <c r="A54" t="s">
        <v>1593</v>
      </c>
      <c r="B54" t="s">
        <v>62</v>
      </c>
      <c r="C54" s="12">
        <v>672129</v>
      </c>
      <c r="D54">
        <v>118</v>
      </c>
    </row>
    <row r="55" spans="1:4" x14ac:dyDescent="0.3">
      <c r="A55" t="s">
        <v>1593</v>
      </c>
      <c r="B55" t="s">
        <v>152</v>
      </c>
      <c r="C55" s="12">
        <v>589208</v>
      </c>
      <c r="D55">
        <v>70</v>
      </c>
    </row>
    <row r="56" spans="1:4" x14ac:dyDescent="0.3">
      <c r="A56" t="s">
        <v>1593</v>
      </c>
      <c r="B56" t="s">
        <v>40</v>
      </c>
      <c r="C56" s="12">
        <v>481988</v>
      </c>
      <c r="D56">
        <v>118</v>
      </c>
    </row>
    <row r="57" spans="1:4" x14ac:dyDescent="0.3">
      <c r="A57" t="s">
        <v>1593</v>
      </c>
      <c r="B57" t="s">
        <v>95</v>
      </c>
      <c r="C57" s="12">
        <v>563473</v>
      </c>
      <c r="D57">
        <v>108</v>
      </c>
    </row>
    <row r="58" spans="1:4" x14ac:dyDescent="0.3">
      <c r="A58" t="s">
        <v>1593</v>
      </c>
      <c r="B58" t="s">
        <v>123</v>
      </c>
      <c r="C58" s="12">
        <v>491947</v>
      </c>
      <c r="D58">
        <v>101</v>
      </c>
    </row>
    <row r="59" spans="1:4" x14ac:dyDescent="0.3">
      <c r="A59" t="s">
        <v>1593</v>
      </c>
      <c r="B59" t="s">
        <v>29</v>
      </c>
      <c r="C59" s="12">
        <v>680892</v>
      </c>
      <c r="D59">
        <v>81</v>
      </c>
    </row>
    <row r="60" spans="1:4" x14ac:dyDescent="0.3">
      <c r="A60" t="s">
        <v>1593</v>
      </c>
      <c r="B60" t="s">
        <v>90</v>
      </c>
      <c r="C60" s="12">
        <v>522301</v>
      </c>
      <c r="D60">
        <v>102</v>
      </c>
    </row>
    <row r="61" spans="1:4" x14ac:dyDescent="0.3">
      <c r="A61" t="s">
        <v>1593</v>
      </c>
      <c r="B61" t="s">
        <v>77</v>
      </c>
      <c r="C61" s="12">
        <v>603377</v>
      </c>
      <c r="D61">
        <v>102</v>
      </c>
    </row>
    <row r="62" spans="1:4" x14ac:dyDescent="0.3">
      <c r="A62" t="s">
        <v>1594</v>
      </c>
      <c r="B62" t="s">
        <v>168</v>
      </c>
      <c r="C62" s="12">
        <v>498769</v>
      </c>
      <c r="D62">
        <v>111</v>
      </c>
    </row>
    <row r="63" spans="1:4" x14ac:dyDescent="0.3">
      <c r="A63" t="s">
        <v>1594</v>
      </c>
      <c r="B63" t="s">
        <v>15</v>
      </c>
      <c r="C63" s="12">
        <v>507096</v>
      </c>
      <c r="D63">
        <v>86</v>
      </c>
    </row>
    <row r="64" spans="1:4" x14ac:dyDescent="0.3">
      <c r="A64" t="s">
        <v>1594</v>
      </c>
      <c r="B64" t="s">
        <v>50</v>
      </c>
      <c r="C64" s="12">
        <v>629020</v>
      </c>
      <c r="D64">
        <v>85</v>
      </c>
    </row>
    <row r="65" spans="1:4" x14ac:dyDescent="0.3">
      <c r="A65" t="s">
        <v>1594</v>
      </c>
      <c r="B65" t="s">
        <v>23</v>
      </c>
      <c r="C65" s="12">
        <v>528856</v>
      </c>
      <c r="D65">
        <v>87</v>
      </c>
    </row>
    <row r="66" spans="1:4" x14ac:dyDescent="0.3">
      <c r="A66" t="s">
        <v>1594</v>
      </c>
      <c r="B66" t="s">
        <v>45</v>
      </c>
      <c r="C66" s="12">
        <v>644264</v>
      </c>
      <c r="D66">
        <v>102</v>
      </c>
    </row>
    <row r="67" spans="1:4" x14ac:dyDescent="0.3">
      <c r="A67" t="s">
        <v>1594</v>
      </c>
      <c r="B67" t="s">
        <v>35</v>
      </c>
      <c r="C67" s="12">
        <v>511902</v>
      </c>
      <c r="D67">
        <v>110</v>
      </c>
    </row>
    <row r="68" spans="1:4" x14ac:dyDescent="0.3">
      <c r="A68" t="s">
        <v>1594</v>
      </c>
      <c r="B68" t="s">
        <v>70</v>
      </c>
      <c r="C68" s="12">
        <v>580709</v>
      </c>
      <c r="D68">
        <v>77</v>
      </c>
    </row>
    <row r="69" spans="1:4" x14ac:dyDescent="0.3">
      <c r="A69" t="s">
        <v>1594</v>
      </c>
      <c r="B69" t="s">
        <v>62</v>
      </c>
      <c r="C69" s="12">
        <v>445514</v>
      </c>
      <c r="D69">
        <v>101</v>
      </c>
    </row>
    <row r="70" spans="1:4" x14ac:dyDescent="0.3">
      <c r="A70" t="s">
        <v>1594</v>
      </c>
      <c r="B70" t="s">
        <v>152</v>
      </c>
      <c r="C70" s="12">
        <v>353416</v>
      </c>
      <c r="D70">
        <v>90</v>
      </c>
    </row>
    <row r="71" spans="1:4" x14ac:dyDescent="0.3">
      <c r="A71" t="s">
        <v>1594</v>
      </c>
      <c r="B71" t="s">
        <v>40</v>
      </c>
      <c r="C71" s="12">
        <v>617149</v>
      </c>
      <c r="D71">
        <v>100</v>
      </c>
    </row>
    <row r="72" spans="1:4" x14ac:dyDescent="0.3">
      <c r="A72" t="s">
        <v>1594</v>
      </c>
      <c r="B72" t="s">
        <v>95</v>
      </c>
      <c r="C72" s="12">
        <v>609935</v>
      </c>
      <c r="D72">
        <v>80</v>
      </c>
    </row>
    <row r="73" spans="1:4" x14ac:dyDescent="0.3">
      <c r="A73" t="s">
        <v>1594</v>
      </c>
      <c r="B73" t="s">
        <v>123</v>
      </c>
      <c r="C73" s="12">
        <v>443740</v>
      </c>
      <c r="D73">
        <v>74</v>
      </c>
    </row>
    <row r="74" spans="1:4" x14ac:dyDescent="0.3">
      <c r="A74" t="s">
        <v>1594</v>
      </c>
      <c r="B74" t="s">
        <v>29</v>
      </c>
      <c r="C74" s="12">
        <v>576500</v>
      </c>
      <c r="D74">
        <v>113</v>
      </c>
    </row>
    <row r="75" spans="1:4" x14ac:dyDescent="0.3">
      <c r="A75" t="s">
        <v>1594</v>
      </c>
      <c r="B75" t="s">
        <v>90</v>
      </c>
      <c r="C75" s="12">
        <v>509719</v>
      </c>
      <c r="D75">
        <v>76</v>
      </c>
    </row>
    <row r="76" spans="1:4" x14ac:dyDescent="0.3">
      <c r="A76" t="s">
        <v>1594</v>
      </c>
      <c r="B76" t="s">
        <v>77</v>
      </c>
      <c r="C76" s="12">
        <v>582363</v>
      </c>
      <c r="D76">
        <v>91</v>
      </c>
    </row>
    <row r="77" spans="1:4" x14ac:dyDescent="0.3">
      <c r="A77" t="s">
        <v>1595</v>
      </c>
      <c r="B77" t="s">
        <v>168</v>
      </c>
      <c r="C77" s="12">
        <v>684434</v>
      </c>
      <c r="D77">
        <v>113</v>
      </c>
    </row>
    <row r="78" spans="1:4" x14ac:dyDescent="0.3">
      <c r="A78" t="s">
        <v>1595</v>
      </c>
      <c r="B78" t="s">
        <v>15</v>
      </c>
      <c r="C78" s="12">
        <v>632376</v>
      </c>
      <c r="D78">
        <v>81</v>
      </c>
    </row>
    <row r="79" spans="1:4" x14ac:dyDescent="0.3">
      <c r="A79" t="s">
        <v>1595</v>
      </c>
      <c r="B79" t="s">
        <v>50</v>
      </c>
      <c r="C79" s="12">
        <v>451499</v>
      </c>
      <c r="D79">
        <v>119</v>
      </c>
    </row>
    <row r="80" spans="1:4" x14ac:dyDescent="0.3">
      <c r="A80" t="s">
        <v>1595</v>
      </c>
      <c r="B80" t="s">
        <v>23</v>
      </c>
      <c r="C80" s="12">
        <v>406996</v>
      </c>
      <c r="D80">
        <v>118</v>
      </c>
    </row>
    <row r="81" spans="1:4" x14ac:dyDescent="0.3">
      <c r="A81" t="s">
        <v>1595</v>
      </c>
      <c r="B81" t="s">
        <v>45</v>
      </c>
      <c r="C81" s="12">
        <v>471531</v>
      </c>
      <c r="D81">
        <v>83</v>
      </c>
    </row>
    <row r="82" spans="1:4" x14ac:dyDescent="0.3">
      <c r="A82" t="s">
        <v>1595</v>
      </c>
      <c r="B82" t="s">
        <v>35</v>
      </c>
      <c r="C82" s="12">
        <v>511061</v>
      </c>
      <c r="D82">
        <v>102</v>
      </c>
    </row>
    <row r="83" spans="1:4" x14ac:dyDescent="0.3">
      <c r="A83" t="s">
        <v>1595</v>
      </c>
      <c r="B83" t="s">
        <v>70</v>
      </c>
      <c r="C83" s="12">
        <v>510109</v>
      </c>
      <c r="D83">
        <v>90</v>
      </c>
    </row>
    <row r="84" spans="1:4" x14ac:dyDescent="0.3">
      <c r="A84" t="s">
        <v>1595</v>
      </c>
      <c r="B84" t="s">
        <v>62</v>
      </c>
      <c r="C84" s="12">
        <v>628082</v>
      </c>
      <c r="D84">
        <v>100</v>
      </c>
    </row>
    <row r="85" spans="1:4" x14ac:dyDescent="0.3">
      <c r="A85" t="s">
        <v>1595</v>
      </c>
      <c r="B85" t="s">
        <v>152</v>
      </c>
      <c r="C85" s="12">
        <v>403958</v>
      </c>
      <c r="D85">
        <v>113</v>
      </c>
    </row>
    <row r="86" spans="1:4" x14ac:dyDescent="0.3">
      <c r="A86" t="s">
        <v>1595</v>
      </c>
      <c r="B86" t="s">
        <v>40</v>
      </c>
      <c r="C86" s="12">
        <v>507318</v>
      </c>
      <c r="D86">
        <v>109</v>
      </c>
    </row>
    <row r="87" spans="1:4" x14ac:dyDescent="0.3">
      <c r="A87" t="s">
        <v>1595</v>
      </c>
      <c r="B87" t="s">
        <v>95</v>
      </c>
      <c r="C87" s="12">
        <v>460253</v>
      </c>
      <c r="D87">
        <v>106</v>
      </c>
    </row>
    <row r="88" spans="1:4" x14ac:dyDescent="0.3">
      <c r="A88" t="s">
        <v>1595</v>
      </c>
      <c r="B88" t="s">
        <v>123</v>
      </c>
      <c r="C88" s="12">
        <v>431053</v>
      </c>
      <c r="D88">
        <v>90</v>
      </c>
    </row>
    <row r="89" spans="1:4" x14ac:dyDescent="0.3">
      <c r="A89" t="s">
        <v>1595</v>
      </c>
      <c r="B89" t="s">
        <v>29</v>
      </c>
      <c r="C89" s="12">
        <v>431992</v>
      </c>
      <c r="D89">
        <v>82</v>
      </c>
    </row>
    <row r="90" spans="1:4" x14ac:dyDescent="0.3">
      <c r="A90" t="s">
        <v>1595</v>
      </c>
      <c r="B90" t="s">
        <v>90</v>
      </c>
      <c r="C90" s="12">
        <v>557743</v>
      </c>
      <c r="D90">
        <v>120</v>
      </c>
    </row>
    <row r="91" spans="1:4" x14ac:dyDescent="0.3">
      <c r="A91" t="s">
        <v>1595</v>
      </c>
      <c r="B91" t="s">
        <v>77</v>
      </c>
      <c r="C91" s="12">
        <v>440060</v>
      </c>
      <c r="D91">
        <v>80</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66"/>
  <sheetViews>
    <sheetView workbookViewId="0">
      <pane ySplit="1" topLeftCell="A2" activePane="bottomLeft" state="frozen"/>
      <selection pane="bottomLeft" activeCell="C19" sqref="C19"/>
    </sheetView>
  </sheetViews>
  <sheetFormatPr defaultRowHeight="14.4" x14ac:dyDescent="0.3"/>
  <cols>
    <col min="1" max="1" width="12" customWidth="1"/>
    <col min="2" max="2" width="13" customWidth="1"/>
    <col min="3" max="3" width="21" customWidth="1"/>
    <col min="4" max="4" width="17" customWidth="1"/>
    <col min="5" max="5" width="23" customWidth="1"/>
    <col min="6" max="6" width="15" customWidth="1"/>
  </cols>
  <sheetData>
    <row r="1" spans="1:6" ht="31.95" customHeight="1" x14ac:dyDescent="0.3">
      <c r="A1" s="5" t="s">
        <v>1596</v>
      </c>
      <c r="B1" s="5" t="s">
        <v>0</v>
      </c>
      <c r="C1" s="5" t="s">
        <v>1597</v>
      </c>
      <c r="D1" s="5" t="s">
        <v>1598</v>
      </c>
      <c r="E1" s="5" t="s">
        <v>1599</v>
      </c>
      <c r="F1" s="5" t="s">
        <v>1600</v>
      </c>
    </row>
    <row r="2" spans="1:6" x14ac:dyDescent="0.3">
      <c r="A2" t="s">
        <v>1601</v>
      </c>
      <c r="B2" t="s">
        <v>147</v>
      </c>
      <c r="C2" s="1">
        <v>46077</v>
      </c>
      <c r="D2">
        <v>1</v>
      </c>
      <c r="E2" t="s">
        <v>1602</v>
      </c>
      <c r="F2" t="s">
        <v>1603</v>
      </c>
    </row>
    <row r="3" spans="1:6" x14ac:dyDescent="0.3">
      <c r="A3" t="s">
        <v>1604</v>
      </c>
      <c r="B3" t="s">
        <v>121</v>
      </c>
      <c r="C3" s="1">
        <v>46087</v>
      </c>
      <c r="D3">
        <v>1</v>
      </c>
      <c r="E3" t="s">
        <v>1602</v>
      </c>
      <c r="F3" t="s">
        <v>1603</v>
      </c>
    </row>
    <row r="4" spans="1:6" x14ac:dyDescent="0.3">
      <c r="A4" t="s">
        <v>1605</v>
      </c>
      <c r="B4" t="s">
        <v>235</v>
      </c>
      <c r="C4" s="1">
        <v>46062</v>
      </c>
      <c r="D4">
        <v>1</v>
      </c>
      <c r="E4" t="s">
        <v>1606</v>
      </c>
      <c r="F4" t="s">
        <v>1607</v>
      </c>
    </row>
    <row r="5" spans="1:6" x14ac:dyDescent="0.3">
      <c r="A5" t="s">
        <v>1608</v>
      </c>
      <c r="B5" t="s">
        <v>263</v>
      </c>
      <c r="C5" s="1">
        <v>46199</v>
      </c>
      <c r="D5">
        <v>1</v>
      </c>
      <c r="E5" t="s">
        <v>1606</v>
      </c>
      <c r="F5" t="s">
        <v>66</v>
      </c>
    </row>
    <row r="6" spans="1:6" x14ac:dyDescent="0.3">
      <c r="A6" t="s">
        <v>1609</v>
      </c>
      <c r="B6" t="s">
        <v>174</v>
      </c>
      <c r="C6" s="1">
        <v>46196</v>
      </c>
      <c r="D6">
        <v>1</v>
      </c>
      <c r="E6" t="s">
        <v>1610</v>
      </c>
      <c r="F6" t="s">
        <v>1603</v>
      </c>
    </row>
    <row r="7" spans="1:6" x14ac:dyDescent="0.3">
      <c r="A7" t="s">
        <v>1611</v>
      </c>
      <c r="B7" t="s">
        <v>93</v>
      </c>
      <c r="C7" s="1">
        <v>46047</v>
      </c>
      <c r="D7">
        <v>1</v>
      </c>
      <c r="E7" t="s">
        <v>1612</v>
      </c>
      <c r="F7" t="s">
        <v>66</v>
      </c>
    </row>
    <row r="8" spans="1:6" x14ac:dyDescent="0.3">
      <c r="A8" t="s">
        <v>1613</v>
      </c>
      <c r="B8" t="s">
        <v>267</v>
      </c>
      <c r="C8" s="1">
        <v>46043</v>
      </c>
      <c r="D8">
        <v>1</v>
      </c>
      <c r="E8" t="s">
        <v>1610</v>
      </c>
      <c r="F8" t="s">
        <v>1607</v>
      </c>
    </row>
    <row r="9" spans="1:6" x14ac:dyDescent="0.3">
      <c r="A9" t="s">
        <v>1614</v>
      </c>
      <c r="B9" t="s">
        <v>218</v>
      </c>
      <c r="C9" s="1">
        <v>46198</v>
      </c>
      <c r="D9">
        <v>1</v>
      </c>
      <c r="E9" t="s">
        <v>1610</v>
      </c>
      <c r="F9" t="s">
        <v>66</v>
      </c>
    </row>
    <row r="10" spans="1:6" x14ac:dyDescent="0.3">
      <c r="A10" t="s">
        <v>1615</v>
      </c>
      <c r="B10" t="s">
        <v>249</v>
      </c>
      <c r="C10" s="1">
        <v>46092</v>
      </c>
      <c r="D10">
        <v>1</v>
      </c>
      <c r="E10" t="s">
        <v>1606</v>
      </c>
      <c r="F10" t="s">
        <v>1603</v>
      </c>
    </row>
    <row r="11" spans="1:6" x14ac:dyDescent="0.3">
      <c r="A11" t="s">
        <v>1616</v>
      </c>
      <c r="B11" t="s">
        <v>112</v>
      </c>
      <c r="C11" s="1">
        <v>46069</v>
      </c>
      <c r="D11">
        <v>1</v>
      </c>
      <c r="E11" t="s">
        <v>1606</v>
      </c>
      <c r="F11" t="s">
        <v>66</v>
      </c>
    </row>
    <row r="12" spans="1:6" x14ac:dyDescent="0.3">
      <c r="A12" t="s">
        <v>1617</v>
      </c>
      <c r="B12" t="s">
        <v>88</v>
      </c>
      <c r="C12" s="1">
        <v>46034</v>
      </c>
      <c r="D12">
        <v>1</v>
      </c>
      <c r="E12" t="s">
        <v>1606</v>
      </c>
      <c r="F12" t="s">
        <v>66</v>
      </c>
    </row>
    <row r="13" spans="1:6" x14ac:dyDescent="0.3">
      <c r="A13" t="s">
        <v>1618</v>
      </c>
      <c r="B13" t="s">
        <v>155</v>
      </c>
      <c r="C13" s="1">
        <v>46099</v>
      </c>
      <c r="D13">
        <v>1</v>
      </c>
      <c r="E13" t="s">
        <v>1612</v>
      </c>
      <c r="F13" t="s">
        <v>1607</v>
      </c>
    </row>
    <row r="14" spans="1:6" x14ac:dyDescent="0.3">
      <c r="A14" t="s">
        <v>1619</v>
      </c>
      <c r="B14" t="s">
        <v>184</v>
      </c>
      <c r="C14" s="1">
        <v>46067</v>
      </c>
      <c r="D14">
        <v>1</v>
      </c>
      <c r="E14" t="s">
        <v>1620</v>
      </c>
      <c r="F14" t="s">
        <v>1603</v>
      </c>
    </row>
    <row r="15" spans="1:6" x14ac:dyDescent="0.3">
      <c r="A15" t="s">
        <v>1621</v>
      </c>
      <c r="B15" t="s">
        <v>86</v>
      </c>
      <c r="C15" s="1">
        <v>46059</v>
      </c>
      <c r="D15">
        <v>1</v>
      </c>
      <c r="E15" t="s">
        <v>1606</v>
      </c>
      <c r="F15" t="s">
        <v>66</v>
      </c>
    </row>
    <row r="16" spans="1:6" x14ac:dyDescent="0.3">
      <c r="A16" t="s">
        <v>1622</v>
      </c>
      <c r="B16" t="s">
        <v>259</v>
      </c>
      <c r="C16" s="1">
        <v>46162</v>
      </c>
      <c r="D16">
        <v>1</v>
      </c>
      <c r="E16" t="s">
        <v>1610</v>
      </c>
      <c r="F16" t="s">
        <v>1603</v>
      </c>
    </row>
    <row r="17" spans="1:6" x14ac:dyDescent="0.3">
      <c r="A17" t="s">
        <v>1623</v>
      </c>
      <c r="B17" t="s">
        <v>166</v>
      </c>
      <c r="C17" s="1">
        <v>46184</v>
      </c>
      <c r="D17">
        <v>1</v>
      </c>
      <c r="E17" t="s">
        <v>1606</v>
      </c>
      <c r="F17" t="s">
        <v>1607</v>
      </c>
    </row>
    <row r="18" spans="1:6" x14ac:dyDescent="0.3">
      <c r="A18" t="s">
        <v>1624</v>
      </c>
      <c r="B18" t="s">
        <v>83</v>
      </c>
      <c r="C18" s="1">
        <v>46207</v>
      </c>
      <c r="D18">
        <v>1</v>
      </c>
      <c r="E18" t="s">
        <v>1606</v>
      </c>
      <c r="F18" t="s">
        <v>1603</v>
      </c>
    </row>
    <row r="19" spans="1:6" x14ac:dyDescent="0.3">
      <c r="A19" t="s">
        <v>1625</v>
      </c>
      <c r="B19" t="s">
        <v>208</v>
      </c>
      <c r="C19" s="1">
        <v>46181</v>
      </c>
      <c r="D19">
        <v>1</v>
      </c>
      <c r="E19" t="s">
        <v>1620</v>
      </c>
      <c r="F19" t="s">
        <v>1607</v>
      </c>
    </row>
    <row r="20" spans="1:6" x14ac:dyDescent="0.3">
      <c r="A20" t="s">
        <v>1626</v>
      </c>
      <c r="B20" t="s">
        <v>107</v>
      </c>
      <c r="C20" s="1">
        <v>46178</v>
      </c>
      <c r="D20">
        <v>1</v>
      </c>
      <c r="E20" t="s">
        <v>1620</v>
      </c>
      <c r="F20" t="s">
        <v>66</v>
      </c>
    </row>
    <row r="21" spans="1:6" x14ac:dyDescent="0.3">
      <c r="A21" t="s">
        <v>1627</v>
      </c>
      <c r="B21" t="s">
        <v>102</v>
      </c>
      <c r="C21" s="1">
        <v>46043</v>
      </c>
      <c r="D21">
        <v>1</v>
      </c>
      <c r="E21" t="s">
        <v>1610</v>
      </c>
      <c r="F21" t="s">
        <v>1607</v>
      </c>
    </row>
    <row r="22" spans="1:6" x14ac:dyDescent="0.3">
      <c r="A22" t="s">
        <v>1628</v>
      </c>
      <c r="B22" t="s">
        <v>178</v>
      </c>
      <c r="C22" s="1">
        <v>46179</v>
      </c>
      <c r="D22">
        <v>1</v>
      </c>
      <c r="E22" t="s">
        <v>1610</v>
      </c>
      <c r="F22" t="s">
        <v>66</v>
      </c>
    </row>
    <row r="23" spans="1:6" x14ac:dyDescent="0.3">
      <c r="A23" t="s">
        <v>1629</v>
      </c>
      <c r="B23" t="s">
        <v>27</v>
      </c>
      <c r="C23" s="1">
        <v>46035</v>
      </c>
      <c r="D23">
        <v>1</v>
      </c>
      <c r="E23" t="s">
        <v>1620</v>
      </c>
      <c r="F23" t="s">
        <v>1630</v>
      </c>
    </row>
    <row r="24" spans="1:6" x14ac:dyDescent="0.3">
      <c r="A24" t="s">
        <v>1631</v>
      </c>
      <c r="B24" t="s">
        <v>98</v>
      </c>
      <c r="C24" s="1">
        <v>46043</v>
      </c>
      <c r="D24">
        <v>1</v>
      </c>
      <c r="E24" t="s">
        <v>1602</v>
      </c>
      <c r="F24" t="s">
        <v>1630</v>
      </c>
    </row>
    <row r="25" spans="1:6" x14ac:dyDescent="0.3">
      <c r="A25" t="s">
        <v>1632</v>
      </c>
      <c r="B25" t="s">
        <v>247</v>
      </c>
      <c r="C25" s="1">
        <v>46109</v>
      </c>
      <c r="D25">
        <v>1</v>
      </c>
      <c r="E25" t="s">
        <v>1612</v>
      </c>
      <c r="F25" t="s">
        <v>1607</v>
      </c>
    </row>
    <row r="26" spans="1:6" x14ac:dyDescent="0.3">
      <c r="A26" t="s">
        <v>1633</v>
      </c>
      <c r="B26" t="s">
        <v>49</v>
      </c>
      <c r="C26" s="1">
        <v>46191</v>
      </c>
      <c r="D26">
        <v>1</v>
      </c>
      <c r="E26" t="s">
        <v>1610</v>
      </c>
      <c r="F26" t="s">
        <v>66</v>
      </c>
    </row>
    <row r="27" spans="1:6" x14ac:dyDescent="0.3">
      <c r="A27" t="s">
        <v>1634</v>
      </c>
      <c r="B27" t="s">
        <v>273</v>
      </c>
      <c r="C27" s="1">
        <v>46051</v>
      </c>
      <c r="D27">
        <v>1</v>
      </c>
      <c r="E27" t="s">
        <v>1610</v>
      </c>
      <c r="F27" t="s">
        <v>1603</v>
      </c>
    </row>
    <row r="28" spans="1:6" x14ac:dyDescent="0.3">
      <c r="A28" t="s">
        <v>1635</v>
      </c>
      <c r="B28" t="s">
        <v>182</v>
      </c>
      <c r="C28" s="1">
        <v>46211</v>
      </c>
      <c r="D28">
        <v>1</v>
      </c>
      <c r="E28" t="s">
        <v>1610</v>
      </c>
      <c r="F28" t="s">
        <v>1607</v>
      </c>
    </row>
    <row r="29" spans="1:6" x14ac:dyDescent="0.3">
      <c r="A29" t="s">
        <v>1636</v>
      </c>
      <c r="B29" t="s">
        <v>130</v>
      </c>
      <c r="C29" s="1">
        <v>46046</v>
      </c>
      <c r="D29">
        <v>1</v>
      </c>
      <c r="E29" t="s">
        <v>1602</v>
      </c>
      <c r="F29" t="s">
        <v>1603</v>
      </c>
    </row>
    <row r="30" spans="1:6" x14ac:dyDescent="0.3">
      <c r="A30" t="s">
        <v>1637</v>
      </c>
      <c r="B30" t="s">
        <v>1638</v>
      </c>
      <c r="C30" s="1">
        <v>46196</v>
      </c>
      <c r="D30">
        <v>1</v>
      </c>
      <c r="E30" t="s">
        <v>1602</v>
      </c>
      <c r="F30" t="s">
        <v>1603</v>
      </c>
    </row>
    <row r="31" spans="1:6" x14ac:dyDescent="0.3">
      <c r="A31" t="s">
        <v>1639</v>
      </c>
      <c r="B31" t="s">
        <v>272</v>
      </c>
      <c r="C31" s="1">
        <v>46056</v>
      </c>
      <c r="D31">
        <v>1</v>
      </c>
      <c r="E31" t="s">
        <v>1620</v>
      </c>
      <c r="F31" t="s">
        <v>66</v>
      </c>
    </row>
    <row r="32" spans="1:6" x14ac:dyDescent="0.3">
      <c r="A32" t="s">
        <v>1640</v>
      </c>
      <c r="B32" t="s">
        <v>207</v>
      </c>
      <c r="C32" s="1">
        <v>46182</v>
      </c>
      <c r="D32">
        <v>1</v>
      </c>
      <c r="E32" t="s">
        <v>1602</v>
      </c>
      <c r="F32" t="s">
        <v>1607</v>
      </c>
    </row>
    <row r="33" spans="1:6" x14ac:dyDescent="0.3">
      <c r="A33" t="s">
        <v>1641</v>
      </c>
      <c r="B33" t="s">
        <v>187</v>
      </c>
      <c r="C33" s="1">
        <v>46149</v>
      </c>
      <c r="D33">
        <v>1</v>
      </c>
      <c r="E33" t="s">
        <v>1612</v>
      </c>
      <c r="F33" t="s">
        <v>1603</v>
      </c>
    </row>
    <row r="34" spans="1:6" x14ac:dyDescent="0.3">
      <c r="A34" t="s">
        <v>1642</v>
      </c>
      <c r="B34" t="s">
        <v>124</v>
      </c>
      <c r="C34" s="1">
        <v>46141</v>
      </c>
      <c r="D34">
        <v>1</v>
      </c>
      <c r="E34" t="s">
        <v>1606</v>
      </c>
      <c r="F34" t="s">
        <v>1603</v>
      </c>
    </row>
    <row r="35" spans="1:6" x14ac:dyDescent="0.3">
      <c r="A35" t="s">
        <v>1643</v>
      </c>
      <c r="B35" t="s">
        <v>195</v>
      </c>
      <c r="C35" s="1">
        <v>46121</v>
      </c>
      <c r="D35">
        <v>1</v>
      </c>
      <c r="E35" t="s">
        <v>1612</v>
      </c>
      <c r="F35" t="s">
        <v>1603</v>
      </c>
    </row>
    <row r="36" spans="1:6" x14ac:dyDescent="0.3">
      <c r="A36" t="s">
        <v>1644</v>
      </c>
      <c r="B36" t="s">
        <v>136</v>
      </c>
      <c r="C36" s="1">
        <v>46077</v>
      </c>
      <c r="D36">
        <v>1</v>
      </c>
      <c r="E36" t="s">
        <v>1602</v>
      </c>
      <c r="F36" t="s">
        <v>66</v>
      </c>
    </row>
    <row r="37" spans="1:6" x14ac:dyDescent="0.3">
      <c r="A37" t="s">
        <v>1645</v>
      </c>
      <c r="B37" t="s">
        <v>162</v>
      </c>
      <c r="C37" s="1">
        <v>46175</v>
      </c>
      <c r="D37">
        <v>1</v>
      </c>
      <c r="E37" t="s">
        <v>1620</v>
      </c>
      <c r="F37" t="s">
        <v>1603</v>
      </c>
    </row>
    <row r="38" spans="1:6" x14ac:dyDescent="0.3">
      <c r="A38" t="s">
        <v>1646</v>
      </c>
      <c r="B38" t="s">
        <v>145</v>
      </c>
      <c r="C38" s="1">
        <v>46160</v>
      </c>
      <c r="D38">
        <v>1</v>
      </c>
      <c r="E38" t="s">
        <v>1610</v>
      </c>
      <c r="F38" t="s">
        <v>1603</v>
      </c>
    </row>
    <row r="39" spans="1:6" x14ac:dyDescent="0.3">
      <c r="A39" t="s">
        <v>1647</v>
      </c>
      <c r="B39" t="s">
        <v>110</v>
      </c>
      <c r="C39" s="1">
        <v>46112</v>
      </c>
      <c r="D39">
        <v>1</v>
      </c>
      <c r="E39" t="s">
        <v>1602</v>
      </c>
      <c r="F39" t="s">
        <v>1603</v>
      </c>
    </row>
    <row r="40" spans="1:6" x14ac:dyDescent="0.3">
      <c r="A40" t="s">
        <v>1648</v>
      </c>
      <c r="B40" t="s">
        <v>133</v>
      </c>
      <c r="C40" s="1">
        <v>46083</v>
      </c>
      <c r="D40">
        <v>1</v>
      </c>
      <c r="E40" t="s">
        <v>1606</v>
      </c>
      <c r="F40" t="s">
        <v>66</v>
      </c>
    </row>
    <row r="41" spans="1:6" x14ac:dyDescent="0.3">
      <c r="A41" t="s">
        <v>1649</v>
      </c>
      <c r="B41" t="s">
        <v>1638</v>
      </c>
      <c r="C41" s="1">
        <v>46198</v>
      </c>
      <c r="D41">
        <v>1</v>
      </c>
      <c r="E41" t="s">
        <v>1610</v>
      </c>
      <c r="F41" t="s">
        <v>1603</v>
      </c>
    </row>
    <row r="42" spans="1:6" x14ac:dyDescent="0.3">
      <c r="A42" t="s">
        <v>1650</v>
      </c>
      <c r="B42" t="s">
        <v>203</v>
      </c>
      <c r="C42" s="1">
        <v>46174</v>
      </c>
      <c r="D42">
        <v>1</v>
      </c>
      <c r="E42" t="s">
        <v>1610</v>
      </c>
      <c r="F42" t="s">
        <v>1607</v>
      </c>
    </row>
    <row r="43" spans="1:6" x14ac:dyDescent="0.3">
      <c r="A43" t="s">
        <v>1651</v>
      </c>
      <c r="B43" t="s">
        <v>280</v>
      </c>
      <c r="C43" s="1">
        <v>46122</v>
      </c>
      <c r="D43">
        <v>1</v>
      </c>
      <c r="E43" t="s">
        <v>1610</v>
      </c>
      <c r="F43" t="s">
        <v>66</v>
      </c>
    </row>
    <row r="44" spans="1:6" x14ac:dyDescent="0.3">
      <c r="A44" t="s">
        <v>1652</v>
      </c>
      <c r="B44" t="s">
        <v>225</v>
      </c>
      <c r="C44" s="1">
        <v>46120</v>
      </c>
      <c r="D44">
        <v>1</v>
      </c>
      <c r="E44" t="s">
        <v>1606</v>
      </c>
      <c r="F44" t="s">
        <v>1603</v>
      </c>
    </row>
    <row r="45" spans="1:6" x14ac:dyDescent="0.3">
      <c r="A45" t="s">
        <v>1653</v>
      </c>
      <c r="B45" t="s">
        <v>1638</v>
      </c>
      <c r="C45" s="1">
        <v>46064</v>
      </c>
      <c r="D45">
        <v>1</v>
      </c>
      <c r="E45" t="s">
        <v>1620</v>
      </c>
      <c r="F45" t="s">
        <v>66</v>
      </c>
    </row>
    <row r="46" spans="1:6" x14ac:dyDescent="0.3">
      <c r="A46" t="s">
        <v>1654</v>
      </c>
      <c r="B46" t="s">
        <v>157</v>
      </c>
      <c r="C46" s="1">
        <v>46109</v>
      </c>
      <c r="D46">
        <v>1</v>
      </c>
      <c r="E46" t="s">
        <v>1612</v>
      </c>
      <c r="F46" t="s">
        <v>1607</v>
      </c>
    </row>
    <row r="47" spans="1:6" x14ac:dyDescent="0.3">
      <c r="A47" t="s">
        <v>1655</v>
      </c>
      <c r="B47" t="s">
        <v>75</v>
      </c>
      <c r="C47" s="1">
        <v>46074</v>
      </c>
      <c r="D47">
        <v>1</v>
      </c>
      <c r="E47" t="s">
        <v>1610</v>
      </c>
      <c r="F47" t="s">
        <v>1603</v>
      </c>
    </row>
    <row r="48" spans="1:6" x14ac:dyDescent="0.3">
      <c r="A48" t="s">
        <v>1656</v>
      </c>
      <c r="B48" t="s">
        <v>231</v>
      </c>
      <c r="C48" s="1">
        <v>46108</v>
      </c>
      <c r="D48">
        <v>1</v>
      </c>
      <c r="E48" t="s">
        <v>1612</v>
      </c>
      <c r="F48" t="s">
        <v>1603</v>
      </c>
    </row>
    <row r="49" spans="1:6" x14ac:dyDescent="0.3">
      <c r="A49" t="s">
        <v>1657</v>
      </c>
      <c r="B49" t="s">
        <v>270</v>
      </c>
      <c r="C49" s="1">
        <v>46216</v>
      </c>
      <c r="D49">
        <v>1</v>
      </c>
      <c r="E49" t="s">
        <v>1612</v>
      </c>
      <c r="F49" t="s">
        <v>1607</v>
      </c>
    </row>
    <row r="50" spans="1:6" x14ac:dyDescent="0.3">
      <c r="A50" t="s">
        <v>1658</v>
      </c>
      <c r="B50" t="s">
        <v>126</v>
      </c>
      <c r="C50" s="1">
        <v>46215</v>
      </c>
      <c r="D50">
        <v>1</v>
      </c>
      <c r="E50" t="s">
        <v>1602</v>
      </c>
      <c r="F50" t="s">
        <v>1659</v>
      </c>
    </row>
    <row r="51" spans="1:6" x14ac:dyDescent="0.3">
      <c r="A51" t="s">
        <v>1660</v>
      </c>
      <c r="B51" t="s">
        <v>238</v>
      </c>
      <c r="C51" s="1">
        <v>46201</v>
      </c>
      <c r="D51">
        <v>1</v>
      </c>
      <c r="E51" t="s">
        <v>1612</v>
      </c>
      <c r="F51" t="s">
        <v>1603</v>
      </c>
    </row>
    <row r="52" spans="1:6" x14ac:dyDescent="0.3">
      <c r="A52" t="s">
        <v>1661</v>
      </c>
      <c r="B52" t="s">
        <v>128</v>
      </c>
      <c r="C52" s="1">
        <v>46040</v>
      </c>
      <c r="D52">
        <v>1</v>
      </c>
      <c r="E52" t="s">
        <v>1610</v>
      </c>
      <c r="F52" t="s">
        <v>1607</v>
      </c>
    </row>
    <row r="53" spans="1:6" x14ac:dyDescent="0.3">
      <c r="A53" t="s">
        <v>1662</v>
      </c>
      <c r="B53" t="s">
        <v>131</v>
      </c>
      <c r="C53" s="1">
        <v>46132</v>
      </c>
      <c r="D53">
        <v>1</v>
      </c>
      <c r="E53" t="s">
        <v>1612</v>
      </c>
      <c r="F53" t="s">
        <v>66</v>
      </c>
    </row>
    <row r="54" spans="1:6" x14ac:dyDescent="0.3">
      <c r="A54" t="s">
        <v>1663</v>
      </c>
      <c r="B54" t="s">
        <v>96</v>
      </c>
      <c r="C54" s="1">
        <v>46170</v>
      </c>
      <c r="D54">
        <v>1</v>
      </c>
      <c r="E54" t="s">
        <v>1612</v>
      </c>
      <c r="F54" t="s">
        <v>1607</v>
      </c>
    </row>
    <row r="55" spans="1:6" x14ac:dyDescent="0.3">
      <c r="A55" t="s">
        <v>1664</v>
      </c>
      <c r="B55" t="s">
        <v>240</v>
      </c>
      <c r="C55" s="1">
        <v>46137</v>
      </c>
      <c r="D55">
        <v>1</v>
      </c>
      <c r="E55" t="s">
        <v>1606</v>
      </c>
      <c r="F55" t="s">
        <v>66</v>
      </c>
    </row>
    <row r="56" spans="1:6" x14ac:dyDescent="0.3">
      <c r="A56" t="s">
        <v>1665</v>
      </c>
      <c r="B56" t="s">
        <v>21</v>
      </c>
      <c r="C56" s="1">
        <v>46066</v>
      </c>
      <c r="D56">
        <v>1</v>
      </c>
      <c r="E56" t="s">
        <v>1602</v>
      </c>
      <c r="F56" t="s">
        <v>1603</v>
      </c>
    </row>
    <row r="57" spans="1:6" x14ac:dyDescent="0.3">
      <c r="A57" t="s">
        <v>1666</v>
      </c>
      <c r="B57" t="s">
        <v>245</v>
      </c>
      <c r="C57" s="1">
        <v>46117</v>
      </c>
      <c r="D57">
        <v>1</v>
      </c>
      <c r="E57" t="s">
        <v>1620</v>
      </c>
      <c r="F57" t="s">
        <v>1603</v>
      </c>
    </row>
    <row r="58" spans="1:6" x14ac:dyDescent="0.3">
      <c r="A58" t="s">
        <v>1667</v>
      </c>
      <c r="B58" t="s">
        <v>233</v>
      </c>
      <c r="C58" s="1">
        <v>46186</v>
      </c>
      <c r="D58">
        <v>1</v>
      </c>
      <c r="E58" t="s">
        <v>1612</v>
      </c>
      <c r="F58" t="s">
        <v>66</v>
      </c>
    </row>
    <row r="59" spans="1:6" x14ac:dyDescent="0.3">
      <c r="A59" t="s">
        <v>1668</v>
      </c>
      <c r="B59" t="s">
        <v>257</v>
      </c>
      <c r="C59" s="1">
        <v>46113</v>
      </c>
      <c r="D59">
        <v>1</v>
      </c>
      <c r="E59" t="s">
        <v>1606</v>
      </c>
      <c r="F59" t="s">
        <v>66</v>
      </c>
    </row>
    <row r="60" spans="1:6" x14ac:dyDescent="0.3">
      <c r="A60" t="s">
        <v>1669</v>
      </c>
      <c r="B60" t="s">
        <v>38</v>
      </c>
      <c r="C60" s="1">
        <v>46199</v>
      </c>
      <c r="D60">
        <v>1</v>
      </c>
      <c r="E60" t="s">
        <v>1612</v>
      </c>
      <c r="F60" t="s">
        <v>1603</v>
      </c>
    </row>
    <row r="61" spans="1:6" x14ac:dyDescent="0.3">
      <c r="A61" t="s">
        <v>1670</v>
      </c>
      <c r="B61" t="s">
        <v>143</v>
      </c>
      <c r="C61" s="1">
        <v>46124</v>
      </c>
      <c r="D61">
        <v>1</v>
      </c>
      <c r="E61" t="s">
        <v>1602</v>
      </c>
      <c r="F61" t="s">
        <v>66</v>
      </c>
    </row>
    <row r="62" spans="1:6" x14ac:dyDescent="0.3">
      <c r="A62" t="s">
        <v>1671</v>
      </c>
      <c r="B62" t="s">
        <v>262</v>
      </c>
      <c r="C62" s="1">
        <v>46135</v>
      </c>
      <c r="D62">
        <v>1</v>
      </c>
      <c r="E62" t="s">
        <v>1602</v>
      </c>
      <c r="F62" t="s">
        <v>1603</v>
      </c>
    </row>
    <row r="63" spans="1:6" x14ac:dyDescent="0.3">
      <c r="A63" t="s">
        <v>1672</v>
      </c>
      <c r="B63" t="s">
        <v>72</v>
      </c>
      <c r="C63" s="1">
        <v>46190</v>
      </c>
      <c r="D63">
        <v>1</v>
      </c>
      <c r="E63" t="s">
        <v>1602</v>
      </c>
      <c r="F63" t="s">
        <v>1673</v>
      </c>
    </row>
    <row r="64" spans="1:6" x14ac:dyDescent="0.3">
      <c r="A64" t="s">
        <v>1674</v>
      </c>
      <c r="B64" t="s">
        <v>169</v>
      </c>
      <c r="C64" s="1">
        <v>46098</v>
      </c>
      <c r="D64">
        <v>1</v>
      </c>
      <c r="E64" t="s">
        <v>1606</v>
      </c>
      <c r="F64" t="s">
        <v>1659</v>
      </c>
    </row>
    <row r="65" spans="1:6" x14ac:dyDescent="0.3">
      <c r="A65" t="s">
        <v>1675</v>
      </c>
      <c r="B65" t="s">
        <v>43</v>
      </c>
      <c r="C65" s="1">
        <v>46136</v>
      </c>
      <c r="D65">
        <v>1</v>
      </c>
      <c r="E65" t="s">
        <v>1612</v>
      </c>
      <c r="F65" t="s">
        <v>1603</v>
      </c>
    </row>
    <row r="66" spans="1:6" x14ac:dyDescent="0.3">
      <c r="A66" t="s">
        <v>1676</v>
      </c>
      <c r="B66" t="s">
        <v>149</v>
      </c>
      <c r="C66" s="1">
        <v>46220</v>
      </c>
      <c r="D66">
        <v>1</v>
      </c>
      <c r="E66" t="s">
        <v>1606</v>
      </c>
      <c r="F66" t="s">
        <v>66</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7"/>
  <sheetViews>
    <sheetView workbookViewId="0">
      <pane ySplit="1" topLeftCell="A5" activePane="bottomLeft" state="frozen"/>
      <selection pane="bottomLeft" activeCell="B20" sqref="B20"/>
    </sheetView>
  </sheetViews>
  <sheetFormatPr defaultRowHeight="14.4" x14ac:dyDescent="0.3"/>
  <cols>
    <col min="1" max="1" width="38" customWidth="1"/>
    <col min="2" max="2" width="74.88671875" bestFit="1" customWidth="1"/>
  </cols>
  <sheetData>
    <row r="1" spans="1:2" ht="31.95" customHeight="1" x14ac:dyDescent="0.3">
      <c r="A1" s="5" t="s">
        <v>1677</v>
      </c>
      <c r="B1" s="5" t="s">
        <v>1678</v>
      </c>
    </row>
    <row r="2" spans="1:2" x14ac:dyDescent="0.3">
      <c r="A2" t="s">
        <v>0</v>
      </c>
      <c r="B2" t="s">
        <v>1679</v>
      </c>
    </row>
    <row r="3" spans="1:2" x14ac:dyDescent="0.3">
      <c r="A3" t="s">
        <v>1</v>
      </c>
      <c r="B3" t="s">
        <v>1680</v>
      </c>
    </row>
    <row r="4" spans="1:2" x14ac:dyDescent="0.3">
      <c r="A4" t="s">
        <v>2</v>
      </c>
      <c r="B4" t="s">
        <v>1681</v>
      </c>
    </row>
    <row r="5" spans="1:2" x14ac:dyDescent="0.3">
      <c r="A5" t="s">
        <v>3</v>
      </c>
      <c r="B5" t="s">
        <v>1682</v>
      </c>
    </row>
    <row r="6" spans="1:2" x14ac:dyDescent="0.3">
      <c r="A6" t="s">
        <v>4</v>
      </c>
      <c r="B6" t="s">
        <v>1683</v>
      </c>
    </row>
    <row r="7" spans="1:2" x14ac:dyDescent="0.3">
      <c r="A7" t="s">
        <v>5</v>
      </c>
      <c r="B7" t="s">
        <v>1684</v>
      </c>
    </row>
    <row r="8" spans="1:2" x14ac:dyDescent="0.3">
      <c r="A8" t="s">
        <v>6</v>
      </c>
      <c r="B8" t="s">
        <v>1685</v>
      </c>
    </row>
    <row r="9" spans="1:2" x14ac:dyDescent="0.3">
      <c r="A9" t="s">
        <v>7</v>
      </c>
      <c r="B9" t="s">
        <v>1686</v>
      </c>
    </row>
    <row r="10" spans="1:2" x14ac:dyDescent="0.3">
      <c r="A10" t="s">
        <v>8</v>
      </c>
      <c r="B10" t="s">
        <v>1687</v>
      </c>
    </row>
    <row r="11" spans="1:2" x14ac:dyDescent="0.3">
      <c r="A11" t="s">
        <v>9</v>
      </c>
      <c r="B11" t="s">
        <v>1688</v>
      </c>
    </row>
    <row r="12" spans="1:2" x14ac:dyDescent="0.3">
      <c r="A12" t="s">
        <v>10</v>
      </c>
      <c r="B12" t="s">
        <v>1689</v>
      </c>
    </row>
    <row r="13" spans="1:2" x14ac:dyDescent="0.3">
      <c r="A13" t="s">
        <v>11</v>
      </c>
      <c r="B13" t="s">
        <v>1690</v>
      </c>
    </row>
    <row r="14" spans="1:2" x14ac:dyDescent="0.3">
      <c r="A14" t="s">
        <v>12</v>
      </c>
      <c r="B14" t="s">
        <v>1691</v>
      </c>
    </row>
    <row r="15" spans="1:2" x14ac:dyDescent="0.3">
      <c r="A15" t="s">
        <v>1692</v>
      </c>
      <c r="B15" t="s">
        <v>1693</v>
      </c>
    </row>
    <row r="16" spans="1:2" x14ac:dyDescent="0.3">
      <c r="A16" t="s">
        <v>1694</v>
      </c>
      <c r="B16" t="s">
        <v>1695</v>
      </c>
    </row>
    <row r="17" spans="1:2" x14ac:dyDescent="0.3">
      <c r="A17" t="s">
        <v>1696</v>
      </c>
      <c r="B17" t="s">
        <v>1697</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0DB38F6-CBC5-40C3-8DB0-7286A9E204B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MIS_Dashboard</vt:lpstr>
      <vt:lpstr>MIS_Insights</vt:lpstr>
      <vt:lpstr>fact_Sales_Clean</vt:lpstr>
      <vt:lpstr>Raw_Sales</vt:lpstr>
      <vt:lpstr>Employee_Master</vt:lpstr>
      <vt:lpstr>MIS_Summary</vt:lpstr>
      <vt:lpstr>Product_Master</vt:lpstr>
      <vt:lpstr>Sales_Targets</vt:lpstr>
      <vt:lpstr>Returns</vt: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Selva Ganesan</cp:lastModifiedBy>
  <dcterms:created xsi:type="dcterms:W3CDTF">2026-10-25T13:57:23Z</dcterms:created>
  <dcterms:modified xsi:type="dcterms:W3CDTF">2026-10-26T14:17:36Z</dcterms:modified>
</cp:coreProperties>
</file>